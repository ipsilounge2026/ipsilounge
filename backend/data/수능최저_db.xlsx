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bik\Dropbox\AI Project\Claude\학생부분석프로그램\school-record-analyzer\data\"/>
    </mc:Choice>
  </mc:AlternateContent>
  <xr:revisionPtr revIDLastSave="0" documentId="8_{CCCC1D69-B0AD-4C00-81A6-259B33CE4D0D}" xr6:coauthVersionLast="47" xr6:coauthVersionMax="47" xr10:uidLastSave="{00000000-0000-0000-0000-000000000000}"/>
  <bookViews>
    <workbookView xWindow="-120" yWindow="-120" windowWidth="29040" windowHeight="15720" xr2:uid="{F85F5C23-5A24-4FFA-9DBC-872B5F995D5A}"/>
  </bookViews>
  <sheets>
    <sheet name="수능최저RAW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수능최저RAW!$A$3:$AM$2585</definedName>
    <definedName name="d">[1]응시자수!#REF!</definedName>
    <definedName name="_xlnm.Database">[2]응시자수!#REF!</definedName>
    <definedName name="FlagPercent">'[3]2021학년도 수시전형 및 입결검색기'!#REF!</definedName>
    <definedName name="IT의료산업학전공">#REF!</definedName>
    <definedName name="ㄱㄱㄱㄱ">#REF!</definedName>
    <definedName name="가군">[5]가군!$B$5:$R$94</definedName>
    <definedName name="가군성적">[6]모집시기가로취합!$D$95:$AQ$184</definedName>
    <definedName name="가군일반">#REF!</definedName>
    <definedName name="간호학과">#REF!</definedName>
    <definedName name="경_쟁_률">#REF!</definedName>
    <definedName name="경찰행정학과">#REF!</definedName>
    <definedName name="고교지역">#REF!</definedName>
    <definedName name="구_____분">#REF!</definedName>
    <definedName name="구분">#REF!</definedName>
    <definedName name="나군">[5]나군!$B$5:$U$114</definedName>
    <definedName name="나군40">[7]총괄!$D$184:$AQ$292</definedName>
    <definedName name="나군일반">#REF!</definedName>
    <definedName name="노인복지학과">#REF!</definedName>
    <definedName name="ㄷㄷㄷ">#REF!</definedName>
    <definedName name="단과대학">#REF!</definedName>
    <definedName name="데이터경영학전공">#REF!</definedName>
    <definedName name="등록_11일">#REF!</definedName>
    <definedName name="등록_17일">#REF!</definedName>
    <definedName name="등록_18일">#REF!</definedName>
    <definedName name="등록_4일">#REF!</definedName>
    <definedName name="등록_5일">#REF!</definedName>
    <definedName name="등록5일">#REF!</definedName>
    <definedName name="등록여부">#REF!</definedName>
    <definedName name="ㅁㄴㅇㄹ">#REF!</definedName>
    <definedName name="메디컬화장품융합전공">#REF!</definedName>
    <definedName name="모집">#REF!</definedName>
    <definedName name="모집단위">#REF!</definedName>
    <definedName name="모집단위별_지원현황_총계">#REF!</definedName>
    <definedName name="물리치료학과">#REF!</definedName>
    <definedName name="미술치료학과">#REF!</definedName>
    <definedName name="ㅂㅂㅂ">#REF!</definedName>
    <definedName name="방재안전관리전공">#REF!</definedName>
    <definedName name="범주목록">#REF!</definedName>
    <definedName name="보건학부">#REF!</definedName>
    <definedName name="뷰티케어산업학과">#REF!</definedName>
    <definedName name="ㅅㅅㅅㅅㅅㅅ">#REF!</definedName>
    <definedName name="산림조경학전공">#REF!</definedName>
    <definedName name="상담심리학과">#REF!</definedName>
    <definedName name="성명">#REF!</definedName>
    <definedName name="성별">#REF!</definedName>
    <definedName name="소__계">#REF!</definedName>
    <definedName name="소방방재환경전공">#REF!</definedName>
    <definedName name="수시">[5]수시!$B$6:$L$96</definedName>
    <definedName name="수시2009">'[6]2009학년도최종합격자'!$E$5:$AM$96</definedName>
    <definedName name="수시경쟁율">[7]수시2!$A$2:$K$113</definedName>
    <definedName name="수시등급">#REF!</definedName>
    <definedName name="수시성적">[6]모집시기가로취합!$D$4:$AQ$94</definedName>
    <definedName name="수시일반">#REF!</definedName>
    <definedName name="수험번호">#REF!</definedName>
    <definedName name="스마트IT전공">#REF!</definedName>
    <definedName name="시각미디어디자인학과">#REF!</definedName>
    <definedName name="식품생명공학전공">#REF!</definedName>
    <definedName name="식품영양학전공">#REF!</definedName>
    <definedName name="식품조리학전공">#REF!</definedName>
    <definedName name="실내디자인전공">#REF!</definedName>
    <definedName name="실버스포츠산업학과">#REF!</definedName>
    <definedName name="십일학년도가군등급">#REF!</definedName>
    <definedName name="십칠학년도">[8]최저학력기준!$A$8:$D$145</definedName>
    <definedName name="십학년도가군등급">#REF!</definedName>
    <definedName name="아동복지학과">#REF!</definedName>
    <definedName name="알쏭">#REF!</definedName>
    <definedName name="연락처1">#REF!</definedName>
    <definedName name="연락처2">#REF!</definedName>
    <definedName name="연락처3">#REF!</definedName>
    <definedName name="연락처4">#REF!</definedName>
    <definedName name="열제목1">'[9]27수시검색'!#REF!</definedName>
    <definedName name="열제목2">#REF!</definedName>
    <definedName name="응시_계열">#REF!</definedName>
    <definedName name="의료경영학과">#REF!</definedName>
    <definedName name="의료공학전공">#REF!</definedName>
    <definedName name="이건뭐지">#REF!</definedName>
    <definedName name="이건정말...">#REF!</definedName>
    <definedName name="이름">#REF!</definedName>
    <definedName name="일반_전형">#REF!</definedName>
    <definedName name="임상병리학과">#REF!</definedName>
    <definedName name="입결2">#REF!</definedName>
    <definedName name="ㅈㅈㅈ">#REF!</definedName>
    <definedName name="자연">#REF!</definedName>
    <definedName name="장학구분">#REF!</definedName>
    <definedName name="전형유형">#REF!</definedName>
    <definedName name="전형정렬">#REF!</definedName>
    <definedName name="정렬">#REF!</definedName>
    <definedName name="정시경쟁율">[7]정시!$A$2:$P$122</definedName>
    <definedName name="정원내_특별전형">#REF!</definedName>
    <definedName name="정원내_합계">#REF!</definedName>
    <definedName name="정원외_특별전형">#REF!</definedName>
    <definedName name="제약공학과">#REF!</definedName>
    <definedName name="주민등록번호">#REF!</definedName>
    <definedName name="중국어과">#REF!</definedName>
    <definedName name="중등특수교육과">#REF!</definedName>
    <definedName name="지방전체비율">#REF!</definedName>
    <definedName name="직원목록">#REF!</definedName>
    <definedName name="청소년교육상담학과">#REF!</definedName>
    <definedName name="추가모집">#REF!</definedName>
    <definedName name="추가일반">#REF!</definedName>
    <definedName name="출신고교">#REF!</definedName>
    <definedName name="친환경건축학전공">#REF!</definedName>
    <definedName name="통상경제학부">#REF!</definedName>
    <definedName name="학과">#REF!</definedName>
    <definedName name="한방스포츠의학과">#REF!</definedName>
    <definedName name="한약개발학전공">#REF!</definedName>
    <definedName name="한의">#REF!</definedName>
    <definedName name="한의예과">#REF!</definedName>
    <definedName name="한의예과_인문">#REF!</definedName>
    <definedName name="한의예과_자연">#REF!</definedName>
    <definedName name="합격순위">#REF!</definedName>
    <definedName name="항공서비스학과">#REF!</definedName>
    <definedName name="향산업학과">#REF!</definedName>
    <definedName name="헐">#REF!</definedName>
    <definedName name="헐헐">#REF!</definedName>
    <definedName name="형식">#REF!</definedName>
    <definedName name="호텔관광학과">#REF!</definedName>
    <definedName name="화장품소재공학전공">#REF!</definedName>
    <definedName name="흑">#REF!</definedName>
    <definedName name="ㅛㅛㅛ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85" i="2" l="1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B369" i="2" s="1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B322" i="2" s="1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B268" i="2" s="1"/>
  <c r="C268" i="2" s="1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B252" i="2" s="1"/>
  <c r="C252" i="2" s="1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B236" i="2" s="1"/>
  <c r="C236" i="2" s="1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B220" i="2" s="1"/>
  <c r="C220" i="2" s="1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B204" i="2" s="1"/>
  <c r="C204" i="2" s="1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B188" i="2" s="1"/>
  <c r="C188" i="2" s="1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B172" i="2" s="1"/>
  <c r="C172" i="2" s="1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B156" i="2" s="1"/>
  <c r="C156" i="2" s="1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B140" i="2" s="1"/>
  <c r="C140" i="2" s="1"/>
  <c r="A139" i="2"/>
  <c r="A138" i="2"/>
  <c r="A137" i="2"/>
  <c r="A136" i="2"/>
  <c r="A135" i="2"/>
  <c r="A134" i="2"/>
  <c r="A133" i="2"/>
  <c r="A132" i="2"/>
  <c r="A131" i="2"/>
  <c r="A130" i="2"/>
  <c r="B129" i="2"/>
  <c r="C129" i="2" s="1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B114" i="2" s="1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B82" i="2" s="1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B25" i="2"/>
  <c r="A25" i="2"/>
  <c r="A24" i="2"/>
  <c r="A23" i="2"/>
  <c r="A22" i="2"/>
  <c r="A21" i="2"/>
  <c r="A20" i="2"/>
  <c r="A19" i="2"/>
  <c r="A18" i="2"/>
  <c r="A17" i="2"/>
  <c r="A16" i="2"/>
  <c r="A15" i="2"/>
  <c r="B15" i="2" s="1"/>
  <c r="A14" i="2"/>
  <c r="A13" i="2"/>
  <c r="A12" i="2"/>
  <c r="B12" i="2" s="1"/>
  <c r="A11" i="2"/>
  <c r="B11" i="2" s="1"/>
  <c r="A10" i="2"/>
  <c r="A9" i="2"/>
  <c r="A8" i="2"/>
  <c r="A7" i="2"/>
  <c r="B7" i="2" s="1"/>
  <c r="A6" i="2"/>
  <c r="A5" i="2"/>
  <c r="A4" i="2"/>
  <c r="B704" i="2" s="1"/>
  <c r="C704" i="2" s="1"/>
  <c r="B49" i="2" l="1"/>
  <c r="C49" i="2" s="1"/>
  <c r="B81" i="2"/>
  <c r="C81" i="2" s="1"/>
  <c r="B121" i="2"/>
  <c r="B161" i="2"/>
  <c r="C161" i="2" s="1"/>
  <c r="B201" i="2"/>
  <c r="B241" i="2"/>
  <c r="C241" i="2" s="1"/>
  <c r="B265" i="2"/>
  <c r="B305" i="2"/>
  <c r="C305" i="2" s="1"/>
  <c r="B373" i="2"/>
  <c r="B428" i="2"/>
  <c r="B608" i="2"/>
  <c r="C608" i="2" s="1"/>
  <c r="B110" i="2"/>
  <c r="C110" i="2" s="1"/>
  <c r="B54" i="2"/>
  <c r="C54" i="2" s="1"/>
  <c r="B91" i="2"/>
  <c r="B118" i="2"/>
  <c r="C118" i="2" s="1"/>
  <c r="B123" i="2"/>
  <c r="B134" i="2"/>
  <c r="C134" i="2" s="1"/>
  <c r="B139" i="2"/>
  <c r="C139" i="2" s="1"/>
  <c r="B150" i="2"/>
  <c r="C150" i="2" s="1"/>
  <c r="B155" i="2"/>
  <c r="C155" i="2" s="1"/>
  <c r="B166" i="2"/>
  <c r="C166" i="2" s="1"/>
  <c r="B171" i="2"/>
  <c r="C171" i="2" s="1"/>
  <c r="B182" i="2"/>
  <c r="C182" i="2" s="1"/>
  <c r="B187" i="2"/>
  <c r="C187" i="2" s="1"/>
  <c r="B198" i="2"/>
  <c r="C198" i="2" s="1"/>
  <c r="B203" i="2"/>
  <c r="C203" i="2" s="1"/>
  <c r="B214" i="2"/>
  <c r="C214" i="2" s="1"/>
  <c r="B219" i="2"/>
  <c r="C219" i="2" s="1"/>
  <c r="B230" i="2"/>
  <c r="C230" i="2" s="1"/>
  <c r="B235" i="2"/>
  <c r="C235" i="2" s="1"/>
  <c r="B246" i="2"/>
  <c r="C246" i="2" s="1"/>
  <c r="B251" i="2"/>
  <c r="C251" i="2" s="1"/>
  <c r="B262" i="2"/>
  <c r="C262" i="2" s="1"/>
  <c r="B267" i="2"/>
  <c r="C267" i="2" s="1"/>
  <c r="B278" i="2"/>
  <c r="C278" i="2" s="1"/>
  <c r="B283" i="2"/>
  <c r="C283" i="2" s="1"/>
  <c r="B294" i="2"/>
  <c r="C294" i="2" s="1"/>
  <c r="B299" i="2"/>
  <c r="C299" i="2" s="1"/>
  <c r="B310" i="2"/>
  <c r="C310" i="2" s="1"/>
  <c r="B315" i="2"/>
  <c r="C315" i="2" s="1"/>
  <c r="B340" i="2"/>
  <c r="C340" i="2" s="1"/>
  <c r="B388" i="2"/>
  <c r="B392" i="2"/>
  <c r="C392" i="2" s="1"/>
  <c r="B401" i="2"/>
  <c r="B421" i="2"/>
  <c r="C421" i="2" s="1"/>
  <c r="B441" i="2"/>
  <c r="C441" i="2" s="1"/>
  <c r="B446" i="2"/>
  <c r="C446" i="2" s="1"/>
  <c r="B475" i="2"/>
  <c r="C475" i="2" s="1"/>
  <c r="B496" i="2"/>
  <c r="C496" i="2" s="1"/>
  <c r="B65" i="2"/>
  <c r="C65" i="2" s="1"/>
  <c r="B105" i="2"/>
  <c r="B177" i="2"/>
  <c r="C177" i="2" s="1"/>
  <c r="B46" i="2"/>
  <c r="C46" i="2" s="1"/>
  <c r="B126" i="2"/>
  <c r="C126" i="2" s="1"/>
  <c r="B694" i="2"/>
  <c r="C694" i="2" s="1"/>
  <c r="B43" i="2"/>
  <c r="B5" i="2"/>
  <c r="B210" i="2"/>
  <c r="C210" i="2" s="1"/>
  <c r="B226" i="2"/>
  <c r="C226" i="2" s="1"/>
  <c r="B247" i="2"/>
  <c r="C247" i="2" s="1"/>
  <c r="B263" i="2"/>
  <c r="C263" i="2" s="1"/>
  <c r="B279" i="2"/>
  <c r="C279" i="2" s="1"/>
  <c r="B295" i="2"/>
  <c r="C295" i="2" s="1"/>
  <c r="B311" i="2"/>
  <c r="C311" i="2" s="1"/>
  <c r="B344" i="2"/>
  <c r="C344" i="2" s="1"/>
  <c r="B361" i="2"/>
  <c r="C361" i="2" s="1"/>
  <c r="B380" i="2"/>
  <c r="B385" i="2"/>
  <c r="B397" i="2"/>
  <c r="B407" i="2"/>
  <c r="C407" i="2" s="1"/>
  <c r="B425" i="2"/>
  <c r="C425" i="2" s="1"/>
  <c r="B436" i="2"/>
  <c r="C436" i="2" s="1"/>
  <c r="B462" i="2"/>
  <c r="C462" i="2" s="1"/>
  <c r="B486" i="2"/>
  <c r="C486" i="2" s="1"/>
  <c r="B497" i="2"/>
  <c r="B502" i="2"/>
  <c r="C502" i="2" s="1"/>
  <c r="B689" i="2"/>
  <c r="C689" i="2" s="1"/>
  <c r="B33" i="2"/>
  <c r="C33" i="2" s="1"/>
  <c r="B73" i="2"/>
  <c r="B97" i="2"/>
  <c r="C97" i="2" s="1"/>
  <c r="B137" i="2"/>
  <c r="B169" i="2"/>
  <c r="B217" i="2"/>
  <c r="B249" i="2"/>
  <c r="B289" i="2"/>
  <c r="C289" i="2" s="1"/>
  <c r="B313" i="2"/>
  <c r="B343" i="2"/>
  <c r="C343" i="2" s="1"/>
  <c r="B395" i="2"/>
  <c r="B466" i="2"/>
  <c r="C466" i="2" s="1"/>
  <c r="B544" i="2"/>
  <c r="C544" i="2" s="1"/>
  <c r="B672" i="2"/>
  <c r="C672" i="2" s="1"/>
  <c r="B22" i="2"/>
  <c r="C22" i="2" s="1"/>
  <c r="B78" i="2"/>
  <c r="C78" i="2" s="1"/>
  <c r="B158" i="2"/>
  <c r="C158" i="2" s="1"/>
  <c r="B206" i="2"/>
  <c r="C206" i="2" s="1"/>
  <c r="B238" i="2"/>
  <c r="C238" i="2" s="1"/>
  <c r="B302" i="2"/>
  <c r="C302" i="2" s="1"/>
  <c r="C322" i="2"/>
  <c r="B365" i="2"/>
  <c r="C365" i="2" s="1"/>
  <c r="B374" i="2"/>
  <c r="C374" i="2" s="1"/>
  <c r="B513" i="2"/>
  <c r="C513" i="2" s="1"/>
  <c r="B19" i="2"/>
  <c r="B70" i="2"/>
  <c r="C70" i="2" s="1"/>
  <c r="B107" i="2"/>
  <c r="B39" i="2"/>
  <c r="C39" i="2" s="1"/>
  <c r="B71" i="2"/>
  <c r="C71" i="2" s="1"/>
  <c r="B135" i="2"/>
  <c r="C135" i="2" s="1"/>
  <c r="B167" i="2"/>
  <c r="C167" i="2" s="1"/>
  <c r="B183" i="2"/>
  <c r="C183" i="2" s="1"/>
  <c r="B199" i="2"/>
  <c r="C199" i="2" s="1"/>
  <c r="B215" i="2"/>
  <c r="C215" i="2" s="1"/>
  <c r="B231" i="2"/>
  <c r="C231" i="2" s="1"/>
  <c r="B242" i="2"/>
  <c r="C242" i="2" s="1"/>
  <c r="B258" i="2"/>
  <c r="C258" i="2" s="1"/>
  <c r="B274" i="2"/>
  <c r="C274" i="2" s="1"/>
  <c r="B290" i="2"/>
  <c r="C290" i="2" s="1"/>
  <c r="B306" i="2"/>
  <c r="C306" i="2" s="1"/>
  <c r="B323" i="2"/>
  <c r="C323" i="2" s="1"/>
  <c r="C5" i="2"/>
  <c r="C12" i="2"/>
  <c r="B20" i="2"/>
  <c r="C20" i="2" s="1"/>
  <c r="B31" i="2"/>
  <c r="C31" i="2" s="1"/>
  <c r="B35" i="2"/>
  <c r="C35" i="2"/>
  <c r="B47" i="2"/>
  <c r="C47" i="2" s="1"/>
  <c r="B51" i="2"/>
  <c r="C51" i="2"/>
  <c r="B63" i="2"/>
  <c r="C63" i="2" s="1"/>
  <c r="B67" i="2"/>
  <c r="C67" i="2" s="1"/>
  <c r="B79" i="2"/>
  <c r="C79" i="2" s="1"/>
  <c r="B83" i="2"/>
  <c r="C83" i="2" s="1"/>
  <c r="B95" i="2"/>
  <c r="C95" i="2" s="1"/>
  <c r="B99" i="2"/>
  <c r="C99" i="2"/>
  <c r="B111" i="2"/>
  <c r="C111" i="2" s="1"/>
  <c r="B115" i="2"/>
  <c r="C115" i="2" s="1"/>
  <c r="B127" i="2"/>
  <c r="C127" i="2" s="1"/>
  <c r="B131" i="2"/>
  <c r="C131" i="2" s="1"/>
  <c r="B143" i="2"/>
  <c r="C143" i="2" s="1"/>
  <c r="B147" i="2"/>
  <c r="C147" i="2" s="1"/>
  <c r="B159" i="2"/>
  <c r="C159" i="2" s="1"/>
  <c r="B163" i="2"/>
  <c r="C163" i="2"/>
  <c r="B175" i="2"/>
  <c r="C175" i="2" s="1"/>
  <c r="B179" i="2"/>
  <c r="C179" i="2"/>
  <c r="B191" i="2"/>
  <c r="C191" i="2" s="1"/>
  <c r="B195" i="2"/>
  <c r="C195" i="2" s="1"/>
  <c r="B207" i="2"/>
  <c r="C207" i="2" s="1"/>
  <c r="B211" i="2"/>
  <c r="C211" i="2" s="1"/>
  <c r="B223" i="2"/>
  <c r="C223" i="2" s="1"/>
  <c r="B227" i="2"/>
  <c r="C227" i="2"/>
  <c r="B239" i="2"/>
  <c r="C239" i="2" s="1"/>
  <c r="B243" i="2"/>
  <c r="C243" i="2" s="1"/>
  <c r="B255" i="2"/>
  <c r="C255" i="2" s="1"/>
  <c r="B259" i="2"/>
  <c r="C259" i="2" s="1"/>
  <c r="B271" i="2"/>
  <c r="C271" i="2" s="1"/>
  <c r="B275" i="2"/>
  <c r="C275" i="2" s="1"/>
  <c r="B287" i="2"/>
  <c r="C287" i="2" s="1"/>
  <c r="B291" i="2"/>
  <c r="C291" i="2"/>
  <c r="B303" i="2"/>
  <c r="C303" i="2" s="1"/>
  <c r="B307" i="2"/>
  <c r="C307" i="2"/>
  <c r="B319" i="2"/>
  <c r="C319" i="2" s="1"/>
  <c r="B336" i="2"/>
  <c r="C336" i="2" s="1"/>
  <c r="B341" i="2"/>
  <c r="B353" i="2"/>
  <c r="B366" i="2"/>
  <c r="C366" i="2" s="1"/>
  <c r="B376" i="2"/>
  <c r="B381" i="2"/>
  <c r="C385" i="2"/>
  <c r="B389" i="2"/>
  <c r="C389" i="2" s="1"/>
  <c r="B402" i="2"/>
  <c r="C402" i="2" s="1"/>
  <c r="B418" i="2"/>
  <c r="C418" i="2" s="1"/>
  <c r="B452" i="2"/>
  <c r="B463" i="2"/>
  <c r="C463" i="2"/>
  <c r="C497" i="2"/>
  <c r="B528" i="2"/>
  <c r="C528" i="2" s="1"/>
  <c r="B560" i="2"/>
  <c r="C560" i="2" s="1"/>
  <c r="B592" i="2"/>
  <c r="C592" i="2" s="1"/>
  <c r="B624" i="2"/>
  <c r="C624" i="2" s="1"/>
  <c r="B656" i="2"/>
  <c r="C656" i="2" s="1"/>
  <c r="B185" i="2"/>
  <c r="B233" i="2"/>
  <c r="B273" i="2"/>
  <c r="C273" i="2" s="1"/>
  <c r="B297" i="2"/>
  <c r="B351" i="2"/>
  <c r="C351" i="2" s="1"/>
  <c r="B424" i="2"/>
  <c r="C424" i="2" s="1"/>
  <c r="B489" i="2"/>
  <c r="C489" i="2" s="1"/>
  <c r="B576" i="2"/>
  <c r="C576" i="2" s="1"/>
  <c r="B843" i="2"/>
  <c r="C843" i="2" s="1"/>
  <c r="B2580" i="2"/>
  <c r="B2489" i="2"/>
  <c r="C2489" i="2" s="1"/>
  <c r="B2579" i="2"/>
  <c r="C2579" i="2" s="1"/>
  <c r="B2440" i="2"/>
  <c r="C2440" i="2" s="1"/>
  <c r="B2578" i="2"/>
  <c r="C2578" i="2" s="1"/>
  <c r="B2572" i="2"/>
  <c r="B2563" i="2"/>
  <c r="C2563" i="2" s="1"/>
  <c r="B2554" i="2"/>
  <c r="C2554" i="2" s="1"/>
  <c r="B2540" i="2"/>
  <c r="B2531" i="2"/>
  <c r="C2531" i="2" s="1"/>
  <c r="B2522" i="2"/>
  <c r="B2508" i="2"/>
  <c r="B2499" i="2"/>
  <c r="B2490" i="2"/>
  <c r="C2490" i="2" s="1"/>
  <c r="B2434" i="2"/>
  <c r="B2424" i="2"/>
  <c r="C2424" i="2" s="1"/>
  <c r="B2402" i="2"/>
  <c r="B2392" i="2"/>
  <c r="C2392" i="2" s="1"/>
  <c r="B2370" i="2"/>
  <c r="C2370" i="2" s="1"/>
  <c r="B2360" i="2"/>
  <c r="C2360" i="2" s="1"/>
  <c r="B2338" i="2"/>
  <c r="B2328" i="2"/>
  <c r="C2328" i="2" s="1"/>
  <c r="B2304" i="2"/>
  <c r="C2304" i="2" s="1"/>
  <c r="B2288" i="2"/>
  <c r="C2288" i="2" s="1"/>
  <c r="B2272" i="2"/>
  <c r="C2272" i="2" s="1"/>
  <c r="B2256" i="2"/>
  <c r="C2256" i="2" s="1"/>
  <c r="B2409" i="2"/>
  <c r="C2409" i="2" s="1"/>
  <c r="B2571" i="2"/>
  <c r="C2571" i="2" s="1"/>
  <c r="B2562" i="2"/>
  <c r="C2562" i="2" s="1"/>
  <c r="B2548" i="2"/>
  <c r="B2539" i="2"/>
  <c r="C2539" i="2" s="1"/>
  <c r="B2530" i="2"/>
  <c r="C2530" i="2" s="1"/>
  <c r="B2516" i="2"/>
  <c r="B2507" i="2"/>
  <c r="B2498" i="2"/>
  <c r="C2498" i="2" s="1"/>
  <c r="B2481" i="2"/>
  <c r="C2481" i="2" s="1"/>
  <c r="B2473" i="2"/>
  <c r="C2473" i="2" s="1"/>
  <c r="B2465" i="2"/>
  <c r="C2465" i="2" s="1"/>
  <c r="B2457" i="2"/>
  <c r="C2457" i="2" s="1"/>
  <c r="B2449" i="2"/>
  <c r="C2449" i="2" s="1"/>
  <c r="B2441" i="2"/>
  <c r="C2441" i="2" s="1"/>
  <c r="B2426" i="2"/>
  <c r="B2419" i="2"/>
  <c r="B2416" i="2"/>
  <c r="C2416" i="2" s="1"/>
  <c r="B2412" i="2"/>
  <c r="B2394" i="2"/>
  <c r="B2384" i="2"/>
  <c r="C2384" i="2" s="1"/>
  <c r="B2380" i="2"/>
  <c r="B2362" i="2"/>
  <c r="B2352" i="2"/>
  <c r="C2352" i="2" s="1"/>
  <c r="B2330" i="2"/>
  <c r="B2320" i="2"/>
  <c r="C2320" i="2" s="1"/>
  <c r="B2306" i="2"/>
  <c r="C2306" i="2" s="1"/>
  <c r="B2290" i="2"/>
  <c r="C2290" i="2" s="1"/>
  <c r="B2274" i="2"/>
  <c r="B2258" i="2"/>
  <c r="C2258" i="2" s="1"/>
  <c r="B2433" i="2"/>
  <c r="C2433" i="2" s="1"/>
  <c r="B2401" i="2"/>
  <c r="C2401" i="2" s="1"/>
  <c r="B2369" i="2"/>
  <c r="C2369" i="2" s="1"/>
  <c r="B2337" i="2"/>
  <c r="C2337" i="2" s="1"/>
  <c r="B2570" i="2"/>
  <c r="C2570" i="2" s="1"/>
  <c r="B2483" i="2"/>
  <c r="B2475" i="2"/>
  <c r="B2467" i="2"/>
  <c r="C2467" i="2" s="1"/>
  <c r="B2459" i="2"/>
  <c r="C2459" i="2" s="1"/>
  <c r="B2451" i="2"/>
  <c r="C2451" i="2" s="1"/>
  <c r="B2443" i="2"/>
  <c r="C2443" i="2" s="1"/>
  <c r="B2425" i="2"/>
  <c r="C2425" i="2" s="1"/>
  <c r="B2393" i="2"/>
  <c r="C2393" i="2" s="1"/>
  <c r="B2361" i="2"/>
  <c r="C2361" i="2" s="1"/>
  <c r="B2546" i="2"/>
  <c r="C2546" i="2" s="1"/>
  <c r="B2458" i="2"/>
  <c r="B2410" i="2"/>
  <c r="B2354" i="2"/>
  <c r="B2321" i="2"/>
  <c r="C2321" i="2" s="1"/>
  <c r="B2312" i="2"/>
  <c r="C2312" i="2" s="1"/>
  <c r="B2119" i="2"/>
  <c r="C2119" i="2" s="1"/>
  <c r="B2111" i="2"/>
  <c r="C2111" i="2" s="1"/>
  <c r="B2103" i="2"/>
  <c r="C2103" i="2" s="1"/>
  <c r="B2556" i="2"/>
  <c r="B2492" i="2"/>
  <c r="B2404" i="2"/>
  <c r="B2379" i="2"/>
  <c r="B2345" i="2"/>
  <c r="C2345" i="2" s="1"/>
  <c r="B2340" i="2"/>
  <c r="B2266" i="2"/>
  <c r="C2266" i="2" s="1"/>
  <c r="B2262" i="2"/>
  <c r="B2538" i="2"/>
  <c r="C2538" i="2" s="1"/>
  <c r="B2532" i="2"/>
  <c r="B2515" i="2"/>
  <c r="C2515" i="2" s="1"/>
  <c r="B2474" i="2"/>
  <c r="B2418" i="2"/>
  <c r="B2329" i="2"/>
  <c r="C2329" i="2" s="1"/>
  <c r="B2282" i="2"/>
  <c r="C2282" i="2" s="1"/>
  <c r="B2278" i="2"/>
  <c r="B2250" i="2"/>
  <c r="C2250" i="2" s="1"/>
  <c r="B2555" i="2"/>
  <c r="C2555" i="2" s="1"/>
  <c r="B2491" i="2"/>
  <c r="B2450" i="2"/>
  <c r="B2428" i="2"/>
  <c r="B2408" i="2"/>
  <c r="C2408" i="2" s="1"/>
  <c r="B2403" i="2"/>
  <c r="B2378" i="2"/>
  <c r="B2368" i="2"/>
  <c r="C2368" i="2" s="1"/>
  <c r="B2353" i="2"/>
  <c r="C2353" i="2" s="1"/>
  <c r="B2344" i="2"/>
  <c r="C2344" i="2" s="1"/>
  <c r="B2339" i="2"/>
  <c r="B2302" i="2"/>
  <c r="C2302" i="2" s="1"/>
  <c r="B2298" i="2"/>
  <c r="C2298" i="2" s="1"/>
  <c r="B2294" i="2"/>
  <c r="B2273" i="2"/>
  <c r="C2273" i="2" s="1"/>
  <c r="B2265" i="2"/>
  <c r="B2246" i="2"/>
  <c r="B2238" i="2"/>
  <c r="C2238" i="2" s="1"/>
  <c r="B2230" i="2"/>
  <c r="C2230" i="2" s="1"/>
  <c r="B2514" i="2"/>
  <c r="B2386" i="2"/>
  <c r="B2314" i="2"/>
  <c r="B2310" i="2"/>
  <c r="B2281" i="2"/>
  <c r="B2524" i="2"/>
  <c r="B2466" i="2"/>
  <c r="B2432" i="2"/>
  <c r="C2432" i="2" s="1"/>
  <c r="B2417" i="2"/>
  <c r="C2417" i="2" s="1"/>
  <c r="B2377" i="2"/>
  <c r="C2377" i="2" s="1"/>
  <c r="B2372" i="2"/>
  <c r="B2347" i="2"/>
  <c r="B2322" i="2"/>
  <c r="B2297" i="2"/>
  <c r="B2268" i="2"/>
  <c r="B2264" i="2"/>
  <c r="C2264" i="2" s="1"/>
  <c r="B2547" i="2"/>
  <c r="C2547" i="2" s="1"/>
  <c r="B2346" i="2"/>
  <c r="B2242" i="2"/>
  <c r="C2242" i="2" s="1"/>
  <c r="B2128" i="2"/>
  <c r="B2125" i="2"/>
  <c r="C2125" i="2" s="1"/>
  <c r="B2121" i="2"/>
  <c r="B2114" i="2"/>
  <c r="C2114" i="2" s="1"/>
  <c r="B2087" i="2"/>
  <c r="C2087" i="2" s="1"/>
  <c r="B2078" i="2"/>
  <c r="C2078" i="2" s="1"/>
  <c r="B2436" i="2"/>
  <c r="B2400" i="2"/>
  <c r="C2400" i="2" s="1"/>
  <c r="B2226" i="2"/>
  <c r="C2226" i="2" s="1"/>
  <c r="B2221" i="2"/>
  <c r="B2110" i="2"/>
  <c r="C2110" i="2" s="1"/>
  <c r="B2523" i="2"/>
  <c r="B2442" i="2"/>
  <c r="B2284" i="2"/>
  <c r="B2198" i="2"/>
  <c r="C2198" i="2" s="1"/>
  <c r="B2194" i="2"/>
  <c r="C2194" i="2" s="1"/>
  <c r="B2190" i="2"/>
  <c r="C2190" i="2" s="1"/>
  <c r="B2186" i="2"/>
  <c r="C2186" i="2" s="1"/>
  <c r="B2182" i="2"/>
  <c r="C2182" i="2" s="1"/>
  <c r="B2178" i="2"/>
  <c r="C2178" i="2" s="1"/>
  <c r="B2174" i="2"/>
  <c r="C2174" i="2" s="1"/>
  <c r="B2170" i="2"/>
  <c r="C2170" i="2" s="1"/>
  <c r="B2166" i="2"/>
  <c r="C2166" i="2" s="1"/>
  <c r="B2162" i="2"/>
  <c r="C2162" i="2" s="1"/>
  <c r="B2158" i="2"/>
  <c r="C2158" i="2" s="1"/>
  <c r="B2154" i="2"/>
  <c r="C2154" i="2" s="1"/>
  <c r="B2150" i="2"/>
  <c r="C2150" i="2" s="1"/>
  <c r="B2146" i="2"/>
  <c r="C2146" i="2" s="1"/>
  <c r="B2142" i="2"/>
  <c r="C2142" i="2" s="1"/>
  <c r="B2138" i="2"/>
  <c r="C2138" i="2" s="1"/>
  <c r="B2500" i="2"/>
  <c r="B2385" i="2"/>
  <c r="C2385" i="2" s="1"/>
  <c r="B2371" i="2"/>
  <c r="B2336" i="2"/>
  <c r="C2336" i="2" s="1"/>
  <c r="B2296" i="2"/>
  <c r="C2296" i="2" s="1"/>
  <c r="B2206" i="2"/>
  <c r="C2206" i="2" s="1"/>
  <c r="B2202" i="2"/>
  <c r="C2202" i="2" s="1"/>
  <c r="B2134" i="2"/>
  <c r="C2134" i="2" s="1"/>
  <c r="B2102" i="2"/>
  <c r="C2102" i="2" s="1"/>
  <c r="B2086" i="2"/>
  <c r="C2086" i="2" s="1"/>
  <c r="B2071" i="2"/>
  <c r="C2071" i="2" s="1"/>
  <c r="B2564" i="2"/>
  <c r="B2411" i="2"/>
  <c r="B2376" i="2"/>
  <c r="C2376" i="2" s="1"/>
  <c r="B2214" i="2"/>
  <c r="C2214" i="2" s="1"/>
  <c r="B2210" i="2"/>
  <c r="C2210" i="2" s="1"/>
  <c r="B2126" i="2"/>
  <c r="C2126" i="2" s="1"/>
  <c r="B2079" i="2"/>
  <c r="C2079" i="2" s="1"/>
  <c r="B2313" i="2"/>
  <c r="B2300" i="2"/>
  <c r="B2267" i="2"/>
  <c r="B2482" i="2"/>
  <c r="B2109" i="2"/>
  <c r="B2095" i="2"/>
  <c r="C2095" i="2" s="1"/>
  <c r="B2065" i="2"/>
  <c r="B2051" i="2"/>
  <c r="B2037" i="2"/>
  <c r="C2037" i="2" s="1"/>
  <c r="B2033" i="2"/>
  <c r="B2019" i="2"/>
  <c r="B2005" i="2"/>
  <c r="C2005" i="2" s="1"/>
  <c r="B2001" i="2"/>
  <c r="B1987" i="2"/>
  <c r="B1973" i="2"/>
  <c r="C1973" i="2" s="1"/>
  <c r="B1969" i="2"/>
  <c r="B2308" i="2"/>
  <c r="B2234" i="2"/>
  <c r="C2234" i="2" s="1"/>
  <c r="B2185" i="2"/>
  <c r="B2169" i="2"/>
  <c r="B2153" i="2"/>
  <c r="B2137" i="2"/>
  <c r="B2122" i="2"/>
  <c r="C2122" i="2" s="1"/>
  <c r="B2118" i="2"/>
  <c r="C2118" i="2" s="1"/>
  <c r="B2113" i="2"/>
  <c r="B2104" i="2"/>
  <c r="B2081" i="2"/>
  <c r="B2047" i="2"/>
  <c r="B2040" i="2"/>
  <c r="C2040" i="2" s="1"/>
  <c r="B2015" i="2"/>
  <c r="B2008" i="2"/>
  <c r="C2008" i="2" s="1"/>
  <c r="B1983" i="2"/>
  <c r="B1976" i="2"/>
  <c r="C1976" i="2" s="1"/>
  <c r="B1952" i="2"/>
  <c r="C1952" i="2" s="1"/>
  <c r="B1949" i="2"/>
  <c r="C1949" i="2" s="1"/>
  <c r="B1936" i="2"/>
  <c r="C1936" i="2" s="1"/>
  <c r="B1933" i="2"/>
  <c r="C1933" i="2" s="1"/>
  <c r="B1920" i="2"/>
  <c r="C1920" i="2" s="1"/>
  <c r="B2061" i="2"/>
  <c r="C2061" i="2" s="1"/>
  <c r="B2057" i="2"/>
  <c r="B2029" i="2"/>
  <c r="C2029" i="2" s="1"/>
  <c r="B2025" i="2"/>
  <c r="B1997" i="2"/>
  <c r="C1997" i="2" s="1"/>
  <c r="B1993" i="2"/>
  <c r="B1965" i="2"/>
  <c r="C1965" i="2" s="1"/>
  <c r="B2189" i="2"/>
  <c r="B2173" i="2"/>
  <c r="B2157" i="2"/>
  <c r="B2141" i="2"/>
  <c r="B2117" i="2"/>
  <c r="B2112" i="2"/>
  <c r="B2094" i="2"/>
  <c r="C2094" i="2" s="1"/>
  <c r="B2237" i="2"/>
  <c r="B2193" i="2"/>
  <c r="B2177" i="2"/>
  <c r="B2161" i="2"/>
  <c r="B2145" i="2"/>
  <c r="B2106" i="2"/>
  <c r="C2106" i="2" s="1"/>
  <c r="B2097" i="2"/>
  <c r="B2093" i="2"/>
  <c r="B2075" i="2"/>
  <c r="C2075" i="2" s="1"/>
  <c r="B2063" i="2"/>
  <c r="B2056" i="2"/>
  <c r="C2056" i="2" s="1"/>
  <c r="B2031" i="2"/>
  <c r="B2024" i="2"/>
  <c r="C2024" i="2" s="1"/>
  <c r="B1999" i="2"/>
  <c r="B1992" i="2"/>
  <c r="C1992" i="2" s="1"/>
  <c r="B1967" i="2"/>
  <c r="B1960" i="2"/>
  <c r="C1960" i="2" s="1"/>
  <c r="B1957" i="2"/>
  <c r="C1957" i="2" s="1"/>
  <c r="B1944" i="2"/>
  <c r="C1944" i="2" s="1"/>
  <c r="B1941" i="2"/>
  <c r="C1941" i="2" s="1"/>
  <c r="B1928" i="2"/>
  <c r="C1928" i="2" s="1"/>
  <c r="B2280" i="2"/>
  <c r="C2280" i="2" s="1"/>
  <c r="B2218" i="2"/>
  <c r="C2218" i="2" s="1"/>
  <c r="B2045" i="2"/>
  <c r="C2045" i="2" s="1"/>
  <c r="B2041" i="2"/>
  <c r="B2013" i="2"/>
  <c r="C2013" i="2" s="1"/>
  <c r="B2009" i="2"/>
  <c r="B1981" i="2"/>
  <c r="C1981" i="2" s="1"/>
  <c r="B1977" i="2"/>
  <c r="B2197" i="2"/>
  <c r="B2049" i="2"/>
  <c r="B2016" i="2"/>
  <c r="B1971" i="2"/>
  <c r="B1914" i="2"/>
  <c r="C1914" i="2" s="1"/>
  <c r="B1904" i="2"/>
  <c r="C1904" i="2" s="1"/>
  <c r="B1897" i="2"/>
  <c r="B1894" i="2"/>
  <c r="C1894" i="2" s="1"/>
  <c r="B1887" i="2"/>
  <c r="B1884" i="2"/>
  <c r="C1884" i="2" s="1"/>
  <c r="B1871" i="2"/>
  <c r="B1868" i="2"/>
  <c r="C1868" i="2" s="1"/>
  <c r="B1855" i="2"/>
  <c r="B1852" i="2"/>
  <c r="C1852" i="2" s="1"/>
  <c r="B1839" i="2"/>
  <c r="B1836" i="2"/>
  <c r="C1836" i="2" s="1"/>
  <c r="B1823" i="2"/>
  <c r="B1820" i="2"/>
  <c r="C1820" i="2" s="1"/>
  <c r="B1817" i="2"/>
  <c r="C1817" i="2" s="1"/>
  <c r="B1811" i="2"/>
  <c r="B2248" i="2"/>
  <c r="C2248" i="2" s="1"/>
  <c r="B2021" i="2"/>
  <c r="C2021" i="2" s="1"/>
  <c r="B1935" i="2"/>
  <c r="B1917" i="2"/>
  <c r="C1917" i="2" s="1"/>
  <c r="B1877" i="2"/>
  <c r="C1877" i="2" s="1"/>
  <c r="B1861" i="2"/>
  <c r="C1861" i="2" s="1"/>
  <c r="B1845" i="2"/>
  <c r="C1845" i="2" s="1"/>
  <c r="B1829" i="2"/>
  <c r="C1829" i="2" s="1"/>
  <c r="B2181" i="2"/>
  <c r="B2130" i="2"/>
  <c r="C2130" i="2" s="1"/>
  <c r="B2070" i="2"/>
  <c r="B2048" i="2"/>
  <c r="B2003" i="2"/>
  <c r="B1975" i="2"/>
  <c r="B1959" i="2"/>
  <c r="B1925" i="2"/>
  <c r="C1925" i="2" s="1"/>
  <c r="B1903" i="2"/>
  <c r="C1903" i="2" s="1"/>
  <c r="B2222" i="2"/>
  <c r="C2222" i="2" s="1"/>
  <c r="B2165" i="2"/>
  <c r="B2035" i="2"/>
  <c r="B2007" i="2"/>
  <c r="B1985" i="2"/>
  <c r="B1943" i="2"/>
  <c r="B1919" i="2"/>
  <c r="B1801" i="2"/>
  <c r="C1801" i="2" s="1"/>
  <c r="B2120" i="2"/>
  <c r="B2023" i="2"/>
  <c r="B1905" i="2"/>
  <c r="B1895" i="2"/>
  <c r="C1895" i="2" s="1"/>
  <c r="B1885" i="2"/>
  <c r="C1885" i="2" s="1"/>
  <c r="B1869" i="2"/>
  <c r="C1869" i="2" s="1"/>
  <c r="B1853" i="2"/>
  <c r="C1853" i="2" s="1"/>
  <c r="B2149" i="2"/>
  <c r="B2017" i="2"/>
  <c r="B1984" i="2"/>
  <c r="B1911" i="2"/>
  <c r="C1911" i="2" s="1"/>
  <c r="B1825" i="2"/>
  <c r="C1825" i="2" s="1"/>
  <c r="B1821" i="2"/>
  <c r="C1821" i="2" s="1"/>
  <c r="B1785" i="2"/>
  <c r="C1785" i="2" s="1"/>
  <c r="B1766" i="2"/>
  <c r="C1766" i="2" s="1"/>
  <c r="B1750" i="2"/>
  <c r="C1750" i="2" s="1"/>
  <c r="B1668" i="2"/>
  <c r="C1668" i="2" s="1"/>
  <c r="B1660" i="2"/>
  <c r="C1660" i="2" s="1"/>
  <c r="B1652" i="2"/>
  <c r="C1652" i="2" s="1"/>
  <c r="B1644" i="2"/>
  <c r="C1644" i="2" s="1"/>
  <c r="B1636" i="2"/>
  <c r="C1636" i="2" s="1"/>
  <c r="B1628" i="2"/>
  <c r="C1628" i="2" s="1"/>
  <c r="B1620" i="2"/>
  <c r="C1620" i="2" s="1"/>
  <c r="B1612" i="2"/>
  <c r="C1612" i="2" s="1"/>
  <c r="B1604" i="2"/>
  <c r="C1604" i="2" s="1"/>
  <c r="B1596" i="2"/>
  <c r="C1596" i="2" s="1"/>
  <c r="B1588" i="2"/>
  <c r="C1588" i="2" s="1"/>
  <c r="B1580" i="2"/>
  <c r="C1580" i="2" s="1"/>
  <c r="B1572" i="2"/>
  <c r="C1572" i="2" s="1"/>
  <c r="B1564" i="2"/>
  <c r="C1564" i="2" s="1"/>
  <c r="B1556" i="2"/>
  <c r="C1556" i="2" s="1"/>
  <c r="B2072" i="2"/>
  <c r="C2072" i="2" s="1"/>
  <c r="B1889" i="2"/>
  <c r="B1873" i="2"/>
  <c r="C1873" i="2" s="1"/>
  <c r="B1857" i="2"/>
  <c r="C1857" i="2" s="1"/>
  <c r="B1810" i="2"/>
  <c r="C1810" i="2" s="1"/>
  <c r="B1788" i="2"/>
  <c r="C1788" i="2" s="1"/>
  <c r="B1717" i="2"/>
  <c r="C1717" i="2" s="1"/>
  <c r="B1685" i="2"/>
  <c r="C1685" i="2" s="1"/>
  <c r="B1989" i="2"/>
  <c r="C1989" i="2" s="1"/>
  <c r="B1927" i="2"/>
  <c r="B1841" i="2"/>
  <c r="C1841" i="2" s="1"/>
  <c r="B1837" i="2"/>
  <c r="C1837" i="2" s="1"/>
  <c r="B1833" i="2"/>
  <c r="C1833" i="2" s="1"/>
  <c r="B1813" i="2"/>
  <c r="C1813" i="2" s="1"/>
  <c r="B1791" i="2"/>
  <c r="C1791" i="2" s="1"/>
  <c r="B2213" i="2"/>
  <c r="B2105" i="2"/>
  <c r="B1951" i="2"/>
  <c r="B1881" i="2"/>
  <c r="C1881" i="2" s="1"/>
  <c r="B1865" i="2"/>
  <c r="C1865" i="2" s="1"/>
  <c r="B1849" i="2"/>
  <c r="C1849" i="2" s="1"/>
  <c r="B1840" i="2"/>
  <c r="C1840" i="2" s="1"/>
  <c r="B1812" i="2"/>
  <c r="C1812" i="2" s="1"/>
  <c r="B1797" i="2"/>
  <c r="C1797" i="2" s="1"/>
  <c r="B1793" i="2"/>
  <c r="C1793" i="2" s="1"/>
  <c r="B1786" i="2"/>
  <c r="B1777" i="2"/>
  <c r="C1777" i="2" s="1"/>
  <c r="B1767" i="2"/>
  <c r="B1761" i="2"/>
  <c r="C1761" i="2" s="1"/>
  <c r="B1751" i="2"/>
  <c r="B1745" i="2"/>
  <c r="C1745" i="2" s="1"/>
  <c r="B1739" i="2"/>
  <c r="C1739" i="2" s="1"/>
  <c r="B1736" i="2"/>
  <c r="C1736" i="2" s="1"/>
  <c r="B1733" i="2"/>
  <c r="C1733" i="2" s="1"/>
  <c r="B1727" i="2"/>
  <c r="B1707" i="2"/>
  <c r="C1707" i="2" s="1"/>
  <c r="B1704" i="2"/>
  <c r="C1704" i="2" s="1"/>
  <c r="B1701" i="2"/>
  <c r="C1701" i="2" s="1"/>
  <c r="B1695" i="2"/>
  <c r="B1675" i="2"/>
  <c r="C1675" i="2" s="1"/>
  <c r="B1672" i="2"/>
  <c r="C1672" i="2" s="1"/>
  <c r="B1669" i="2"/>
  <c r="C1669" i="2" s="1"/>
  <c r="B1661" i="2"/>
  <c r="C1661" i="2" s="1"/>
  <c r="B2039" i="2"/>
  <c r="B1991" i="2"/>
  <c r="B1891" i="2"/>
  <c r="C1891" i="2" s="1"/>
  <c r="B1827" i="2"/>
  <c r="B1776" i="2"/>
  <c r="B1741" i="2"/>
  <c r="C1741" i="2" s="1"/>
  <c r="B1716" i="2"/>
  <c r="C1716" i="2" s="1"/>
  <c r="B1712" i="2"/>
  <c r="B1703" i="2"/>
  <c r="B1683" i="2"/>
  <c r="B1549" i="2"/>
  <c r="C1549" i="2" s="1"/>
  <c r="B1533" i="2"/>
  <c r="C1533" i="2" s="1"/>
  <c r="B1517" i="2"/>
  <c r="C1517" i="2" s="1"/>
  <c r="B1501" i="2"/>
  <c r="C1501" i="2" s="1"/>
  <c r="B1485" i="2"/>
  <c r="C1485" i="2" s="1"/>
  <c r="B1469" i="2"/>
  <c r="C1469" i="2" s="1"/>
  <c r="B1453" i="2"/>
  <c r="C1453" i="2" s="1"/>
  <c r="B1437" i="2"/>
  <c r="C1437" i="2" s="1"/>
  <c r="B1421" i="2"/>
  <c r="C1421" i="2" s="1"/>
  <c r="B1405" i="2"/>
  <c r="C1405" i="2" s="1"/>
  <c r="B1389" i="2"/>
  <c r="C1389" i="2" s="1"/>
  <c r="B2067" i="2"/>
  <c r="B2053" i="2"/>
  <c r="C2053" i="2" s="1"/>
  <c r="B2000" i="2"/>
  <c r="B1906" i="2"/>
  <c r="B1872" i="2"/>
  <c r="B1832" i="2"/>
  <c r="B1809" i="2"/>
  <c r="C1809" i="2" s="1"/>
  <c r="B1792" i="2"/>
  <c r="B1781" i="2"/>
  <c r="C1781" i="2" s="1"/>
  <c r="B1760" i="2"/>
  <c r="B1731" i="2"/>
  <c r="B1693" i="2"/>
  <c r="C1693" i="2" s="1"/>
  <c r="B1687" i="2"/>
  <c r="B1656" i="2"/>
  <c r="B1648" i="2"/>
  <c r="B1640" i="2"/>
  <c r="B1632" i="2"/>
  <c r="B1624" i="2"/>
  <c r="B1616" i="2"/>
  <c r="B1608" i="2"/>
  <c r="B1600" i="2"/>
  <c r="B1592" i="2"/>
  <c r="B1584" i="2"/>
  <c r="B1576" i="2"/>
  <c r="B1568" i="2"/>
  <c r="B1560" i="2"/>
  <c r="B1542" i="2"/>
  <c r="B1536" i="2"/>
  <c r="B1526" i="2"/>
  <c r="B1520" i="2"/>
  <c r="C1520" i="2" s="1"/>
  <c r="B1510" i="2"/>
  <c r="B1504" i="2"/>
  <c r="C1504" i="2" s="1"/>
  <c r="B1494" i="2"/>
  <c r="B1488" i="2"/>
  <c r="C1488" i="2" s="1"/>
  <c r="B1478" i="2"/>
  <c r="B1472" i="2"/>
  <c r="C1472" i="2" s="1"/>
  <c r="B1765" i="2"/>
  <c r="C1765" i="2" s="1"/>
  <c r="B1744" i="2"/>
  <c r="B1735" i="2"/>
  <c r="B1715" i="2"/>
  <c r="B1678" i="2"/>
  <c r="C1678" i="2" s="1"/>
  <c r="B1664" i="2"/>
  <c r="C1664" i="2" s="1"/>
  <c r="B1800" i="2"/>
  <c r="B1784" i="2"/>
  <c r="C1784" i="2" s="1"/>
  <c r="B1758" i="2"/>
  <c r="C1758" i="2" s="1"/>
  <c r="B2055" i="2"/>
  <c r="B1773" i="2"/>
  <c r="C1773" i="2" s="1"/>
  <c r="B1742" i="2"/>
  <c r="C1742" i="2" s="1"/>
  <c r="B1713" i="2"/>
  <c r="C1713" i="2" s="1"/>
  <c r="B1709" i="2"/>
  <c r="C1709" i="2" s="1"/>
  <c r="B1749" i="2"/>
  <c r="C1749" i="2" s="1"/>
  <c r="B1710" i="2"/>
  <c r="C1710" i="2" s="1"/>
  <c r="B1684" i="2"/>
  <c r="C1684" i="2" s="1"/>
  <c r="B1446" i="2"/>
  <c r="B1397" i="2"/>
  <c r="C1397" i="2" s="1"/>
  <c r="B1366" i="2"/>
  <c r="C1366" i="2" s="1"/>
  <c r="B1356" i="2"/>
  <c r="C1356" i="2" s="1"/>
  <c r="B1334" i="2"/>
  <c r="C1334" i="2" s="1"/>
  <c r="B1324" i="2"/>
  <c r="C1324" i="2" s="1"/>
  <c r="B1796" i="2"/>
  <c r="B1655" i="2"/>
  <c r="B1645" i="2"/>
  <c r="C1645" i="2" s="1"/>
  <c r="B1639" i="2"/>
  <c r="B1629" i="2"/>
  <c r="C1629" i="2" s="1"/>
  <c r="B1623" i="2"/>
  <c r="B1613" i="2"/>
  <c r="C1613" i="2" s="1"/>
  <c r="B1607" i="2"/>
  <c r="B1597" i="2"/>
  <c r="C1597" i="2" s="1"/>
  <c r="B1591" i="2"/>
  <c r="B1581" i="2"/>
  <c r="C1581" i="2" s="1"/>
  <c r="B1575" i="2"/>
  <c r="B1565" i="2"/>
  <c r="C1565" i="2" s="1"/>
  <c r="B1559" i="2"/>
  <c r="B1531" i="2"/>
  <c r="B1499" i="2"/>
  <c r="B1467" i="2"/>
  <c r="B1462" i="2"/>
  <c r="B1455" i="2"/>
  <c r="B1413" i="2"/>
  <c r="C1413" i="2" s="1"/>
  <c r="B1373" i="2"/>
  <c r="C1373" i="2" s="1"/>
  <c r="B1341" i="2"/>
  <c r="C1341" i="2" s="1"/>
  <c r="B1309" i="2"/>
  <c r="C1309" i="2" s="1"/>
  <c r="B1296" i="2"/>
  <c r="B1293" i="2"/>
  <c r="C1293" i="2" s="1"/>
  <c r="B1280" i="2"/>
  <c r="B1277" i="2"/>
  <c r="C1277" i="2" s="1"/>
  <c r="B1264" i="2"/>
  <c r="B1261" i="2"/>
  <c r="C1261" i="2" s="1"/>
  <c r="B1248" i="2"/>
  <c r="B1245" i="2"/>
  <c r="C1245" i="2" s="1"/>
  <c r="B1232" i="2"/>
  <c r="B1229" i="2"/>
  <c r="C1229" i="2" s="1"/>
  <c r="B1216" i="2"/>
  <c r="B1213" i="2"/>
  <c r="C1213" i="2" s="1"/>
  <c r="B1200" i="2"/>
  <c r="B1197" i="2"/>
  <c r="C1197" i="2" s="1"/>
  <c r="B1184" i="2"/>
  <c r="B1181" i="2"/>
  <c r="C1181" i="2" s="1"/>
  <c r="B1168" i="2"/>
  <c r="B1165" i="2"/>
  <c r="C1165" i="2" s="1"/>
  <c r="B1152" i="2"/>
  <c r="B1149" i="2"/>
  <c r="C1149" i="2" s="1"/>
  <c r="B1901" i="2"/>
  <c r="C1901" i="2" s="1"/>
  <c r="B1816" i="2"/>
  <c r="C1816" i="2" s="1"/>
  <c r="B1696" i="2"/>
  <c r="B1540" i="2"/>
  <c r="C1540" i="2" s="1"/>
  <c r="B1508" i="2"/>
  <c r="C1508" i="2" s="1"/>
  <c r="B1476" i="2"/>
  <c r="C1476" i="2" s="1"/>
  <c r="B1429" i="2"/>
  <c r="C1429" i="2" s="1"/>
  <c r="B1388" i="2"/>
  <c r="C1388" i="2" s="1"/>
  <c r="B1383" i="2"/>
  <c r="B1380" i="2"/>
  <c r="C1380" i="2" s="1"/>
  <c r="B1358" i="2"/>
  <c r="C1358" i="2" s="1"/>
  <c r="B1348" i="2"/>
  <c r="C1348" i="2" s="1"/>
  <c r="B1326" i="2"/>
  <c r="C1326" i="2" s="1"/>
  <c r="B1316" i="2"/>
  <c r="C1316" i="2" s="1"/>
  <c r="B1302" i="2"/>
  <c r="C1302" i="2" s="1"/>
  <c r="B1286" i="2"/>
  <c r="C1286" i="2" s="1"/>
  <c r="B1270" i="2"/>
  <c r="C1270" i="2" s="1"/>
  <c r="B1254" i="2"/>
  <c r="C1254" i="2" s="1"/>
  <c r="B1238" i="2"/>
  <c r="C1238" i="2" s="1"/>
  <c r="B1222" i="2"/>
  <c r="C1222" i="2" s="1"/>
  <c r="B1206" i="2"/>
  <c r="C1206" i="2" s="1"/>
  <c r="B1190" i="2"/>
  <c r="C1190" i="2" s="1"/>
  <c r="B1174" i="2"/>
  <c r="C1174" i="2" s="1"/>
  <c r="B1158" i="2"/>
  <c r="C1158" i="2" s="1"/>
  <c r="B1142" i="2"/>
  <c r="C1142" i="2" s="1"/>
  <c r="B1126" i="2"/>
  <c r="C1126" i="2" s="1"/>
  <c r="B1110" i="2"/>
  <c r="C1110" i="2" s="1"/>
  <c r="B2080" i="2"/>
  <c r="B1856" i="2"/>
  <c r="B1774" i="2"/>
  <c r="C1774" i="2" s="1"/>
  <c r="B1677" i="2"/>
  <c r="C1677" i="2" s="1"/>
  <c r="B1548" i="2"/>
  <c r="C1548" i="2" s="1"/>
  <c r="B1543" i="2"/>
  <c r="B1525" i="2"/>
  <c r="C1525" i="2" s="1"/>
  <c r="B1516" i="2"/>
  <c r="C1516" i="2" s="1"/>
  <c r="B1511" i="2"/>
  <c r="B1493" i="2"/>
  <c r="C1493" i="2" s="1"/>
  <c r="B1484" i="2"/>
  <c r="C1484" i="2" s="1"/>
  <c r="B1479" i="2"/>
  <c r="B1445" i="2"/>
  <c r="C1445" i="2" s="1"/>
  <c r="B1404" i="2"/>
  <c r="C1404" i="2" s="1"/>
  <c r="B1399" i="2"/>
  <c r="B1396" i="2"/>
  <c r="C1396" i="2" s="1"/>
  <c r="B1392" i="2"/>
  <c r="C1392" i="2" s="1"/>
  <c r="B1365" i="2"/>
  <c r="C1365" i="2" s="1"/>
  <c r="B1333" i="2"/>
  <c r="C1333" i="2" s="1"/>
  <c r="B1725" i="2"/>
  <c r="C1725" i="2" s="1"/>
  <c r="B1719" i="2"/>
  <c r="B1671" i="2"/>
  <c r="B1659" i="2"/>
  <c r="B1643" i="2"/>
  <c r="B1627" i="2"/>
  <c r="B1611" i="2"/>
  <c r="B1595" i="2"/>
  <c r="B1579" i="2"/>
  <c r="B1681" i="2"/>
  <c r="C1681" i="2" s="1"/>
  <c r="B1653" i="2"/>
  <c r="C1653" i="2" s="1"/>
  <c r="B1647" i="2"/>
  <c r="B1637" i="2"/>
  <c r="C1637" i="2" s="1"/>
  <c r="B1631" i="2"/>
  <c r="B1621" i="2"/>
  <c r="C1621" i="2" s="1"/>
  <c r="B1615" i="2"/>
  <c r="B1605" i="2"/>
  <c r="C1605" i="2" s="1"/>
  <c r="B1599" i="2"/>
  <c r="B1589" i="2"/>
  <c r="C1589" i="2" s="1"/>
  <c r="B1583" i="2"/>
  <c r="B1573" i="2"/>
  <c r="C1573" i="2" s="1"/>
  <c r="B1567" i="2"/>
  <c r="B1557" i="2"/>
  <c r="C1557" i="2" s="1"/>
  <c r="B1547" i="2"/>
  <c r="B1515" i="2"/>
  <c r="B1483" i="2"/>
  <c r="B1436" i="2"/>
  <c r="C1436" i="2" s="1"/>
  <c r="B1431" i="2"/>
  <c r="B1428" i="2"/>
  <c r="C1428" i="2" s="1"/>
  <c r="B1424" i="2"/>
  <c r="C1424" i="2" s="1"/>
  <c r="B1403" i="2"/>
  <c r="B1398" i="2"/>
  <c r="B1391" i="2"/>
  <c r="B1357" i="2"/>
  <c r="C1357" i="2" s="1"/>
  <c r="B1325" i="2"/>
  <c r="C1325" i="2" s="1"/>
  <c r="B1304" i="2"/>
  <c r="B1301" i="2"/>
  <c r="C1301" i="2" s="1"/>
  <c r="B1288" i="2"/>
  <c r="B1285" i="2"/>
  <c r="C1285" i="2" s="1"/>
  <c r="B1272" i="2"/>
  <c r="B1269" i="2"/>
  <c r="C1269" i="2" s="1"/>
  <c r="B1256" i="2"/>
  <c r="B1253" i="2"/>
  <c r="C1253" i="2" s="1"/>
  <c r="B1240" i="2"/>
  <c r="B1237" i="2"/>
  <c r="C1237" i="2" s="1"/>
  <c r="B1224" i="2"/>
  <c r="B1221" i="2"/>
  <c r="C1221" i="2" s="1"/>
  <c r="B1208" i="2"/>
  <c r="B1205" i="2"/>
  <c r="C1205" i="2" s="1"/>
  <c r="B1192" i="2"/>
  <c r="B1189" i="2"/>
  <c r="C1189" i="2" s="1"/>
  <c r="B1176" i="2"/>
  <c r="B1173" i="2"/>
  <c r="C1173" i="2" s="1"/>
  <c r="B1160" i="2"/>
  <c r="B1157" i="2"/>
  <c r="C1157" i="2" s="1"/>
  <c r="B1144" i="2"/>
  <c r="B1898" i="2"/>
  <c r="C1898" i="2" s="1"/>
  <c r="B1819" i="2"/>
  <c r="B1699" i="2"/>
  <c r="B1663" i="2"/>
  <c r="B1551" i="2"/>
  <c r="B1524" i="2"/>
  <c r="C1524" i="2" s="1"/>
  <c r="B1492" i="2"/>
  <c r="C1492" i="2" s="1"/>
  <c r="B1452" i="2"/>
  <c r="C1452" i="2" s="1"/>
  <c r="B1447" i="2"/>
  <c r="B1444" i="2"/>
  <c r="C1444" i="2" s="1"/>
  <c r="B1440" i="2"/>
  <c r="C1440" i="2" s="1"/>
  <c r="B1414" i="2"/>
  <c r="B1374" i="2"/>
  <c r="C1374" i="2" s="1"/>
  <c r="B1364" i="2"/>
  <c r="C1364" i="2" s="1"/>
  <c r="B1342" i="2"/>
  <c r="C1342" i="2" s="1"/>
  <c r="B1332" i="2"/>
  <c r="C1332" i="2" s="1"/>
  <c r="B1310" i="2"/>
  <c r="C1310" i="2" s="1"/>
  <c r="B1294" i="2"/>
  <c r="C1294" i="2" s="1"/>
  <c r="B1278" i="2"/>
  <c r="C1278" i="2" s="1"/>
  <c r="B1262" i="2"/>
  <c r="C1262" i="2" s="1"/>
  <c r="B1246" i="2"/>
  <c r="C1246" i="2" s="1"/>
  <c r="B1230" i="2"/>
  <c r="C1230" i="2" s="1"/>
  <c r="B1214" i="2"/>
  <c r="C1214" i="2" s="1"/>
  <c r="B1198" i="2"/>
  <c r="C1198" i="2" s="1"/>
  <c r="B1182" i="2"/>
  <c r="C1182" i="2" s="1"/>
  <c r="B1166" i="2"/>
  <c r="C1166" i="2" s="1"/>
  <c r="B1150" i="2"/>
  <c r="C1150" i="2" s="1"/>
  <c r="B1134" i="2"/>
  <c r="C1134" i="2" s="1"/>
  <c r="B1118" i="2"/>
  <c r="C1118" i="2" s="1"/>
  <c r="B1101" i="2"/>
  <c r="C1101" i="2" s="1"/>
  <c r="B1085" i="2"/>
  <c r="C1085" i="2" s="1"/>
  <c r="B1430" i="2"/>
  <c r="B1412" i="2"/>
  <c r="C1412" i="2" s="1"/>
  <c r="B1336" i="2"/>
  <c r="B1136" i="2"/>
  <c r="B1111" i="2"/>
  <c r="B1056" i="2"/>
  <c r="C1056" i="2" s="1"/>
  <c r="B989" i="2"/>
  <c r="C989" i="2" s="1"/>
  <c r="B1532" i="2"/>
  <c r="C1532" i="2" s="1"/>
  <c r="B1468" i="2"/>
  <c r="C1468" i="2" s="1"/>
  <c r="B1456" i="2"/>
  <c r="C1456" i="2" s="1"/>
  <c r="B1372" i="2"/>
  <c r="C1372" i="2" s="1"/>
  <c r="B1317" i="2"/>
  <c r="C1317" i="2" s="1"/>
  <c r="B1311" i="2"/>
  <c r="B1287" i="2"/>
  <c r="B1276" i="2"/>
  <c r="B1265" i="2"/>
  <c r="C1265" i="2" s="1"/>
  <c r="B1223" i="2"/>
  <c r="B1212" i="2"/>
  <c r="B1201" i="2"/>
  <c r="C1201" i="2" s="1"/>
  <c r="B1159" i="2"/>
  <c r="B1132" i="2"/>
  <c r="B1127" i="2"/>
  <c r="B1119" i="2"/>
  <c r="B1102" i="2"/>
  <c r="B1094" i="2"/>
  <c r="B1087" i="2"/>
  <c r="B1062" i="2"/>
  <c r="B1052" i="2"/>
  <c r="C1052" i="2" s="1"/>
  <c r="B1045" i="2"/>
  <c r="C1045" i="2" s="1"/>
  <c r="B1023" i="2"/>
  <c r="B1020" i="2"/>
  <c r="B1013" i="2"/>
  <c r="C1013" i="2" s="1"/>
  <c r="B1007" i="2"/>
  <c r="B992" i="2"/>
  <c r="B982" i="2"/>
  <c r="B979" i="2"/>
  <c r="C979" i="2" s="1"/>
  <c r="B973" i="2"/>
  <c r="B1509" i="2"/>
  <c r="C1509" i="2" s="1"/>
  <c r="B1461" i="2"/>
  <c r="C1461" i="2" s="1"/>
  <c r="B1435" i="2"/>
  <c r="B1423" i="2"/>
  <c r="B1143" i="2"/>
  <c r="B1076" i="2"/>
  <c r="C1076" i="2" s="1"/>
  <c r="B1069" i="2"/>
  <c r="C1069" i="2" s="1"/>
  <c r="B1055" i="2"/>
  <c r="B1048" i="2"/>
  <c r="C1048" i="2" s="1"/>
  <c r="B1038" i="2"/>
  <c r="C1038" i="2" s="1"/>
  <c r="B1016" i="2"/>
  <c r="B1004" i="2"/>
  <c r="C1004" i="2" s="1"/>
  <c r="B1001" i="2"/>
  <c r="C1001" i="2" s="1"/>
  <c r="B998" i="2"/>
  <c r="C998" i="2" s="1"/>
  <c r="B995" i="2"/>
  <c r="C995" i="2" s="1"/>
  <c r="B985" i="2"/>
  <c r="C985" i="2" s="1"/>
  <c r="B970" i="2"/>
  <c r="C970" i="2" s="1"/>
  <c r="B967" i="2"/>
  <c r="C967" i="2" s="1"/>
  <c r="B964" i="2"/>
  <c r="C964" i="2" s="1"/>
  <c r="B938" i="2"/>
  <c r="C938" i="2" s="1"/>
  <c r="B1495" i="2"/>
  <c r="B1382" i="2"/>
  <c r="B1340" i="2"/>
  <c r="C1340" i="2" s="1"/>
  <c r="B1303" i="2"/>
  <c r="B1292" i="2"/>
  <c r="B1281" i="2"/>
  <c r="C1281" i="2" s="1"/>
  <c r="B1239" i="2"/>
  <c r="B1228" i="2"/>
  <c r="B1217" i="2"/>
  <c r="C1217" i="2" s="1"/>
  <c r="B1175" i="2"/>
  <c r="B1164" i="2"/>
  <c r="B1153" i="2"/>
  <c r="C1153" i="2" s="1"/>
  <c r="B1148" i="2"/>
  <c r="C1148" i="2" s="1"/>
  <c r="B1072" i="2"/>
  <c r="C1072" i="2" s="1"/>
  <c r="B1029" i="2"/>
  <c r="C1029" i="2" s="1"/>
  <c r="B981" i="2"/>
  <c r="C981" i="2" s="1"/>
  <c r="B955" i="2"/>
  <c r="C955" i="2" s="1"/>
  <c r="B923" i="2"/>
  <c r="C923" i="2" s="1"/>
  <c r="B1500" i="2"/>
  <c r="C1500" i="2" s="1"/>
  <c r="B1408" i="2"/>
  <c r="C1408" i="2" s="1"/>
  <c r="B1387" i="2"/>
  <c r="B1381" i="2"/>
  <c r="C1381" i="2" s="1"/>
  <c r="B1375" i="2"/>
  <c r="B1350" i="2"/>
  <c r="C1350" i="2" s="1"/>
  <c r="B1308" i="2"/>
  <c r="C1308" i="2" s="1"/>
  <c r="B1297" i="2"/>
  <c r="C1297" i="2" s="1"/>
  <c r="B1255" i="2"/>
  <c r="B1244" i="2"/>
  <c r="B1233" i="2"/>
  <c r="C1233" i="2" s="1"/>
  <c r="B1191" i="2"/>
  <c r="B1180" i="2"/>
  <c r="B1169" i="2"/>
  <c r="C1169" i="2" s="1"/>
  <c r="B1129" i="2"/>
  <c r="B1121" i="2"/>
  <c r="C1121" i="2" s="1"/>
  <c r="B1117" i="2"/>
  <c r="C1117" i="2" s="1"/>
  <c r="B1109" i="2"/>
  <c r="C1109" i="2" s="1"/>
  <c r="B1104" i="2"/>
  <c r="C1104" i="2" s="1"/>
  <c r="B1100" i="2"/>
  <c r="C1100" i="2" s="1"/>
  <c r="B1096" i="2"/>
  <c r="C1096" i="2" s="1"/>
  <c r="B1071" i="2"/>
  <c r="B1064" i="2"/>
  <c r="C1064" i="2" s="1"/>
  <c r="B1040" i="2"/>
  <c r="C1040" i="2" s="1"/>
  <c r="B1037" i="2"/>
  <c r="C1037" i="2" s="1"/>
  <c r="B1031" i="2"/>
  <c r="B1003" i="2"/>
  <c r="C1003" i="2" s="1"/>
  <c r="B1000" i="2"/>
  <c r="C1000" i="2" s="1"/>
  <c r="B997" i="2"/>
  <c r="C997" i="2" s="1"/>
  <c r="B1563" i="2"/>
  <c r="B1541" i="2"/>
  <c r="C1541" i="2" s="1"/>
  <c r="B1477" i="2"/>
  <c r="C1477" i="2" s="1"/>
  <c r="B1420" i="2"/>
  <c r="C1420" i="2" s="1"/>
  <c r="B1368" i="2"/>
  <c r="B1137" i="2"/>
  <c r="C1137" i="2" s="1"/>
  <c r="B1133" i="2"/>
  <c r="C1133" i="2" s="1"/>
  <c r="B1125" i="2"/>
  <c r="C1125" i="2" s="1"/>
  <c r="B1112" i="2"/>
  <c r="B1046" i="2"/>
  <c r="B1021" i="2"/>
  <c r="C1021" i="2" s="1"/>
  <c r="B1318" i="2"/>
  <c r="C1318" i="2" s="1"/>
  <c r="B1260" i="2"/>
  <c r="B1207" i="2"/>
  <c r="B1103" i="2"/>
  <c r="B1092" i="2"/>
  <c r="C1092" i="2" s="1"/>
  <c r="B1053" i="2"/>
  <c r="C1053" i="2" s="1"/>
  <c r="B1047" i="2"/>
  <c r="B1008" i="2"/>
  <c r="C1008" i="2" s="1"/>
  <c r="B977" i="2"/>
  <c r="C977" i="2" s="1"/>
  <c r="B965" i="2"/>
  <c r="B947" i="2"/>
  <c r="C947" i="2" s="1"/>
  <c r="B939" i="2"/>
  <c r="C939" i="2" s="1"/>
  <c r="B881" i="2"/>
  <c r="C881" i="2" s="1"/>
  <c r="B1463" i="2"/>
  <c r="B1068" i="2"/>
  <c r="C1068" i="2" s="1"/>
  <c r="B1063" i="2"/>
  <c r="B1024" i="2"/>
  <c r="C1024" i="2" s="1"/>
  <c r="B1012" i="2"/>
  <c r="B987" i="2"/>
  <c r="B925" i="2"/>
  <c r="B921" i="2"/>
  <c r="B908" i="2"/>
  <c r="B905" i="2"/>
  <c r="C905" i="2" s="1"/>
  <c r="B902" i="2"/>
  <c r="C902" i="2" s="1"/>
  <c r="B899" i="2"/>
  <c r="C899" i="2" s="1"/>
  <c r="B891" i="2"/>
  <c r="B888" i="2"/>
  <c r="C888" i="2" s="1"/>
  <c r="B884" i="2"/>
  <c r="B867" i="2"/>
  <c r="B864" i="2"/>
  <c r="C864" i="2" s="1"/>
  <c r="B851" i="2"/>
  <c r="C851" i="2" s="1"/>
  <c r="B848" i="2"/>
  <c r="C848" i="2" s="1"/>
  <c r="B835" i="2"/>
  <c r="B832" i="2"/>
  <c r="C832" i="2" s="1"/>
  <c r="B819" i="2"/>
  <c r="B816" i="2"/>
  <c r="C816" i="2" s="1"/>
  <c r="B803" i="2"/>
  <c r="B800" i="2"/>
  <c r="C800" i="2" s="1"/>
  <c r="B787" i="2"/>
  <c r="C787" i="2" s="1"/>
  <c r="B784" i="2"/>
  <c r="C784" i="2" s="1"/>
  <c r="B771" i="2"/>
  <c r="B768" i="2"/>
  <c r="C768" i="2" s="1"/>
  <c r="B755" i="2"/>
  <c r="B752" i="2"/>
  <c r="C752" i="2" s="1"/>
  <c r="B739" i="2"/>
  <c r="B736" i="2"/>
  <c r="C736" i="2" s="1"/>
  <c r="B723" i="2"/>
  <c r="C723" i="2" s="1"/>
  <c r="B720" i="2"/>
  <c r="C720" i="2" s="1"/>
  <c r="B1271" i="2"/>
  <c r="B1185" i="2"/>
  <c r="C1185" i="2" s="1"/>
  <c r="B1141" i="2"/>
  <c r="C1141" i="2" s="1"/>
  <c r="B1128" i="2"/>
  <c r="B1084" i="2"/>
  <c r="C1084" i="2" s="1"/>
  <c r="B971" i="2"/>
  <c r="C971" i="2" s="1"/>
  <c r="B942" i="2"/>
  <c r="C942" i="2" s="1"/>
  <c r="B935" i="2"/>
  <c r="C935" i="2" s="1"/>
  <c r="B932" i="2"/>
  <c r="C932" i="2" s="1"/>
  <c r="B873" i="2"/>
  <c r="C873" i="2" s="1"/>
  <c r="B870" i="2"/>
  <c r="C870" i="2" s="1"/>
  <c r="B860" i="2"/>
  <c r="B857" i="2"/>
  <c r="C857" i="2" s="1"/>
  <c r="B854" i="2"/>
  <c r="C854" i="2" s="1"/>
  <c r="B844" i="2"/>
  <c r="B841" i="2"/>
  <c r="C841" i="2" s="1"/>
  <c r="B838" i="2"/>
  <c r="C838" i="2" s="1"/>
  <c r="B828" i="2"/>
  <c r="B825" i="2"/>
  <c r="C825" i="2" s="1"/>
  <c r="B822" i="2"/>
  <c r="C822" i="2" s="1"/>
  <c r="B812" i="2"/>
  <c r="B809" i="2"/>
  <c r="C809" i="2" s="1"/>
  <c r="B806" i="2"/>
  <c r="C806" i="2" s="1"/>
  <c r="B796" i="2"/>
  <c r="B793" i="2"/>
  <c r="C793" i="2" s="1"/>
  <c r="B790" i="2"/>
  <c r="C790" i="2" s="1"/>
  <c r="B780" i="2"/>
  <c r="B777" i="2"/>
  <c r="C777" i="2" s="1"/>
  <c r="B774" i="2"/>
  <c r="C774" i="2" s="1"/>
  <c r="B764" i="2"/>
  <c r="B761" i="2"/>
  <c r="C761" i="2" s="1"/>
  <c r="B758" i="2"/>
  <c r="C758" i="2" s="1"/>
  <c r="B748" i="2"/>
  <c r="B745" i="2"/>
  <c r="C745" i="2" s="1"/>
  <c r="B742" i="2"/>
  <c r="C742" i="2" s="1"/>
  <c r="B732" i="2"/>
  <c r="B729" i="2"/>
  <c r="C729" i="2" s="1"/>
  <c r="B726" i="2"/>
  <c r="C726" i="2" s="1"/>
  <c r="B716" i="2"/>
  <c r="B713" i="2"/>
  <c r="C713" i="2" s="1"/>
  <c r="B710" i="2"/>
  <c r="C710" i="2" s="1"/>
  <c r="B700" i="2"/>
  <c r="B697" i="2"/>
  <c r="C697" i="2" s="1"/>
  <c r="B1415" i="2"/>
  <c r="B1120" i="2"/>
  <c r="B1095" i="2"/>
  <c r="B1078" i="2"/>
  <c r="B1067" i="2"/>
  <c r="C1067" i="2" s="1"/>
  <c r="B1051" i="2"/>
  <c r="B1039" i="2"/>
  <c r="B1011" i="2"/>
  <c r="C1011" i="2" s="1"/>
  <c r="B1006" i="2"/>
  <c r="B950" i="2"/>
  <c r="B915" i="2"/>
  <c r="C915" i="2" s="1"/>
  <c r="B907" i="2"/>
  <c r="C907" i="2" s="1"/>
  <c r="B901" i="2"/>
  <c r="B890" i="2"/>
  <c r="C890" i="2" s="1"/>
  <c r="B880" i="2"/>
  <c r="C880" i="2" s="1"/>
  <c r="B866" i="2"/>
  <c r="C866" i="2" s="1"/>
  <c r="B850" i="2"/>
  <c r="C850" i="2" s="1"/>
  <c r="B834" i="2"/>
  <c r="C834" i="2" s="1"/>
  <c r="B818" i="2"/>
  <c r="C818" i="2" s="1"/>
  <c r="B802" i="2"/>
  <c r="C802" i="2" s="1"/>
  <c r="B786" i="2"/>
  <c r="C786" i="2" s="1"/>
  <c r="B770" i="2"/>
  <c r="C770" i="2" s="1"/>
  <c r="B754" i="2"/>
  <c r="C754" i="2" s="1"/>
  <c r="B738" i="2"/>
  <c r="C738" i="2" s="1"/>
  <c r="B722" i="2"/>
  <c r="C722" i="2" s="1"/>
  <c r="B706" i="2"/>
  <c r="C706" i="2" s="1"/>
  <c r="B690" i="2"/>
  <c r="C690" i="2" s="1"/>
  <c r="B674" i="2"/>
  <c r="C674" i="2" s="1"/>
  <c r="B658" i="2"/>
  <c r="C658" i="2" s="1"/>
  <c r="B642" i="2"/>
  <c r="C642" i="2" s="1"/>
  <c r="B626" i="2"/>
  <c r="C626" i="2" s="1"/>
  <c r="B610" i="2"/>
  <c r="C610" i="2" s="1"/>
  <c r="B594" i="2"/>
  <c r="C594" i="2" s="1"/>
  <c r="B578" i="2"/>
  <c r="C578" i="2" s="1"/>
  <c r="B562" i="2"/>
  <c r="C562" i="2" s="1"/>
  <c r="B546" i="2"/>
  <c r="C546" i="2" s="1"/>
  <c r="B530" i="2"/>
  <c r="C530" i="2" s="1"/>
  <c r="B514" i="2"/>
  <c r="C514" i="2" s="1"/>
  <c r="B498" i="2"/>
  <c r="C498" i="2" s="1"/>
  <c r="B474" i="2"/>
  <c r="C474" i="2" s="1"/>
  <c r="B442" i="2"/>
  <c r="C442" i="2" s="1"/>
  <c r="B410" i="2"/>
  <c r="C410" i="2" s="1"/>
  <c r="B378" i="2"/>
  <c r="C378" i="2" s="1"/>
  <c r="B1249" i="2"/>
  <c r="C1249" i="2" s="1"/>
  <c r="B1145" i="2"/>
  <c r="B1113" i="2"/>
  <c r="B1061" i="2"/>
  <c r="C1061" i="2" s="1"/>
  <c r="B1044" i="2"/>
  <c r="C1044" i="2" s="1"/>
  <c r="B1015" i="2"/>
  <c r="B945" i="2"/>
  <c r="C945" i="2" s="1"/>
  <c r="B941" i="2"/>
  <c r="B1680" i="2"/>
  <c r="B1460" i="2"/>
  <c r="C1460" i="2" s="1"/>
  <c r="B1343" i="2"/>
  <c r="B1088" i="2"/>
  <c r="C1088" i="2" s="1"/>
  <c r="B1077" i="2"/>
  <c r="C1077" i="2" s="1"/>
  <c r="B1005" i="2"/>
  <c r="C1005" i="2" s="1"/>
  <c r="B974" i="2"/>
  <c r="C974" i="2" s="1"/>
  <c r="B963" i="2"/>
  <c r="C963" i="2" s="1"/>
  <c r="B937" i="2"/>
  <c r="C937" i="2" s="1"/>
  <c r="B934" i="2"/>
  <c r="C934" i="2" s="1"/>
  <c r="B931" i="2"/>
  <c r="C931" i="2" s="1"/>
  <c r="B910" i="2"/>
  <c r="C910" i="2" s="1"/>
  <c r="B882" i="2"/>
  <c r="C882" i="2" s="1"/>
  <c r="B872" i="2"/>
  <c r="C872" i="2" s="1"/>
  <c r="B856" i="2"/>
  <c r="C856" i="2" s="1"/>
  <c r="B840" i="2"/>
  <c r="C840" i="2" s="1"/>
  <c r="B824" i="2"/>
  <c r="C824" i="2" s="1"/>
  <c r="B811" i="2"/>
  <c r="C811" i="2" s="1"/>
  <c r="B808" i="2"/>
  <c r="C808" i="2" s="1"/>
  <c r="B795" i="2"/>
  <c r="C795" i="2" s="1"/>
  <c r="B792" i="2"/>
  <c r="C792" i="2" s="1"/>
  <c r="B779" i="2"/>
  <c r="C779" i="2" s="1"/>
  <c r="B776" i="2"/>
  <c r="C776" i="2" s="1"/>
  <c r="B763" i="2"/>
  <c r="C763" i="2" s="1"/>
  <c r="B760" i="2"/>
  <c r="C760" i="2" s="1"/>
  <c r="B747" i="2"/>
  <c r="C747" i="2" s="1"/>
  <c r="B744" i="2"/>
  <c r="C744" i="2" s="1"/>
  <c r="B731" i="2"/>
  <c r="C731" i="2" s="1"/>
  <c r="B728" i="2"/>
  <c r="C728" i="2" s="1"/>
  <c r="B715" i="2"/>
  <c r="C715" i="2" s="1"/>
  <c r="B712" i="2"/>
  <c r="C712" i="2" s="1"/>
  <c r="B699" i="2"/>
  <c r="C699" i="2" s="1"/>
  <c r="B1757" i="2"/>
  <c r="C1757" i="2" s="1"/>
  <c r="B1349" i="2"/>
  <c r="C1349" i="2" s="1"/>
  <c r="B1196" i="2"/>
  <c r="B1093" i="2"/>
  <c r="C1093" i="2" s="1"/>
  <c r="B1070" i="2"/>
  <c r="B1060" i="2"/>
  <c r="C1060" i="2" s="1"/>
  <c r="B1054" i="2"/>
  <c r="B1014" i="2"/>
  <c r="C1014" i="2" s="1"/>
  <c r="B1009" i="2"/>
  <c r="B966" i="2"/>
  <c r="C966" i="2" s="1"/>
  <c r="B953" i="2"/>
  <c r="B906" i="2"/>
  <c r="C906" i="2" s="1"/>
  <c r="B903" i="2"/>
  <c r="C903" i="2" s="1"/>
  <c r="B900" i="2"/>
  <c r="C900" i="2" s="1"/>
  <c r="B889" i="2"/>
  <c r="C889" i="2" s="1"/>
  <c r="B2506" i="2"/>
  <c r="C2506" i="2" s="1"/>
  <c r="B1527" i="2"/>
  <c r="B999" i="2"/>
  <c r="B969" i="2"/>
  <c r="C969" i="2" s="1"/>
  <c r="B842" i="2"/>
  <c r="C842" i="2" s="1"/>
  <c r="B778" i="2"/>
  <c r="C778" i="2" s="1"/>
  <c r="B714" i="2"/>
  <c r="C714" i="2" s="1"/>
  <c r="B688" i="2"/>
  <c r="C688" i="2" s="1"/>
  <c r="B683" i="2"/>
  <c r="C683" i="2" s="1"/>
  <c r="B680" i="2"/>
  <c r="C680" i="2" s="1"/>
  <c r="B667" i="2"/>
  <c r="C667" i="2" s="1"/>
  <c r="B664" i="2"/>
  <c r="C664" i="2" s="1"/>
  <c r="B651" i="2"/>
  <c r="C651" i="2" s="1"/>
  <c r="B648" i="2"/>
  <c r="C648" i="2" s="1"/>
  <c r="B635" i="2"/>
  <c r="C635" i="2" s="1"/>
  <c r="B632" i="2"/>
  <c r="C632" i="2" s="1"/>
  <c r="B619" i="2"/>
  <c r="C619" i="2" s="1"/>
  <c r="B616" i="2"/>
  <c r="C616" i="2" s="1"/>
  <c r="B603" i="2"/>
  <c r="C603" i="2" s="1"/>
  <c r="B600" i="2"/>
  <c r="C600" i="2" s="1"/>
  <c r="B587" i="2"/>
  <c r="C587" i="2" s="1"/>
  <c r="B584" i="2"/>
  <c r="C584" i="2" s="1"/>
  <c r="B571" i="2"/>
  <c r="C571" i="2" s="1"/>
  <c r="B568" i="2"/>
  <c r="C568" i="2" s="1"/>
  <c r="B555" i="2"/>
  <c r="C555" i="2" s="1"/>
  <c r="B552" i="2"/>
  <c r="C552" i="2" s="1"/>
  <c r="B539" i="2"/>
  <c r="C539" i="2" s="1"/>
  <c r="B536" i="2"/>
  <c r="C536" i="2" s="1"/>
  <c r="B523" i="2"/>
  <c r="C523" i="2" s="1"/>
  <c r="B520" i="2"/>
  <c r="C520" i="2" s="1"/>
  <c r="B507" i="2"/>
  <c r="C507" i="2" s="1"/>
  <c r="B504" i="2"/>
  <c r="C504" i="2" s="1"/>
  <c r="B491" i="2"/>
  <c r="C491" i="2" s="1"/>
  <c r="B488" i="2"/>
  <c r="C488" i="2" s="1"/>
  <c r="B485" i="2"/>
  <c r="C485" i="2" s="1"/>
  <c r="B482" i="2"/>
  <c r="C482" i="2" s="1"/>
  <c r="B465" i="2"/>
  <c r="B461" i="2"/>
  <c r="B457" i="2"/>
  <c r="C457" i="2" s="1"/>
  <c r="B454" i="2"/>
  <c r="C454" i="2" s="1"/>
  <c r="B451" i="2"/>
  <c r="C451" i="2" s="1"/>
  <c r="B393" i="2"/>
  <c r="C393" i="2" s="1"/>
  <c r="B390" i="2"/>
  <c r="C390" i="2" s="1"/>
  <c r="B387" i="2"/>
  <c r="C387" i="2" s="1"/>
  <c r="B367" i="2"/>
  <c r="C367" i="2" s="1"/>
  <c r="B335" i="2"/>
  <c r="C335" i="2" s="1"/>
  <c r="B4" i="2"/>
  <c r="B531" i="2"/>
  <c r="B515" i="2"/>
  <c r="B499" i="2"/>
  <c r="B464" i="2"/>
  <c r="B434" i="2"/>
  <c r="C434" i="2" s="1"/>
  <c r="B426" i="2"/>
  <c r="C426" i="2" s="1"/>
  <c r="B400" i="2"/>
  <c r="B352" i="2"/>
  <c r="B342" i="2"/>
  <c r="C342" i="2" s="1"/>
  <c r="B320" i="2"/>
  <c r="B304" i="2"/>
  <c r="B272" i="2"/>
  <c r="B224" i="2"/>
  <c r="B192" i="2"/>
  <c r="B176" i="2"/>
  <c r="B144" i="2"/>
  <c r="B96" i="2"/>
  <c r="B64" i="2"/>
  <c r="B48" i="2"/>
  <c r="B826" i="2"/>
  <c r="C826" i="2" s="1"/>
  <c r="B762" i="2"/>
  <c r="C762" i="2" s="1"/>
  <c r="B696" i="2"/>
  <c r="C696" i="2" s="1"/>
  <c r="B682" i="2"/>
  <c r="C682" i="2" s="1"/>
  <c r="B675" i="2"/>
  <c r="B666" i="2"/>
  <c r="C666" i="2" s="1"/>
  <c r="B659" i="2"/>
  <c r="B650" i="2"/>
  <c r="C650" i="2" s="1"/>
  <c r="B643" i="2"/>
  <c r="B634" i="2"/>
  <c r="C634" i="2" s="1"/>
  <c r="B627" i="2"/>
  <c r="B618" i="2"/>
  <c r="C618" i="2" s="1"/>
  <c r="B611" i="2"/>
  <c r="B602" i="2"/>
  <c r="C602" i="2" s="1"/>
  <c r="B595" i="2"/>
  <c r="B586" i="2"/>
  <c r="C586" i="2" s="1"/>
  <c r="B579" i="2"/>
  <c r="B570" i="2"/>
  <c r="C570" i="2" s="1"/>
  <c r="B563" i="2"/>
  <c r="B554" i="2"/>
  <c r="C554" i="2" s="1"/>
  <c r="B547" i="2"/>
  <c r="B538" i="2"/>
  <c r="C538" i="2" s="1"/>
  <c r="B522" i="2"/>
  <c r="C522" i="2" s="1"/>
  <c r="B506" i="2"/>
  <c r="C506" i="2" s="1"/>
  <c r="B490" i="2"/>
  <c r="C490" i="2" s="1"/>
  <c r="B484" i="2"/>
  <c r="B460" i="2"/>
  <c r="B430" i="2"/>
  <c r="B420" i="2"/>
  <c r="B396" i="2"/>
  <c r="B370" i="2"/>
  <c r="B345" i="2"/>
  <c r="B338" i="2"/>
  <c r="B288" i="2"/>
  <c r="B256" i="2"/>
  <c r="B240" i="2"/>
  <c r="B208" i="2"/>
  <c r="B160" i="2"/>
  <c r="B128" i="2"/>
  <c r="B112" i="2"/>
  <c r="B80" i="2"/>
  <c r="B32" i="2"/>
  <c r="B16" i="2"/>
  <c r="C16" i="2" s="1"/>
  <c r="B909" i="2"/>
  <c r="B707" i="2"/>
  <c r="B359" i="2"/>
  <c r="C359" i="2" s="1"/>
  <c r="B327" i="2"/>
  <c r="C327" i="2" s="1"/>
  <c r="B957" i="2"/>
  <c r="B874" i="2"/>
  <c r="C874" i="2" s="1"/>
  <c r="B810" i="2"/>
  <c r="C810" i="2" s="1"/>
  <c r="B746" i="2"/>
  <c r="C746" i="2" s="1"/>
  <c r="B476" i="2"/>
  <c r="B456" i="2"/>
  <c r="C456" i="2" s="1"/>
  <c r="B453" i="2"/>
  <c r="C453" i="2" s="1"/>
  <c r="B450" i="2"/>
  <c r="C450" i="2" s="1"/>
  <c r="B429" i="2"/>
  <c r="B412" i="2"/>
  <c r="B681" i="2"/>
  <c r="C681" i="2" s="1"/>
  <c r="B678" i="2"/>
  <c r="C678" i="2" s="1"/>
  <c r="B668" i="2"/>
  <c r="B665" i="2"/>
  <c r="C665" i="2" s="1"/>
  <c r="B662" i="2"/>
  <c r="C662" i="2" s="1"/>
  <c r="B652" i="2"/>
  <c r="B649" i="2"/>
  <c r="C649" i="2" s="1"/>
  <c r="B646" i="2"/>
  <c r="C646" i="2" s="1"/>
  <c r="B636" i="2"/>
  <c r="B633" i="2"/>
  <c r="C633" i="2" s="1"/>
  <c r="B630" i="2"/>
  <c r="C630" i="2" s="1"/>
  <c r="B620" i="2"/>
  <c r="B617" i="2"/>
  <c r="C617" i="2" s="1"/>
  <c r="B614" i="2"/>
  <c r="C614" i="2" s="1"/>
  <c r="B604" i="2"/>
  <c r="B601" i="2"/>
  <c r="C601" i="2" s="1"/>
  <c r="B598" i="2"/>
  <c r="C598" i="2" s="1"/>
  <c r="B588" i="2"/>
  <c r="B585" i="2"/>
  <c r="C585" i="2" s="1"/>
  <c r="B582" i="2"/>
  <c r="C582" i="2" s="1"/>
  <c r="B572" i="2"/>
  <c r="B569" i="2"/>
  <c r="C569" i="2" s="1"/>
  <c r="B566" i="2"/>
  <c r="C566" i="2" s="1"/>
  <c r="B556" i="2"/>
  <c r="B553" i="2"/>
  <c r="C553" i="2" s="1"/>
  <c r="B550" i="2"/>
  <c r="C550" i="2" s="1"/>
  <c r="B540" i="2"/>
  <c r="B537" i="2"/>
  <c r="C537" i="2" s="1"/>
  <c r="B534" i="2"/>
  <c r="C534" i="2" s="1"/>
  <c r="B524" i="2"/>
  <c r="B521" i="2"/>
  <c r="C521" i="2" s="1"/>
  <c r="B518" i="2"/>
  <c r="C518" i="2" s="1"/>
  <c r="B508" i="2"/>
  <c r="B505" i="2"/>
  <c r="C505" i="2" s="1"/>
  <c r="B933" i="2"/>
  <c r="B913" i="2"/>
  <c r="C913" i="2" s="1"/>
  <c r="B892" i="2"/>
  <c r="B858" i="2"/>
  <c r="C858" i="2" s="1"/>
  <c r="B794" i="2"/>
  <c r="C794" i="2" s="1"/>
  <c r="B730" i="2"/>
  <c r="C730" i="2" s="1"/>
  <c r="B698" i="2"/>
  <c r="C698" i="2" s="1"/>
  <c r="B684" i="2"/>
  <c r="C11" i="2"/>
  <c r="B18" i="2"/>
  <c r="C18" i="2" s="1"/>
  <c r="B94" i="2"/>
  <c r="C94" i="2" s="1"/>
  <c r="B174" i="2"/>
  <c r="C174" i="2" s="1"/>
  <c r="B222" i="2"/>
  <c r="C222" i="2" s="1"/>
  <c r="B270" i="2"/>
  <c r="C270" i="2" s="1"/>
  <c r="B326" i="2"/>
  <c r="C326" i="2" s="1"/>
  <c r="B330" i="2"/>
  <c r="C330" i="2" s="1"/>
  <c r="B411" i="2"/>
  <c r="C411" i="2" s="1"/>
  <c r="C4" i="2"/>
  <c r="B38" i="2"/>
  <c r="C38" i="2" s="1"/>
  <c r="B86" i="2"/>
  <c r="C86" i="2" s="1"/>
  <c r="B8" i="2"/>
  <c r="C15" i="2"/>
  <c r="C19" i="2"/>
  <c r="B50" i="2"/>
  <c r="C50" i="2" s="1"/>
  <c r="B103" i="2"/>
  <c r="C103" i="2" s="1"/>
  <c r="B146" i="2"/>
  <c r="C146" i="2" s="1"/>
  <c r="B194" i="2"/>
  <c r="C194" i="2" s="1"/>
  <c r="B36" i="2"/>
  <c r="C36" i="2" s="1"/>
  <c r="B44" i="2"/>
  <c r="C44" i="2" s="1"/>
  <c r="B52" i="2"/>
  <c r="C52" i="2" s="1"/>
  <c r="B60" i="2"/>
  <c r="C60" i="2" s="1"/>
  <c r="B68" i="2"/>
  <c r="C68" i="2" s="1"/>
  <c r="B76" i="2"/>
  <c r="C76" i="2" s="1"/>
  <c r="B84" i="2"/>
  <c r="C84" i="2" s="1"/>
  <c r="C88" i="2"/>
  <c r="B92" i="2"/>
  <c r="C92" i="2" s="1"/>
  <c r="B100" i="2"/>
  <c r="C100" i="2" s="1"/>
  <c r="B108" i="2"/>
  <c r="C108" i="2" s="1"/>
  <c r="B116" i="2"/>
  <c r="C116" i="2" s="1"/>
  <c r="B124" i="2"/>
  <c r="C124" i="2" s="1"/>
  <c r="B132" i="2"/>
  <c r="C132" i="2" s="1"/>
  <c r="B148" i="2"/>
  <c r="C148" i="2" s="1"/>
  <c r="B164" i="2"/>
  <c r="C164" i="2" s="1"/>
  <c r="C168" i="2"/>
  <c r="B180" i="2"/>
  <c r="C180" i="2" s="1"/>
  <c r="B196" i="2"/>
  <c r="C196" i="2" s="1"/>
  <c r="B212" i="2"/>
  <c r="C212" i="2" s="1"/>
  <c r="B228" i="2"/>
  <c r="C228" i="2" s="1"/>
  <c r="B244" i="2"/>
  <c r="C244" i="2" s="1"/>
  <c r="B260" i="2"/>
  <c r="C260" i="2" s="1"/>
  <c r="B276" i="2"/>
  <c r="C276" i="2" s="1"/>
  <c r="B284" i="2"/>
  <c r="C284" i="2" s="1"/>
  <c r="B292" i="2"/>
  <c r="C292" i="2" s="1"/>
  <c r="B300" i="2"/>
  <c r="C300" i="2" s="1"/>
  <c r="B308" i="2"/>
  <c r="C308" i="2" s="1"/>
  <c r="C312" i="2"/>
  <c r="B316" i="2"/>
  <c r="C316" i="2" s="1"/>
  <c r="B328" i="2"/>
  <c r="B333" i="2"/>
  <c r="C333" i="2" s="1"/>
  <c r="C341" i="2"/>
  <c r="B350" i="2"/>
  <c r="C350" i="2" s="1"/>
  <c r="C354" i="2"/>
  <c r="B358" i="2"/>
  <c r="C358" i="2" s="1"/>
  <c r="B362" i="2"/>
  <c r="C362" i="2" s="1"/>
  <c r="B377" i="2"/>
  <c r="C377" i="2" s="1"/>
  <c r="C381" i="2"/>
  <c r="B398" i="2"/>
  <c r="C398" i="2" s="1"/>
  <c r="B403" i="2"/>
  <c r="C403" i="2" s="1"/>
  <c r="B408" i="2"/>
  <c r="C408" i="2" s="1"/>
  <c r="B422" i="2"/>
  <c r="C422" i="2" s="1"/>
  <c r="B437" i="2"/>
  <c r="C437" i="2" s="1"/>
  <c r="B492" i="2"/>
  <c r="B529" i="2"/>
  <c r="C529" i="2" s="1"/>
  <c r="B561" i="2"/>
  <c r="C561" i="2" s="1"/>
  <c r="B593" i="2"/>
  <c r="C593" i="2" s="1"/>
  <c r="B625" i="2"/>
  <c r="C625" i="2" s="1"/>
  <c r="B657" i="2"/>
  <c r="C657" i="2" s="1"/>
  <c r="B41" i="2"/>
  <c r="B89" i="2"/>
  <c r="B145" i="2"/>
  <c r="C145" i="2" s="1"/>
  <c r="B193" i="2"/>
  <c r="C193" i="2" s="1"/>
  <c r="B225" i="2"/>
  <c r="C225" i="2" s="1"/>
  <c r="B281" i="2"/>
  <c r="B321" i="2"/>
  <c r="B368" i="2"/>
  <c r="B445" i="2"/>
  <c r="B512" i="2"/>
  <c r="C512" i="2" s="1"/>
  <c r="B640" i="2"/>
  <c r="C640" i="2" s="1"/>
  <c r="B30" i="2"/>
  <c r="C30" i="2" s="1"/>
  <c r="B286" i="2"/>
  <c r="C286" i="2" s="1"/>
  <c r="B348" i="2"/>
  <c r="C348" i="2" s="1"/>
  <c r="B406" i="2"/>
  <c r="C406" i="2" s="1"/>
  <c r="B416" i="2"/>
  <c r="C416" i="2" s="1"/>
  <c r="C429" i="2"/>
  <c r="B545" i="2"/>
  <c r="C545" i="2" s="1"/>
  <c r="B27" i="2"/>
  <c r="C27" i="2" s="1"/>
  <c r="B75" i="2"/>
  <c r="C75" i="2" s="1"/>
  <c r="C82" i="2"/>
  <c r="B23" i="2"/>
  <c r="C23" i="2" s="1"/>
  <c r="B34" i="2"/>
  <c r="C34" i="2" s="1"/>
  <c r="C43" i="2"/>
  <c r="B87" i="2"/>
  <c r="C87" i="2" s="1"/>
  <c r="C91" i="2"/>
  <c r="B98" i="2"/>
  <c r="C98" i="2" s="1"/>
  <c r="C107" i="2"/>
  <c r="B151" i="2"/>
  <c r="C151" i="2" s="1"/>
  <c r="B178" i="2"/>
  <c r="C178" i="2" s="1"/>
  <c r="B28" i="2"/>
  <c r="C28" i="2" s="1"/>
  <c r="B17" i="2"/>
  <c r="C17" i="2" s="1"/>
  <c r="B24" i="2"/>
  <c r="B40" i="2"/>
  <c r="C40" i="2" s="1"/>
  <c r="B88" i="2"/>
  <c r="B104" i="2"/>
  <c r="C104" i="2" s="1"/>
  <c r="B152" i="2"/>
  <c r="C152" i="2" s="1"/>
  <c r="B168" i="2"/>
  <c r="B184" i="2"/>
  <c r="C184" i="2" s="1"/>
  <c r="B200" i="2"/>
  <c r="C200" i="2" s="1"/>
  <c r="B216" i="2"/>
  <c r="C216" i="2" s="1"/>
  <c r="B232" i="2"/>
  <c r="C232" i="2" s="1"/>
  <c r="B248" i="2"/>
  <c r="C248" i="2" s="1"/>
  <c r="B264" i="2"/>
  <c r="C264" i="2" s="1"/>
  <c r="B280" i="2"/>
  <c r="C280" i="2" s="1"/>
  <c r="B296" i="2"/>
  <c r="C296" i="2" s="1"/>
  <c r="B312" i="2"/>
  <c r="B337" i="2"/>
  <c r="C337" i="2" s="1"/>
  <c r="B346" i="2"/>
  <c r="B354" i="2"/>
  <c r="C372" i="2"/>
  <c r="B372" i="2"/>
  <c r="B382" i="2"/>
  <c r="B386" i="2"/>
  <c r="C386" i="2" s="1"/>
  <c r="B394" i="2"/>
  <c r="C394" i="2" s="1"/>
  <c r="B399" i="2"/>
  <c r="C399" i="2" s="1"/>
  <c r="B427" i="2"/>
  <c r="B432" i="2"/>
  <c r="C432" i="2" s="1"/>
  <c r="B449" i="2"/>
  <c r="B458" i="2"/>
  <c r="C458" i="2" s="1"/>
  <c r="B471" i="2"/>
  <c r="C471" i="2" s="1"/>
  <c r="B483" i="2"/>
  <c r="C483" i="2" s="1"/>
  <c r="B737" i="2"/>
  <c r="C737" i="2" s="1"/>
  <c r="B801" i="2"/>
  <c r="C801" i="2" s="1"/>
  <c r="C865" i="2"/>
  <c r="B865" i="2"/>
  <c r="B57" i="2"/>
  <c r="B113" i="2"/>
  <c r="C113" i="2" s="1"/>
  <c r="B153" i="2"/>
  <c r="B209" i="2"/>
  <c r="C209" i="2" s="1"/>
  <c r="B257" i="2"/>
  <c r="C257" i="2" s="1"/>
  <c r="B334" i="2"/>
  <c r="C334" i="2" s="1"/>
  <c r="C7" i="2"/>
  <c r="B62" i="2"/>
  <c r="C62" i="2" s="1"/>
  <c r="B142" i="2"/>
  <c r="C142" i="2" s="1"/>
  <c r="B190" i="2"/>
  <c r="C190" i="2" s="1"/>
  <c r="B254" i="2"/>
  <c r="C254" i="2" s="1"/>
  <c r="B318" i="2"/>
  <c r="C318" i="2" s="1"/>
  <c r="B360" i="2"/>
  <c r="C369" i="2"/>
  <c r="B440" i="2"/>
  <c r="C445" i="2"/>
  <c r="B467" i="2"/>
  <c r="C467" i="2"/>
  <c r="B480" i="2"/>
  <c r="C480" i="2"/>
  <c r="B577" i="2"/>
  <c r="C577" i="2" s="1"/>
  <c r="B609" i="2"/>
  <c r="C609" i="2" s="1"/>
  <c r="B641" i="2"/>
  <c r="C641" i="2"/>
  <c r="C8" i="2"/>
  <c r="B59" i="2"/>
  <c r="C59" i="2" s="1"/>
  <c r="B102" i="2"/>
  <c r="C102" i="2" s="1"/>
  <c r="C114" i="2"/>
  <c r="B55" i="2"/>
  <c r="C55" i="2" s="1"/>
  <c r="B66" i="2"/>
  <c r="C66" i="2" s="1"/>
  <c r="B119" i="2"/>
  <c r="C119" i="2" s="1"/>
  <c r="C123" i="2"/>
  <c r="B130" i="2"/>
  <c r="C130" i="2" s="1"/>
  <c r="B162" i="2"/>
  <c r="C162" i="2" s="1"/>
  <c r="B9" i="2"/>
  <c r="C9" i="2" s="1"/>
  <c r="B13" i="2"/>
  <c r="C13" i="2" s="1"/>
  <c r="C24" i="2"/>
  <c r="B6" i="2"/>
  <c r="C6" i="2" s="1"/>
  <c r="B21" i="2"/>
  <c r="B56" i="2"/>
  <c r="C56" i="2" s="1"/>
  <c r="B72" i="2"/>
  <c r="C72" i="2" s="1"/>
  <c r="B120" i="2"/>
  <c r="C120" i="2" s="1"/>
  <c r="B136" i="2"/>
  <c r="C136" i="2" s="1"/>
  <c r="B10" i="2"/>
  <c r="C10" i="2" s="1"/>
  <c r="B14" i="2"/>
  <c r="C14" i="2" s="1"/>
  <c r="C21" i="2"/>
  <c r="C25" i="2"/>
  <c r="B37" i="2"/>
  <c r="C37" i="2" s="1"/>
  <c r="C41" i="2"/>
  <c r="B53" i="2"/>
  <c r="C53" i="2" s="1"/>
  <c r="C57" i="2"/>
  <c r="B69" i="2"/>
  <c r="C69" i="2" s="1"/>
  <c r="C73" i="2"/>
  <c r="B85" i="2"/>
  <c r="C85" i="2" s="1"/>
  <c r="C89" i="2"/>
  <c r="B101" i="2"/>
  <c r="C101" i="2" s="1"/>
  <c r="C105" i="2"/>
  <c r="B117" i="2"/>
  <c r="C117" i="2" s="1"/>
  <c r="C121" i="2"/>
  <c r="B133" i="2"/>
  <c r="C133" i="2" s="1"/>
  <c r="C137" i="2"/>
  <c r="B149" i="2"/>
  <c r="C149" i="2" s="1"/>
  <c r="C153" i="2"/>
  <c r="B165" i="2"/>
  <c r="C165" i="2" s="1"/>
  <c r="C169" i="2"/>
  <c r="B181" i="2"/>
  <c r="C181" i="2" s="1"/>
  <c r="C185" i="2"/>
  <c r="B197" i="2"/>
  <c r="C197" i="2" s="1"/>
  <c r="C201" i="2"/>
  <c r="B213" i="2"/>
  <c r="C213" i="2" s="1"/>
  <c r="C217" i="2"/>
  <c r="B229" i="2"/>
  <c r="C229" i="2" s="1"/>
  <c r="C233" i="2"/>
  <c r="B245" i="2"/>
  <c r="C245" i="2" s="1"/>
  <c r="C249" i="2"/>
  <c r="B261" i="2"/>
  <c r="C261" i="2" s="1"/>
  <c r="C265" i="2"/>
  <c r="B277" i="2"/>
  <c r="C277" i="2" s="1"/>
  <c r="C281" i="2"/>
  <c r="B293" i="2"/>
  <c r="C293" i="2" s="1"/>
  <c r="C297" i="2"/>
  <c r="B309" i="2"/>
  <c r="C309" i="2" s="1"/>
  <c r="C313" i="2"/>
  <c r="B329" i="2"/>
  <c r="C329" i="2" s="1"/>
  <c r="B347" i="2"/>
  <c r="C347" i="2" s="1"/>
  <c r="B355" i="2"/>
  <c r="C355" i="2" s="1"/>
  <c r="C368" i="2"/>
  <c r="C373" i="2"/>
  <c r="C382" i="2"/>
  <c r="C395" i="2"/>
  <c r="B419" i="2"/>
  <c r="C419" i="2" s="1"/>
  <c r="C428" i="2"/>
  <c r="C433" i="2"/>
  <c r="B433" i="2"/>
  <c r="B444" i="2"/>
  <c r="C449" i="2"/>
  <c r="C459" i="2"/>
  <c r="B459" i="2"/>
  <c r="C472" i="2"/>
  <c r="B472" i="2"/>
  <c r="B673" i="2"/>
  <c r="C673" i="2" s="1"/>
  <c r="B705" i="2"/>
  <c r="C705" i="2" s="1"/>
  <c r="C724" i="2"/>
  <c r="B724" i="2"/>
  <c r="B766" i="2"/>
  <c r="C766" i="2" s="1"/>
  <c r="B788" i="2"/>
  <c r="C788" i="2" s="1"/>
  <c r="B830" i="2"/>
  <c r="C830" i="2" s="1"/>
  <c r="C852" i="2"/>
  <c r="B852" i="2"/>
  <c r="B940" i="2"/>
  <c r="C940" i="2" s="1"/>
  <c r="B948" i="2"/>
  <c r="C948" i="2"/>
  <c r="B685" i="2"/>
  <c r="C685" i="2"/>
  <c r="C739" i="2"/>
  <c r="C753" i="2"/>
  <c r="B753" i="2"/>
  <c r="C803" i="2"/>
  <c r="B817" i="2"/>
  <c r="C817" i="2" s="1"/>
  <c r="B859" i="2"/>
  <c r="C859" i="2" s="1"/>
  <c r="C867" i="2"/>
  <c r="B438" i="2"/>
  <c r="B493" i="2"/>
  <c r="C493" i="2" s="1"/>
  <c r="B509" i="2"/>
  <c r="C509" i="2" s="1"/>
  <c r="B525" i="2"/>
  <c r="C525" i="2" s="1"/>
  <c r="B541" i="2"/>
  <c r="C541" i="2" s="1"/>
  <c r="B557" i="2"/>
  <c r="C557" i="2" s="1"/>
  <c r="B573" i="2"/>
  <c r="C573" i="2" s="1"/>
  <c r="B589" i="2"/>
  <c r="C589" i="2" s="1"/>
  <c r="B605" i="2"/>
  <c r="C605" i="2" s="1"/>
  <c r="B621" i="2"/>
  <c r="C621" i="2" s="1"/>
  <c r="B637" i="2"/>
  <c r="C637" i="2" s="1"/>
  <c r="B653" i="2"/>
  <c r="C653" i="2" s="1"/>
  <c r="B669" i="2"/>
  <c r="C669" i="2" s="1"/>
  <c r="B686" i="2"/>
  <c r="C707" i="2"/>
  <c r="B718" i="2"/>
  <c r="C718" i="2" s="1"/>
  <c r="B740" i="2"/>
  <c r="C740" i="2" s="1"/>
  <c r="B782" i="2"/>
  <c r="C782" i="2" s="1"/>
  <c r="B804" i="2"/>
  <c r="C804" i="2" s="1"/>
  <c r="B846" i="2"/>
  <c r="C846" i="2" s="1"/>
  <c r="B868" i="2"/>
  <c r="C868" i="2" s="1"/>
  <c r="B29" i="2"/>
  <c r="C29" i="2" s="1"/>
  <c r="C32" i="2"/>
  <c r="B45" i="2"/>
  <c r="C45" i="2" s="1"/>
  <c r="C48" i="2"/>
  <c r="B61" i="2"/>
  <c r="C61" i="2" s="1"/>
  <c r="C64" i="2"/>
  <c r="B77" i="2"/>
  <c r="C77" i="2" s="1"/>
  <c r="C80" i="2"/>
  <c r="B93" i="2"/>
  <c r="C93" i="2" s="1"/>
  <c r="C96" i="2"/>
  <c r="B109" i="2"/>
  <c r="C109" i="2" s="1"/>
  <c r="C112" i="2"/>
  <c r="B125" i="2"/>
  <c r="C125" i="2" s="1"/>
  <c r="C128" i="2"/>
  <c r="B141" i="2"/>
  <c r="C141" i="2" s="1"/>
  <c r="C144" i="2"/>
  <c r="B157" i="2"/>
  <c r="C157" i="2" s="1"/>
  <c r="C160" i="2"/>
  <c r="B173" i="2"/>
  <c r="C173" i="2" s="1"/>
  <c r="C176" i="2"/>
  <c r="B189" i="2"/>
  <c r="C189" i="2" s="1"/>
  <c r="C192" i="2"/>
  <c r="B205" i="2"/>
  <c r="C205" i="2" s="1"/>
  <c r="C208" i="2"/>
  <c r="B221" i="2"/>
  <c r="C221" i="2" s="1"/>
  <c r="C224" i="2"/>
  <c r="B237" i="2"/>
  <c r="C237" i="2" s="1"/>
  <c r="C240" i="2"/>
  <c r="B253" i="2"/>
  <c r="C253" i="2" s="1"/>
  <c r="C256" i="2"/>
  <c r="B269" i="2"/>
  <c r="C269" i="2" s="1"/>
  <c r="C272" i="2"/>
  <c r="B285" i="2"/>
  <c r="C285" i="2" s="1"/>
  <c r="C288" i="2"/>
  <c r="B301" i="2"/>
  <c r="C301" i="2" s="1"/>
  <c r="C304" i="2"/>
  <c r="B317" i="2"/>
  <c r="C317" i="2" s="1"/>
  <c r="C320" i="2"/>
  <c r="B324" i="2"/>
  <c r="C324" i="2" s="1"/>
  <c r="B331" i="2"/>
  <c r="C331" i="2" s="1"/>
  <c r="C338" i="2"/>
  <c r="C345" i="2"/>
  <c r="B349" i="2"/>
  <c r="C349" i="2" s="1"/>
  <c r="C352" i="2"/>
  <c r="B356" i="2"/>
  <c r="C356" i="2" s="1"/>
  <c r="B363" i="2"/>
  <c r="C363" i="2" s="1"/>
  <c r="C370" i="2"/>
  <c r="B379" i="2"/>
  <c r="C379" i="2" s="1"/>
  <c r="C396" i="2"/>
  <c r="C400" i="2"/>
  <c r="B404" i="2"/>
  <c r="C404" i="2" s="1"/>
  <c r="B409" i="2"/>
  <c r="C409" i="2" s="1"/>
  <c r="B413" i="2"/>
  <c r="C413" i="2" s="1"/>
  <c r="B417" i="2"/>
  <c r="C417" i="2" s="1"/>
  <c r="C430" i="2"/>
  <c r="C438" i="2"/>
  <c r="B443" i="2"/>
  <c r="C443" i="2" s="1"/>
  <c r="C460" i="2"/>
  <c r="C464" i="2"/>
  <c r="B468" i="2"/>
  <c r="C468" i="2" s="1"/>
  <c r="B473" i="2"/>
  <c r="C473" i="2" s="1"/>
  <c r="B477" i="2"/>
  <c r="C477" i="2" s="1"/>
  <c r="B481" i="2"/>
  <c r="C481" i="2" s="1"/>
  <c r="B494" i="2"/>
  <c r="C494" i="2" s="1"/>
  <c r="C499" i="2"/>
  <c r="B510" i="2"/>
  <c r="C510" i="2" s="1"/>
  <c r="C515" i="2"/>
  <c r="B526" i="2"/>
  <c r="C526" i="2" s="1"/>
  <c r="C531" i="2"/>
  <c r="B542" i="2"/>
  <c r="C542" i="2" s="1"/>
  <c r="C547" i="2"/>
  <c r="B558" i="2"/>
  <c r="C558" i="2" s="1"/>
  <c r="C563" i="2"/>
  <c r="B574" i="2"/>
  <c r="C574" i="2" s="1"/>
  <c r="C579" i="2"/>
  <c r="B590" i="2"/>
  <c r="C590" i="2" s="1"/>
  <c r="C595" i="2"/>
  <c r="B606" i="2"/>
  <c r="C606" i="2" s="1"/>
  <c r="C611" i="2"/>
  <c r="B622" i="2"/>
  <c r="C622" i="2" s="1"/>
  <c r="C627" i="2"/>
  <c r="B638" i="2"/>
  <c r="C638" i="2" s="1"/>
  <c r="C643" i="2"/>
  <c r="B654" i="2"/>
  <c r="C654" i="2" s="1"/>
  <c r="C659" i="2"/>
  <c r="B670" i="2"/>
  <c r="C670" i="2" s="1"/>
  <c r="C675" i="2"/>
  <c r="C686" i="2"/>
  <c r="B691" i="2"/>
  <c r="C691" i="2" s="1"/>
  <c r="B701" i="2"/>
  <c r="C701" i="2" s="1"/>
  <c r="C755" i="2"/>
  <c r="B769" i="2"/>
  <c r="C769" i="2" s="1"/>
  <c r="C819" i="2"/>
  <c r="C833" i="2"/>
  <c r="B833" i="2"/>
  <c r="C42" i="2"/>
  <c r="C90" i="2"/>
  <c r="C218" i="2"/>
  <c r="C298" i="2"/>
  <c r="C692" i="2"/>
  <c r="B692" i="2"/>
  <c r="C702" i="2"/>
  <c r="B702" i="2"/>
  <c r="C708" i="2"/>
  <c r="B708" i="2"/>
  <c r="C734" i="2"/>
  <c r="B734" i="2"/>
  <c r="C756" i="2"/>
  <c r="B756" i="2"/>
  <c r="C798" i="2"/>
  <c r="B798" i="2"/>
  <c r="C820" i="2"/>
  <c r="B820" i="2"/>
  <c r="C862" i="2"/>
  <c r="B862" i="2"/>
  <c r="C26" i="2"/>
  <c r="C106" i="2"/>
  <c r="C122" i="2"/>
  <c r="C154" i="2"/>
  <c r="C234" i="2"/>
  <c r="C250" i="2"/>
  <c r="C282" i="2"/>
  <c r="B375" i="2"/>
  <c r="C375" i="2"/>
  <c r="B439" i="2"/>
  <c r="C439" i="2" s="1"/>
  <c r="C469" i="2"/>
  <c r="B26" i="2"/>
  <c r="B42" i="2"/>
  <c r="B58" i="2"/>
  <c r="C58" i="2" s="1"/>
  <c r="B74" i="2"/>
  <c r="C74" i="2" s="1"/>
  <c r="B90" i="2"/>
  <c r="B106" i="2"/>
  <c r="B122" i="2"/>
  <c r="B138" i="2"/>
  <c r="C138" i="2" s="1"/>
  <c r="B154" i="2"/>
  <c r="B170" i="2"/>
  <c r="C170" i="2" s="1"/>
  <c r="B186" i="2"/>
  <c r="C186" i="2" s="1"/>
  <c r="B202" i="2"/>
  <c r="C202" i="2" s="1"/>
  <c r="B218" i="2"/>
  <c r="B234" i="2"/>
  <c r="B250" i="2"/>
  <c r="B266" i="2"/>
  <c r="C266" i="2" s="1"/>
  <c r="B282" i="2"/>
  <c r="B298" i="2"/>
  <c r="B314" i="2"/>
  <c r="C314" i="2" s="1"/>
  <c r="C321" i="2"/>
  <c r="B325" i="2"/>
  <c r="C325" i="2" s="1"/>
  <c r="C328" i="2"/>
  <c r="B332" i="2"/>
  <c r="C332" i="2" s="1"/>
  <c r="B339" i="2"/>
  <c r="C339" i="2" s="1"/>
  <c r="C346" i="2"/>
  <c r="C353" i="2"/>
  <c r="B357" i="2"/>
  <c r="C357" i="2" s="1"/>
  <c r="C360" i="2"/>
  <c r="B364" i="2"/>
  <c r="C364" i="2" s="1"/>
  <c r="B371" i="2"/>
  <c r="C371" i="2" s="1"/>
  <c r="C376" i="2"/>
  <c r="B384" i="2"/>
  <c r="C384" i="2" s="1"/>
  <c r="C397" i="2"/>
  <c r="C401" i="2"/>
  <c r="B405" i="2"/>
  <c r="C405" i="2" s="1"/>
  <c r="B414" i="2"/>
  <c r="C414" i="2" s="1"/>
  <c r="C427" i="2"/>
  <c r="B431" i="2"/>
  <c r="C431" i="2" s="1"/>
  <c r="B435" i="2"/>
  <c r="C435" i="2" s="1"/>
  <c r="C440" i="2"/>
  <c r="B448" i="2"/>
  <c r="C448" i="2" s="1"/>
  <c r="C461" i="2"/>
  <c r="C465" i="2"/>
  <c r="B469" i="2"/>
  <c r="B478" i="2"/>
  <c r="C478" i="2" s="1"/>
  <c r="B495" i="2"/>
  <c r="C495" i="2" s="1"/>
  <c r="C500" i="2"/>
  <c r="B500" i="2"/>
  <c r="B511" i="2"/>
  <c r="C511" i="2" s="1"/>
  <c r="C516" i="2"/>
  <c r="B516" i="2"/>
  <c r="B527" i="2"/>
  <c r="C527" i="2" s="1"/>
  <c r="C532" i="2"/>
  <c r="B532" i="2"/>
  <c r="B543" i="2"/>
  <c r="C543" i="2" s="1"/>
  <c r="C548" i="2"/>
  <c r="B548" i="2"/>
  <c r="B559" i="2"/>
  <c r="C559" i="2" s="1"/>
  <c r="C564" i="2"/>
  <c r="B564" i="2"/>
  <c r="B575" i="2"/>
  <c r="C575" i="2" s="1"/>
  <c r="C580" i="2"/>
  <c r="B580" i="2"/>
  <c r="B591" i="2"/>
  <c r="C591" i="2" s="1"/>
  <c r="C596" i="2"/>
  <c r="B596" i="2"/>
  <c r="B607" i="2"/>
  <c r="C607" i="2" s="1"/>
  <c r="C612" i="2"/>
  <c r="B612" i="2"/>
  <c r="B623" i="2"/>
  <c r="C623" i="2" s="1"/>
  <c r="C628" i="2"/>
  <c r="B628" i="2"/>
  <c r="B639" i="2"/>
  <c r="C639" i="2" s="1"/>
  <c r="C644" i="2"/>
  <c r="B644" i="2"/>
  <c r="B655" i="2"/>
  <c r="C655" i="2" s="1"/>
  <c r="C660" i="2"/>
  <c r="B660" i="2"/>
  <c r="B671" i="2"/>
  <c r="C671" i="2" s="1"/>
  <c r="C676" i="2"/>
  <c r="B676" i="2"/>
  <c r="B693" i="2"/>
  <c r="C693" i="2" s="1"/>
  <c r="C721" i="2"/>
  <c r="B721" i="2"/>
  <c r="C771" i="2"/>
  <c r="B785" i="2"/>
  <c r="C785" i="2" s="1"/>
  <c r="B827" i="2"/>
  <c r="C827" i="2" s="1"/>
  <c r="C835" i="2"/>
  <c r="B849" i="2"/>
  <c r="C849" i="2" s="1"/>
  <c r="B918" i="2"/>
  <c r="C918" i="2" s="1"/>
  <c r="C953" i="2"/>
  <c r="B470" i="2"/>
  <c r="C470" i="2" s="1"/>
  <c r="B501" i="2"/>
  <c r="C501" i="2" s="1"/>
  <c r="B517" i="2"/>
  <c r="C517" i="2" s="1"/>
  <c r="B533" i="2"/>
  <c r="C533" i="2" s="1"/>
  <c r="B549" i="2"/>
  <c r="C549" i="2" s="1"/>
  <c r="B565" i="2"/>
  <c r="C565" i="2" s="1"/>
  <c r="B581" i="2"/>
  <c r="C581" i="2" s="1"/>
  <c r="B597" i="2"/>
  <c r="C597" i="2" s="1"/>
  <c r="B613" i="2"/>
  <c r="C613" i="2" s="1"/>
  <c r="B629" i="2"/>
  <c r="C629" i="2" s="1"/>
  <c r="B645" i="2"/>
  <c r="C645" i="2" s="1"/>
  <c r="B661" i="2"/>
  <c r="C661" i="2" s="1"/>
  <c r="B677" i="2"/>
  <c r="C677" i="2" s="1"/>
  <c r="B750" i="2"/>
  <c r="C750" i="2" s="1"/>
  <c r="B772" i="2"/>
  <c r="C772" i="2" s="1"/>
  <c r="B814" i="2"/>
  <c r="C814" i="2" s="1"/>
  <c r="B836" i="2"/>
  <c r="C836" i="2" s="1"/>
  <c r="C1009" i="2"/>
  <c r="C1019" i="2"/>
  <c r="B1019" i="2"/>
  <c r="C1289" i="2"/>
  <c r="B1289" i="2"/>
  <c r="C380" i="2"/>
  <c r="B383" i="2"/>
  <c r="C383" i="2" s="1"/>
  <c r="C412" i="2"/>
  <c r="B415" i="2"/>
  <c r="C415" i="2" s="1"/>
  <c r="C444" i="2"/>
  <c r="B447" i="2"/>
  <c r="C447" i="2" s="1"/>
  <c r="C476" i="2"/>
  <c r="B479" i="2"/>
  <c r="C479" i="2" s="1"/>
  <c r="C875" i="2"/>
  <c r="B879" i="2"/>
  <c r="B886" i="2"/>
  <c r="C886" i="2" s="1"/>
  <c r="B893" i="2"/>
  <c r="B897" i="2"/>
  <c r="C897" i="2" s="1"/>
  <c r="B927" i="2"/>
  <c r="C927" i="2" s="1"/>
  <c r="B958" i="2"/>
  <c r="C958" i="2" s="1"/>
  <c r="B978" i="2"/>
  <c r="C978" i="2" s="1"/>
  <c r="B984" i="2"/>
  <c r="C984" i="2" s="1"/>
  <c r="C1020" i="2"/>
  <c r="C1032" i="2"/>
  <c r="B1032" i="2"/>
  <c r="B1043" i="2"/>
  <c r="C1043" i="2" s="1"/>
  <c r="B1099" i="2"/>
  <c r="C1099" i="2" s="1"/>
  <c r="B1105" i="2"/>
  <c r="C1105" i="2"/>
  <c r="C1132" i="2"/>
  <c r="C1151" i="2"/>
  <c r="B1151" i="2"/>
  <c r="B709" i="2"/>
  <c r="B725" i="2"/>
  <c r="C725" i="2" s="1"/>
  <c r="B741" i="2"/>
  <c r="C741" i="2" s="1"/>
  <c r="B757" i="2"/>
  <c r="C757" i="2" s="1"/>
  <c r="B773" i="2"/>
  <c r="C773" i="2" s="1"/>
  <c r="B789" i="2"/>
  <c r="C789" i="2" s="1"/>
  <c r="B805" i="2"/>
  <c r="C805" i="2" s="1"/>
  <c r="B821" i="2"/>
  <c r="C821" i="2" s="1"/>
  <c r="B837" i="2"/>
  <c r="C837" i="2" s="1"/>
  <c r="B853" i="2"/>
  <c r="C853" i="2" s="1"/>
  <c r="B869" i="2"/>
  <c r="C869" i="2" s="1"/>
  <c r="B875" i="2"/>
  <c r="C879" i="2"/>
  <c r="C893" i="2"/>
  <c r="B914" i="2"/>
  <c r="C914" i="2" s="1"/>
  <c r="B919" i="2"/>
  <c r="C919" i="2" s="1"/>
  <c r="C949" i="2"/>
  <c r="B949" i="2"/>
  <c r="B954" i="2"/>
  <c r="C954" i="2" s="1"/>
  <c r="B959" i="2"/>
  <c r="C959" i="2" s="1"/>
  <c r="B1027" i="2"/>
  <c r="C1027" i="2" s="1"/>
  <c r="B1033" i="2"/>
  <c r="C1033" i="2" s="1"/>
  <c r="B1050" i="2"/>
  <c r="C1050" i="2" s="1"/>
  <c r="C1225" i="2"/>
  <c r="B1225" i="2"/>
  <c r="C1263" i="2"/>
  <c r="B1263" i="2"/>
  <c r="B1284" i="2"/>
  <c r="C1284" i="2" s="1"/>
  <c r="B1307" i="2"/>
  <c r="C1307" i="2" s="1"/>
  <c r="B1321" i="2"/>
  <c r="C1321" i="2"/>
  <c r="B687" i="2"/>
  <c r="B703" i="2"/>
  <c r="C703" i="2" s="1"/>
  <c r="C709" i="2"/>
  <c r="B719" i="2"/>
  <c r="C719" i="2" s="1"/>
  <c r="B735" i="2"/>
  <c r="B751" i="2"/>
  <c r="C751" i="2" s="1"/>
  <c r="B767" i="2"/>
  <c r="B783" i="2"/>
  <c r="C783" i="2" s="1"/>
  <c r="B799" i="2"/>
  <c r="B815" i="2"/>
  <c r="C815" i="2" s="1"/>
  <c r="B831" i="2"/>
  <c r="B847" i="2"/>
  <c r="C847" i="2" s="1"/>
  <c r="B863" i="2"/>
  <c r="C883" i="2"/>
  <c r="B887" i="2"/>
  <c r="B894" i="2"/>
  <c r="B898" i="2"/>
  <c r="C898" i="2" s="1"/>
  <c r="C911" i="2"/>
  <c r="B924" i="2"/>
  <c r="C950" i="2"/>
  <c r="B980" i="2"/>
  <c r="C1006" i="2"/>
  <c r="B1022" i="2"/>
  <c r="C1022" i="2"/>
  <c r="C1051" i="2"/>
  <c r="B1083" i="2"/>
  <c r="C1083" i="2" s="1"/>
  <c r="C1292" i="2"/>
  <c r="B1407" i="2"/>
  <c r="C1407" i="2" s="1"/>
  <c r="C492" i="2"/>
  <c r="C508" i="2"/>
  <c r="C524" i="2"/>
  <c r="C540" i="2"/>
  <c r="C556" i="2"/>
  <c r="C572" i="2"/>
  <c r="C588" i="2"/>
  <c r="C604" i="2"/>
  <c r="C620" i="2"/>
  <c r="C636" i="2"/>
  <c r="C652" i="2"/>
  <c r="C668" i="2"/>
  <c r="C684" i="2"/>
  <c r="C687" i="2"/>
  <c r="C700" i="2"/>
  <c r="C716" i="2"/>
  <c r="C732" i="2"/>
  <c r="C735" i="2"/>
  <c r="C748" i="2"/>
  <c r="C764" i="2"/>
  <c r="C767" i="2"/>
  <c r="C780" i="2"/>
  <c r="C796" i="2"/>
  <c r="C799" i="2"/>
  <c r="C812" i="2"/>
  <c r="C828" i="2"/>
  <c r="C831" i="2"/>
  <c r="C844" i="2"/>
  <c r="C860" i="2"/>
  <c r="C863" i="2"/>
  <c r="B876" i="2"/>
  <c r="C876" i="2" s="1"/>
  <c r="B883" i="2"/>
  <c r="C887" i="2"/>
  <c r="C894" i="2"/>
  <c r="B911" i="2"/>
  <c r="B920" i="2"/>
  <c r="C920" i="2" s="1"/>
  <c r="C924" i="2"/>
  <c r="B975" i="2"/>
  <c r="C975" i="2" s="1"/>
  <c r="C980" i="2"/>
  <c r="C991" i="2"/>
  <c r="B991" i="2"/>
  <c r="B1090" i="2"/>
  <c r="C1090" i="2" s="1"/>
  <c r="C1161" i="2"/>
  <c r="B1161" i="2"/>
  <c r="C1199" i="2"/>
  <c r="B1199" i="2"/>
  <c r="B1220" i="2"/>
  <c r="C1220" i="2" s="1"/>
  <c r="B1243" i="2"/>
  <c r="C1243" i="2"/>
  <c r="B877" i="2"/>
  <c r="C877" i="2" s="1"/>
  <c r="C884" i="2"/>
  <c r="C891" i="2"/>
  <c r="B895" i="2"/>
  <c r="C895" i="2" s="1"/>
  <c r="C908" i="2"/>
  <c r="B912" i="2"/>
  <c r="C912" i="2" s="1"/>
  <c r="B916" i="2"/>
  <c r="C916" i="2" s="1"/>
  <c r="C921" i="2"/>
  <c r="B929" i="2"/>
  <c r="C929" i="2" s="1"/>
  <c r="B946" i="2"/>
  <c r="C946" i="2" s="1"/>
  <c r="B951" i="2"/>
  <c r="C951" i="2" s="1"/>
  <c r="B956" i="2"/>
  <c r="C956" i="2" s="1"/>
  <c r="C992" i="2"/>
  <c r="C1012" i="2"/>
  <c r="B1017" i="2"/>
  <c r="C1017" i="2" s="1"/>
  <c r="C1035" i="2"/>
  <c r="B1035" i="2"/>
  <c r="B1074" i="2"/>
  <c r="C1074" i="2" s="1"/>
  <c r="C1228" i="2"/>
  <c r="B1346" i="2"/>
  <c r="C1346" i="2"/>
  <c r="B1470" i="2"/>
  <c r="C1470" i="2" s="1"/>
  <c r="B749" i="2"/>
  <c r="C749" i="2" s="1"/>
  <c r="B765" i="2"/>
  <c r="C765" i="2" s="1"/>
  <c r="B781" i="2"/>
  <c r="B797" i="2"/>
  <c r="B813" i="2"/>
  <c r="C813" i="2" s="1"/>
  <c r="B829" i="2"/>
  <c r="B845" i="2"/>
  <c r="B861" i="2"/>
  <c r="C861" i="2" s="1"/>
  <c r="C961" i="2"/>
  <c r="B961" i="2"/>
  <c r="C982" i="2"/>
  <c r="B993" i="2"/>
  <c r="C993" i="2" s="1"/>
  <c r="B1030" i="2"/>
  <c r="C1030" i="2" s="1"/>
  <c r="B1036" i="2"/>
  <c r="C1036" i="2" s="1"/>
  <c r="B1058" i="2"/>
  <c r="C1058" i="2" s="1"/>
  <c r="B1080" i="2"/>
  <c r="C1080" i="2" s="1"/>
  <c r="B1116" i="2"/>
  <c r="C1116" i="2" s="1"/>
  <c r="B1122" i="2"/>
  <c r="C1122" i="2" s="1"/>
  <c r="B1156" i="2"/>
  <c r="C1156" i="2" s="1"/>
  <c r="B1179" i="2"/>
  <c r="C1179" i="2"/>
  <c r="B1402" i="2"/>
  <c r="C1402" i="2"/>
  <c r="B1487" i="2"/>
  <c r="C1487" i="2" s="1"/>
  <c r="B717" i="2"/>
  <c r="B733" i="2"/>
  <c r="C733" i="2" s="1"/>
  <c r="C388" i="2"/>
  <c r="B391" i="2"/>
  <c r="C391" i="2" s="1"/>
  <c r="C420" i="2"/>
  <c r="B423" i="2"/>
  <c r="C423" i="2" s="1"/>
  <c r="C452" i="2"/>
  <c r="B455" i="2"/>
  <c r="C455" i="2" s="1"/>
  <c r="C484" i="2"/>
  <c r="B487" i="2"/>
  <c r="C487" i="2" s="1"/>
  <c r="B503" i="2"/>
  <c r="C503" i="2" s="1"/>
  <c r="B519" i="2"/>
  <c r="C519" i="2" s="1"/>
  <c r="B535" i="2"/>
  <c r="C535" i="2" s="1"/>
  <c r="B551" i="2"/>
  <c r="C551" i="2" s="1"/>
  <c r="B567" i="2"/>
  <c r="C567" i="2" s="1"/>
  <c r="B583" i="2"/>
  <c r="C583" i="2" s="1"/>
  <c r="B599" i="2"/>
  <c r="C599" i="2" s="1"/>
  <c r="B615" i="2"/>
  <c r="C615" i="2" s="1"/>
  <c r="B631" i="2"/>
  <c r="C631" i="2" s="1"/>
  <c r="B647" i="2"/>
  <c r="C647" i="2" s="1"/>
  <c r="B663" i="2"/>
  <c r="C663" i="2" s="1"/>
  <c r="B679" i="2"/>
  <c r="C679" i="2" s="1"/>
  <c r="B695" i="2"/>
  <c r="C695" i="2" s="1"/>
  <c r="B711" i="2"/>
  <c r="C711" i="2" s="1"/>
  <c r="C717" i="2"/>
  <c r="B727" i="2"/>
  <c r="C727" i="2" s="1"/>
  <c r="B743" i="2"/>
  <c r="C743" i="2" s="1"/>
  <c r="B759" i="2"/>
  <c r="C759" i="2" s="1"/>
  <c r="B775" i="2"/>
  <c r="C775" i="2" s="1"/>
  <c r="C781" i="2"/>
  <c r="B791" i="2"/>
  <c r="C791" i="2" s="1"/>
  <c r="C797" i="2"/>
  <c r="B807" i="2"/>
  <c r="C807" i="2" s="1"/>
  <c r="B823" i="2"/>
  <c r="C823" i="2" s="1"/>
  <c r="C829" i="2"/>
  <c r="B839" i="2"/>
  <c r="C839" i="2" s="1"/>
  <c r="C845" i="2"/>
  <c r="B855" i="2"/>
  <c r="C855" i="2" s="1"/>
  <c r="B871" i="2"/>
  <c r="C871" i="2" s="1"/>
  <c r="B878" i="2"/>
  <c r="C878" i="2" s="1"/>
  <c r="B885" i="2"/>
  <c r="C885" i="2" s="1"/>
  <c r="C892" i="2"/>
  <c r="C909" i="2"/>
  <c r="B917" i="2"/>
  <c r="C917" i="2" s="1"/>
  <c r="B922" i="2"/>
  <c r="C922" i="2" s="1"/>
  <c r="B926" i="2"/>
  <c r="C926" i="2" s="1"/>
  <c r="B930" i="2"/>
  <c r="C930" i="2" s="1"/>
  <c r="B943" i="2"/>
  <c r="C943" i="2" s="1"/>
  <c r="B952" i="2"/>
  <c r="C952" i="2"/>
  <c r="B962" i="2"/>
  <c r="C962" i="2" s="1"/>
  <c r="B972" i="2"/>
  <c r="C972" i="2" s="1"/>
  <c r="B983" i="2"/>
  <c r="C983" i="2" s="1"/>
  <c r="B988" i="2"/>
  <c r="C988" i="2" s="1"/>
  <c r="B1086" i="2"/>
  <c r="C1086" i="2" s="1"/>
  <c r="B1130" i="2"/>
  <c r="C1130" i="2"/>
  <c r="C1164" i="2"/>
  <c r="C1534" i="2"/>
  <c r="B1534" i="2"/>
  <c r="B896" i="2"/>
  <c r="C896" i="2" s="1"/>
  <c r="C925" i="2"/>
  <c r="B928" i="2"/>
  <c r="C928" i="2" s="1"/>
  <c r="C957" i="2"/>
  <c r="B960" i="2"/>
  <c r="C960" i="2" s="1"/>
  <c r="C987" i="2"/>
  <c r="B990" i="2"/>
  <c r="C990" i="2" s="1"/>
  <c r="B1018" i="2"/>
  <c r="C1018" i="2" s="1"/>
  <c r="B1028" i="2"/>
  <c r="C1028" i="2" s="1"/>
  <c r="B1057" i="2"/>
  <c r="C1057" i="2" s="1"/>
  <c r="C1071" i="2"/>
  <c r="B1081" i="2"/>
  <c r="C1081" i="2"/>
  <c r="B1089" i="2"/>
  <c r="C1089" i="2" s="1"/>
  <c r="C1129" i="2"/>
  <c r="C1180" i="2"/>
  <c r="C1215" i="2"/>
  <c r="B1215" i="2"/>
  <c r="C1244" i="2"/>
  <c r="B1279" i="2"/>
  <c r="C1279" i="2" s="1"/>
  <c r="B1314" i="2"/>
  <c r="C1314" i="2"/>
  <c r="B1432" i="2"/>
  <c r="C1432" i="2"/>
  <c r="B1521" i="2"/>
  <c r="C1521" i="2"/>
  <c r="B994" i="2"/>
  <c r="C994" i="2" s="1"/>
  <c r="C1015" i="2"/>
  <c r="B1025" i="2"/>
  <c r="C1025" i="2" s="1"/>
  <c r="C1047" i="2"/>
  <c r="C1054" i="2"/>
  <c r="B1075" i="2"/>
  <c r="C1075" i="2" s="1"/>
  <c r="B1082" i="2"/>
  <c r="C1082" i="2" s="1"/>
  <c r="C1113" i="2"/>
  <c r="B1138" i="2"/>
  <c r="C1138" i="2" s="1"/>
  <c r="B1147" i="2"/>
  <c r="C1147" i="2" s="1"/>
  <c r="B1163" i="2"/>
  <c r="C1163" i="2" s="1"/>
  <c r="B1204" i="2"/>
  <c r="C1204" i="2" s="1"/>
  <c r="B1209" i="2"/>
  <c r="C1209" i="2" s="1"/>
  <c r="B1227" i="2"/>
  <c r="C1227" i="2"/>
  <c r="B1268" i="2"/>
  <c r="C1268" i="2" s="1"/>
  <c r="C1273" i="2"/>
  <c r="B1273" i="2"/>
  <c r="B1291" i="2"/>
  <c r="C1291" i="2" s="1"/>
  <c r="B1339" i="2"/>
  <c r="C1339" i="2" s="1"/>
  <c r="B1465" i="2"/>
  <c r="C1465" i="2" s="1"/>
  <c r="C1507" i="2"/>
  <c r="B1507" i="2"/>
  <c r="B1529" i="2"/>
  <c r="C1529" i="2" s="1"/>
  <c r="C1016" i="2"/>
  <c r="B1026" i="2"/>
  <c r="C1026" i="2" s="1"/>
  <c r="B1041" i="2"/>
  <c r="C1041" i="2" s="1"/>
  <c r="C1055" i="2"/>
  <c r="B1065" i="2"/>
  <c r="C1065" i="2" s="1"/>
  <c r="C1079" i="2"/>
  <c r="B1097" i="2"/>
  <c r="C1097" i="2"/>
  <c r="B1114" i="2"/>
  <c r="C1114" i="2"/>
  <c r="B1131" i="2"/>
  <c r="C1131" i="2"/>
  <c r="B1139" i="2"/>
  <c r="C1139" i="2" s="1"/>
  <c r="B1188" i="2"/>
  <c r="C1188" i="2" s="1"/>
  <c r="B1193" i="2"/>
  <c r="C1193" i="2" s="1"/>
  <c r="B1211" i="2"/>
  <c r="C1211" i="2"/>
  <c r="B1252" i="2"/>
  <c r="C1252" i="2" s="1"/>
  <c r="C1257" i="2"/>
  <c r="B1257" i="2"/>
  <c r="B1275" i="2"/>
  <c r="C1275" i="2" s="1"/>
  <c r="B1371" i="2"/>
  <c r="C1371" i="2" s="1"/>
  <c r="C1502" i="2"/>
  <c r="B1502" i="2"/>
  <c r="C941" i="2"/>
  <c r="B944" i="2"/>
  <c r="C944" i="2" s="1"/>
  <c r="C973" i="2"/>
  <c r="B976" i="2"/>
  <c r="C976" i="2" s="1"/>
  <c r="C1007" i="2"/>
  <c r="B1010" i="2"/>
  <c r="C1010" i="2" s="1"/>
  <c r="C1023" i="2"/>
  <c r="B1059" i="2"/>
  <c r="C1059" i="2" s="1"/>
  <c r="B1066" i="2"/>
  <c r="C1066" i="2" s="1"/>
  <c r="B1079" i="2"/>
  <c r="C1087" i="2"/>
  <c r="B1091" i="2"/>
  <c r="C1091" i="2" s="1"/>
  <c r="B1098" i="2"/>
  <c r="C1098" i="2" s="1"/>
  <c r="C1102" i="2"/>
  <c r="B1107" i="2"/>
  <c r="C1107" i="2" s="1"/>
  <c r="B1115" i="2"/>
  <c r="C1115" i="2" s="1"/>
  <c r="C1119" i="2"/>
  <c r="B1123" i="2"/>
  <c r="C1123" i="2"/>
  <c r="B1135" i="2"/>
  <c r="C1135" i="2" s="1"/>
  <c r="B1140" i="2"/>
  <c r="C1140" i="2" s="1"/>
  <c r="B1183" i="2"/>
  <c r="C1183" i="2" s="1"/>
  <c r="C1212" i="2"/>
  <c r="C1247" i="2"/>
  <c r="B1247" i="2"/>
  <c r="C1276" i="2"/>
  <c r="B1328" i="2"/>
  <c r="C1328" i="2" s="1"/>
  <c r="B1335" i="2"/>
  <c r="C1335" i="2" s="1"/>
  <c r="B1353" i="2"/>
  <c r="C1353" i="2" s="1"/>
  <c r="B1378" i="2"/>
  <c r="C1378" i="2"/>
  <c r="B1390" i="2"/>
  <c r="C1390" i="2" s="1"/>
  <c r="B1411" i="2"/>
  <c r="C1411" i="2"/>
  <c r="B1489" i="2"/>
  <c r="C1489" i="2" s="1"/>
  <c r="B1042" i="2"/>
  <c r="B1073" i="2"/>
  <c r="C1073" i="2" s="1"/>
  <c r="B1124" i="2"/>
  <c r="B1172" i="2"/>
  <c r="C1172" i="2" s="1"/>
  <c r="B1177" i="2"/>
  <c r="C1177" i="2" s="1"/>
  <c r="B1195" i="2"/>
  <c r="C1195" i="2" s="1"/>
  <c r="B1236" i="2"/>
  <c r="C1236" i="2" s="1"/>
  <c r="C1241" i="2"/>
  <c r="B1241" i="2"/>
  <c r="B1259" i="2"/>
  <c r="C1259" i="2" s="1"/>
  <c r="B1300" i="2"/>
  <c r="C1300" i="2" s="1"/>
  <c r="C1305" i="2"/>
  <c r="B1305" i="2"/>
  <c r="B1475" i="2"/>
  <c r="C1475" i="2" s="1"/>
  <c r="B1497" i="2"/>
  <c r="C1497" i="2"/>
  <c r="B1539" i="2"/>
  <c r="C1539" i="2" s="1"/>
  <c r="C1568" i="2"/>
  <c r="C901" i="2"/>
  <c r="B904" i="2"/>
  <c r="C904" i="2" s="1"/>
  <c r="C933" i="2"/>
  <c r="B936" i="2"/>
  <c r="C936" i="2" s="1"/>
  <c r="C965" i="2"/>
  <c r="B968" i="2"/>
  <c r="C968" i="2" s="1"/>
  <c r="B986" i="2"/>
  <c r="C986" i="2" s="1"/>
  <c r="B996" i="2"/>
  <c r="C996" i="2" s="1"/>
  <c r="C1039" i="2"/>
  <c r="C1042" i="2"/>
  <c r="B1049" i="2"/>
  <c r="C1049" i="2"/>
  <c r="C1063" i="2"/>
  <c r="C1070" i="2"/>
  <c r="C1103" i="2"/>
  <c r="B1108" i="2"/>
  <c r="C1108" i="2" s="1"/>
  <c r="C1124" i="2"/>
  <c r="C1145" i="2"/>
  <c r="C1167" i="2"/>
  <c r="B1167" i="2"/>
  <c r="C1196" i="2"/>
  <c r="C1231" i="2"/>
  <c r="B1231" i="2"/>
  <c r="C1260" i="2"/>
  <c r="C1295" i="2"/>
  <c r="B1295" i="2"/>
  <c r="C1360" i="2"/>
  <c r="B1360" i="2"/>
  <c r="C1367" i="2"/>
  <c r="B1367" i="2"/>
  <c r="B1385" i="2"/>
  <c r="C1385" i="2" s="1"/>
  <c r="C1419" i="2"/>
  <c r="B1419" i="2"/>
  <c r="B1425" i="2"/>
  <c r="C1425" i="2" s="1"/>
  <c r="C1519" i="2"/>
  <c r="B1519" i="2"/>
  <c r="C1095" i="2"/>
  <c r="C1112" i="2"/>
  <c r="C1128" i="2"/>
  <c r="C1144" i="2"/>
  <c r="C1160" i="2"/>
  <c r="C1176" i="2"/>
  <c r="C1192" i="2"/>
  <c r="C1208" i="2"/>
  <c r="C1224" i="2"/>
  <c r="C1240" i="2"/>
  <c r="C1256" i="2"/>
  <c r="C1272" i="2"/>
  <c r="C1288" i="2"/>
  <c r="C1304" i="2"/>
  <c r="B1386" i="2"/>
  <c r="C1386" i="2" s="1"/>
  <c r="C1391" i="2"/>
  <c r="B1395" i="2"/>
  <c r="C1395" i="2" s="1"/>
  <c r="C1403" i="2"/>
  <c r="B1457" i="2"/>
  <c r="C1457" i="2" s="1"/>
  <c r="B1464" i="2"/>
  <c r="C1464" i="2" s="1"/>
  <c r="C1483" i="2"/>
  <c r="B1496" i="2"/>
  <c r="C1496" i="2" s="1"/>
  <c r="C1515" i="2"/>
  <c r="B1528" i="2"/>
  <c r="C1528" i="2" s="1"/>
  <c r="C1547" i="2"/>
  <c r="B1562" i="2"/>
  <c r="C1562" i="2" s="1"/>
  <c r="C1567" i="2"/>
  <c r="B1578" i="2"/>
  <c r="C1578" i="2"/>
  <c r="C1583" i="2"/>
  <c r="B1594" i="2"/>
  <c r="C1594" i="2" s="1"/>
  <c r="C1599" i="2"/>
  <c r="B1610" i="2"/>
  <c r="C1610" i="2"/>
  <c r="C1615" i="2"/>
  <c r="B1626" i="2"/>
  <c r="C1626" i="2" s="1"/>
  <c r="C1631" i="2"/>
  <c r="B1642" i="2"/>
  <c r="C1642" i="2"/>
  <c r="C1647" i="2"/>
  <c r="B1658" i="2"/>
  <c r="C1658" i="2" s="1"/>
  <c r="C1686" i="2"/>
  <c r="B1686" i="2"/>
  <c r="C1737" i="2"/>
  <c r="B1737" i="2"/>
  <c r="C1764" i="2"/>
  <c r="B1764" i="2"/>
  <c r="C1975" i="2"/>
  <c r="B1154" i="2"/>
  <c r="C1154" i="2" s="1"/>
  <c r="B1170" i="2"/>
  <c r="C1170" i="2" s="1"/>
  <c r="B1186" i="2"/>
  <c r="C1186" i="2" s="1"/>
  <c r="B1202" i="2"/>
  <c r="C1202" i="2" s="1"/>
  <c r="B1218" i="2"/>
  <c r="C1218" i="2" s="1"/>
  <c r="B1234" i="2"/>
  <c r="C1234" i="2" s="1"/>
  <c r="B1250" i="2"/>
  <c r="C1250" i="2" s="1"/>
  <c r="B1266" i="2"/>
  <c r="C1266" i="2" s="1"/>
  <c r="B1282" i="2"/>
  <c r="C1282" i="2" s="1"/>
  <c r="B1298" i="2"/>
  <c r="C1298" i="2" s="1"/>
  <c r="C1311" i="2"/>
  <c r="B1315" i="2"/>
  <c r="C1315" i="2" s="1"/>
  <c r="B1322" i="2"/>
  <c r="C1322" i="2" s="1"/>
  <c r="B1329" i="2"/>
  <c r="C1329" i="2" s="1"/>
  <c r="C1336" i="2"/>
  <c r="C1343" i="2"/>
  <c r="B1347" i="2"/>
  <c r="C1347" i="2" s="1"/>
  <c r="B1354" i="2"/>
  <c r="C1354" i="2" s="1"/>
  <c r="B1361" i="2"/>
  <c r="C1361" i="2" s="1"/>
  <c r="C1368" i="2"/>
  <c r="C1375" i="2"/>
  <c r="B1379" i="2"/>
  <c r="C1379" i="2" s="1"/>
  <c r="C1387" i="2"/>
  <c r="B1441" i="2"/>
  <c r="C1441" i="2" s="1"/>
  <c r="B1448" i="2"/>
  <c r="C1448" i="2" s="1"/>
  <c r="C1552" i="2"/>
  <c r="B1552" i="2"/>
  <c r="C1563" i="2"/>
  <c r="C1579" i="2"/>
  <c r="C1595" i="2"/>
  <c r="C1611" i="2"/>
  <c r="C1627" i="2"/>
  <c r="C1643" i="2"/>
  <c r="C1659" i="2"/>
  <c r="C1676" i="2"/>
  <c r="B1676" i="2"/>
  <c r="C1719" i="2"/>
  <c r="C1752" i="2"/>
  <c r="B1752" i="2"/>
  <c r="C1584" i="2"/>
  <c r="C1600" i="2"/>
  <c r="C1616" i="2"/>
  <c r="C1632" i="2"/>
  <c r="C1648" i="2"/>
  <c r="B1746" i="2"/>
  <c r="C1746" i="2"/>
  <c r="B1780" i="2"/>
  <c r="C1780" i="2" s="1"/>
  <c r="B1794" i="2"/>
  <c r="C1794" i="2" s="1"/>
  <c r="B1808" i="2"/>
  <c r="C1808" i="2" s="1"/>
  <c r="B1828" i="2"/>
  <c r="C1828" i="2"/>
  <c r="B2541" i="2"/>
  <c r="C2541" i="2" s="1"/>
  <c r="B1155" i="2"/>
  <c r="C1155" i="2" s="1"/>
  <c r="B1171" i="2"/>
  <c r="C1171" i="2" s="1"/>
  <c r="B1187" i="2"/>
  <c r="B1203" i="2"/>
  <c r="B1219" i="2"/>
  <c r="B1235" i="2"/>
  <c r="C1235" i="2" s="1"/>
  <c r="B1251" i="2"/>
  <c r="C1251" i="2" s="1"/>
  <c r="B1267" i="2"/>
  <c r="C1267" i="2" s="1"/>
  <c r="B1283" i="2"/>
  <c r="B1299" i="2"/>
  <c r="C1299" i="2" s="1"/>
  <c r="B1323" i="2"/>
  <c r="B1330" i="2"/>
  <c r="C1330" i="2" s="1"/>
  <c r="B1337" i="2"/>
  <c r="C1344" i="2"/>
  <c r="B1355" i="2"/>
  <c r="C1355" i="2" s="1"/>
  <c r="B1362" i="2"/>
  <c r="B1369" i="2"/>
  <c r="B1409" i="2"/>
  <c r="C1409" i="2" s="1"/>
  <c r="B1416" i="2"/>
  <c r="B1449" i="2"/>
  <c r="C1449" i="2" s="1"/>
  <c r="C1454" i="2"/>
  <c r="B1454" i="2"/>
  <c r="C1535" i="2"/>
  <c r="C1585" i="2"/>
  <c r="C1617" i="2"/>
  <c r="B1666" i="2"/>
  <c r="C1666" i="2" s="1"/>
  <c r="B1689" i="2"/>
  <c r="C1689" i="2" s="1"/>
  <c r="B1754" i="2"/>
  <c r="C1754" i="2"/>
  <c r="C1939" i="2"/>
  <c r="B1939" i="2"/>
  <c r="C1120" i="2"/>
  <c r="C1136" i="2"/>
  <c r="C1152" i="2"/>
  <c r="C1168" i="2"/>
  <c r="C1184" i="2"/>
  <c r="C1187" i="2"/>
  <c r="C1200" i="2"/>
  <c r="C1203" i="2"/>
  <c r="C1216" i="2"/>
  <c r="C1219" i="2"/>
  <c r="C1232" i="2"/>
  <c r="C1248" i="2"/>
  <c r="C1264" i="2"/>
  <c r="C1280" i="2"/>
  <c r="C1283" i="2"/>
  <c r="C1296" i="2"/>
  <c r="B1312" i="2"/>
  <c r="C1312" i="2" s="1"/>
  <c r="B1319" i="2"/>
  <c r="C1319" i="2" s="1"/>
  <c r="C1323" i="2"/>
  <c r="C1337" i="2"/>
  <c r="B1344" i="2"/>
  <c r="B1351" i="2"/>
  <c r="C1351" i="2" s="1"/>
  <c r="C1362" i="2"/>
  <c r="C1369" i="2"/>
  <c r="B1376" i="2"/>
  <c r="C1376" i="2" s="1"/>
  <c r="B1393" i="2"/>
  <c r="C1393" i="2" s="1"/>
  <c r="B1400" i="2"/>
  <c r="C1400" i="2" s="1"/>
  <c r="C1416" i="2"/>
  <c r="B1433" i="2"/>
  <c r="C1433" i="2"/>
  <c r="C1438" i="2"/>
  <c r="B1438" i="2"/>
  <c r="B1450" i="2"/>
  <c r="C1450" i="2"/>
  <c r="C1455" i="2"/>
  <c r="B1459" i="2"/>
  <c r="C1459" i="2" s="1"/>
  <c r="C1467" i="2"/>
  <c r="B1471" i="2"/>
  <c r="C1471" i="2" s="1"/>
  <c r="B1480" i="2"/>
  <c r="C1480" i="2" s="1"/>
  <c r="C1499" i="2"/>
  <c r="B1503" i="2"/>
  <c r="C1503" i="2" s="1"/>
  <c r="B1512" i="2"/>
  <c r="C1512" i="2" s="1"/>
  <c r="C1531" i="2"/>
  <c r="B1535" i="2"/>
  <c r="B1544" i="2"/>
  <c r="C1544" i="2" s="1"/>
  <c r="B1554" i="2"/>
  <c r="C1554" i="2" s="1"/>
  <c r="C1559" i="2"/>
  <c r="B1570" i="2"/>
  <c r="C1570" i="2"/>
  <c r="C1575" i="2"/>
  <c r="B1586" i="2"/>
  <c r="C1586" i="2" s="1"/>
  <c r="C1591" i="2"/>
  <c r="B1602" i="2"/>
  <c r="C1602" i="2" s="1"/>
  <c r="C1607" i="2"/>
  <c r="B1618" i="2"/>
  <c r="C1618" i="2" s="1"/>
  <c r="C1623" i="2"/>
  <c r="B1634" i="2"/>
  <c r="C1634" i="2"/>
  <c r="C1639" i="2"/>
  <c r="B1650" i="2"/>
  <c r="C1650" i="2" s="1"/>
  <c r="C1655" i="2"/>
  <c r="B1667" i="2"/>
  <c r="C1667" i="2" s="1"/>
  <c r="B1690" i="2"/>
  <c r="C1690" i="2"/>
  <c r="C1715" i="2"/>
  <c r="B1843" i="2"/>
  <c r="C1843" i="2" s="1"/>
  <c r="B1850" i="2"/>
  <c r="C1850" i="2" s="1"/>
  <c r="C1864" i="2"/>
  <c r="B1864" i="2"/>
  <c r="B1146" i="2"/>
  <c r="B1162" i="2"/>
  <c r="C1162" i="2" s="1"/>
  <c r="B1178" i="2"/>
  <c r="B1194" i="2"/>
  <c r="B1210" i="2"/>
  <c r="C1210" i="2" s="1"/>
  <c r="B1226" i="2"/>
  <c r="C1226" i="2" s="1"/>
  <c r="B1242" i="2"/>
  <c r="B1258" i="2"/>
  <c r="B1274" i="2"/>
  <c r="B1290" i="2"/>
  <c r="C1290" i="2" s="1"/>
  <c r="B1306" i="2"/>
  <c r="B1313" i="2"/>
  <c r="C1320" i="2"/>
  <c r="C1327" i="2"/>
  <c r="B1331" i="2"/>
  <c r="C1331" i="2" s="1"/>
  <c r="B1338" i="2"/>
  <c r="B1345" i="2"/>
  <c r="C1345" i="2" s="1"/>
  <c r="C1352" i="2"/>
  <c r="B1363" i="2"/>
  <c r="B1370" i="2"/>
  <c r="C1370" i="2" s="1"/>
  <c r="B1377" i="2"/>
  <c r="C1377" i="2" s="1"/>
  <c r="B1384" i="2"/>
  <c r="C1384" i="2" s="1"/>
  <c r="B1417" i="2"/>
  <c r="C1417" i="2"/>
  <c r="C1422" i="2"/>
  <c r="B1422" i="2"/>
  <c r="B1434" i="2"/>
  <c r="C1434" i="2"/>
  <c r="C1439" i="2"/>
  <c r="B1443" i="2"/>
  <c r="C1443" i="2" s="1"/>
  <c r="C1536" i="2"/>
  <c r="C1603" i="2"/>
  <c r="C1635" i="2"/>
  <c r="C1673" i="2"/>
  <c r="B1673" i="2"/>
  <c r="B1697" i="2"/>
  <c r="C1697" i="2" s="1"/>
  <c r="C1728" i="2"/>
  <c r="B1728" i="2"/>
  <c r="C1734" i="2"/>
  <c r="B1734" i="2"/>
  <c r="C1769" i="2"/>
  <c r="C1783" i="2"/>
  <c r="B1783" i="2"/>
  <c r="B1888" i="2"/>
  <c r="C1888" i="2" s="1"/>
  <c r="C999" i="2"/>
  <c r="B1002" i="2"/>
  <c r="C1002" i="2" s="1"/>
  <c r="C1031" i="2"/>
  <c r="B1034" i="2"/>
  <c r="C1034" i="2" s="1"/>
  <c r="C1046" i="2"/>
  <c r="C1062" i="2"/>
  <c r="C1078" i="2"/>
  <c r="C1094" i="2"/>
  <c r="C1111" i="2"/>
  <c r="C1127" i="2"/>
  <c r="C1143" i="2"/>
  <c r="C1146" i="2"/>
  <c r="C1159" i="2"/>
  <c r="C1175" i="2"/>
  <c r="C1178" i="2"/>
  <c r="C1191" i="2"/>
  <c r="C1194" i="2"/>
  <c r="C1207" i="2"/>
  <c r="C1223" i="2"/>
  <c r="C1239" i="2"/>
  <c r="C1242" i="2"/>
  <c r="C1255" i="2"/>
  <c r="C1258" i="2"/>
  <c r="C1271" i="2"/>
  <c r="C1274" i="2"/>
  <c r="C1287" i="2"/>
  <c r="C1303" i="2"/>
  <c r="C1306" i="2"/>
  <c r="C1313" i="2"/>
  <c r="B1320" i="2"/>
  <c r="B1327" i="2"/>
  <c r="C1338" i="2"/>
  <c r="B1352" i="2"/>
  <c r="B1359" i="2"/>
  <c r="C1359" i="2" s="1"/>
  <c r="C1363" i="2"/>
  <c r="B1401" i="2"/>
  <c r="C1401" i="2" s="1"/>
  <c r="B1406" i="2"/>
  <c r="C1406" i="2" s="1"/>
  <c r="B1418" i="2"/>
  <c r="C1418" i="2"/>
  <c r="C1423" i="2"/>
  <c r="B1427" i="2"/>
  <c r="C1427" i="2" s="1"/>
  <c r="C1435" i="2"/>
  <c r="B1439" i="2"/>
  <c r="B1451" i="2"/>
  <c r="C1451" i="2" s="1"/>
  <c r="B1473" i="2"/>
  <c r="C1473" i="2" s="1"/>
  <c r="B1481" i="2"/>
  <c r="C1481" i="2" s="1"/>
  <c r="C1486" i="2"/>
  <c r="B1486" i="2"/>
  <c r="B1491" i="2"/>
  <c r="C1491" i="2" s="1"/>
  <c r="B1505" i="2"/>
  <c r="C1505" i="2" s="1"/>
  <c r="B1513" i="2"/>
  <c r="C1513" i="2"/>
  <c r="B1518" i="2"/>
  <c r="C1518" i="2" s="1"/>
  <c r="C1523" i="2"/>
  <c r="B1523" i="2"/>
  <c r="B1537" i="2"/>
  <c r="C1537" i="2" s="1"/>
  <c r="B1545" i="2"/>
  <c r="C1545" i="2" s="1"/>
  <c r="C1550" i="2"/>
  <c r="B1550" i="2"/>
  <c r="B1555" i="2"/>
  <c r="C1555" i="2" s="1"/>
  <c r="C1560" i="2"/>
  <c r="B1571" i="2"/>
  <c r="C1571" i="2" s="1"/>
  <c r="C1576" i="2"/>
  <c r="B1587" i="2"/>
  <c r="C1587" i="2" s="1"/>
  <c r="C1592" i="2"/>
  <c r="B1603" i="2"/>
  <c r="C1608" i="2"/>
  <c r="B1619" i="2"/>
  <c r="C1619" i="2" s="1"/>
  <c r="C1624" i="2"/>
  <c r="B1635" i="2"/>
  <c r="C1640" i="2"/>
  <c r="B1651" i="2"/>
  <c r="C1651" i="2" s="1"/>
  <c r="C1656" i="2"/>
  <c r="C1662" i="2"/>
  <c r="B1662" i="2"/>
  <c r="C1680" i="2"/>
  <c r="C1692" i="2"/>
  <c r="B1692" i="2"/>
  <c r="B1770" i="2"/>
  <c r="C1770" i="2"/>
  <c r="B1700" i="2"/>
  <c r="C1700" i="2" s="1"/>
  <c r="C1723" i="2"/>
  <c r="B1762" i="2"/>
  <c r="C1762" i="2"/>
  <c r="C1768" i="2"/>
  <c r="B1789" i="2"/>
  <c r="C1789" i="2" s="1"/>
  <c r="C1800" i="2"/>
  <c r="C1835" i="2"/>
  <c r="B1835" i="2"/>
  <c r="C1848" i="2"/>
  <c r="B1848" i="2"/>
  <c r="B1875" i="2"/>
  <c r="C1875" i="2" s="1"/>
  <c r="B1896" i="2"/>
  <c r="C1896" i="2" s="1"/>
  <c r="B1394" i="2"/>
  <c r="C1394" i="2" s="1"/>
  <c r="B1410" i="2"/>
  <c r="C1410" i="2" s="1"/>
  <c r="B1426" i="2"/>
  <c r="C1426" i="2" s="1"/>
  <c r="B1442" i="2"/>
  <c r="C1442" i="2" s="1"/>
  <c r="B1458" i="2"/>
  <c r="C1458" i="2" s="1"/>
  <c r="B1474" i="2"/>
  <c r="C1474" i="2" s="1"/>
  <c r="B1490" i="2"/>
  <c r="C1490" i="2" s="1"/>
  <c r="B1506" i="2"/>
  <c r="C1506" i="2" s="1"/>
  <c r="B1522" i="2"/>
  <c r="C1522" i="2" s="1"/>
  <c r="B1538" i="2"/>
  <c r="C1538" i="2" s="1"/>
  <c r="C1551" i="2"/>
  <c r="C1558" i="2"/>
  <c r="B1558" i="2"/>
  <c r="B1566" i="2"/>
  <c r="C1566" i="2" s="1"/>
  <c r="B1574" i="2"/>
  <c r="C1574" i="2" s="1"/>
  <c r="B1582" i="2"/>
  <c r="C1582" i="2" s="1"/>
  <c r="C1590" i="2"/>
  <c r="B1590" i="2"/>
  <c r="B1598" i="2"/>
  <c r="C1598" i="2" s="1"/>
  <c r="B1606" i="2"/>
  <c r="C1606" i="2" s="1"/>
  <c r="B1614" i="2"/>
  <c r="C1614" i="2" s="1"/>
  <c r="C1622" i="2"/>
  <c r="B1622" i="2"/>
  <c r="B1630" i="2"/>
  <c r="C1630" i="2" s="1"/>
  <c r="B1638" i="2"/>
  <c r="C1638" i="2" s="1"/>
  <c r="B1646" i="2"/>
  <c r="C1646" i="2" s="1"/>
  <c r="C1654" i="2"/>
  <c r="B1654" i="2"/>
  <c r="C1663" i="2"/>
  <c r="C1696" i="2"/>
  <c r="B1705" i="2"/>
  <c r="C1705" i="2" s="1"/>
  <c r="B1718" i="2"/>
  <c r="C1718" i="2" s="1"/>
  <c r="C1724" i="2"/>
  <c r="B1724" i="2"/>
  <c r="B1729" i="2"/>
  <c r="C1729" i="2" s="1"/>
  <c r="C1748" i="2"/>
  <c r="B1748" i="2"/>
  <c r="C1753" i="2"/>
  <c r="B1768" i="2"/>
  <c r="B1778" i="2"/>
  <c r="C1778" i="2" s="1"/>
  <c r="B1806" i="2"/>
  <c r="C1806" i="2" s="1"/>
  <c r="C1818" i="2"/>
  <c r="B1818" i="2"/>
  <c r="B1824" i="2"/>
  <c r="C1824" i="2" s="1"/>
  <c r="C1856" i="2"/>
  <c r="C1923" i="2"/>
  <c r="B1923" i="2"/>
  <c r="C1959" i="2"/>
  <c r="B2034" i="2"/>
  <c r="C2034" i="2"/>
  <c r="B2050" i="2"/>
  <c r="C2050" i="2"/>
  <c r="B2064" i="2"/>
  <c r="C2064" i="2" s="1"/>
  <c r="C1382" i="2"/>
  <c r="C1398" i="2"/>
  <c r="C1414" i="2"/>
  <c r="C1430" i="2"/>
  <c r="C1446" i="2"/>
  <c r="C1462" i="2"/>
  <c r="C1478" i="2"/>
  <c r="C1494" i="2"/>
  <c r="C1510" i="2"/>
  <c r="C1526" i="2"/>
  <c r="C1542" i="2"/>
  <c r="C1687" i="2"/>
  <c r="B1702" i="2"/>
  <c r="C1702" i="2" s="1"/>
  <c r="B1726" i="2"/>
  <c r="C1726" i="2" s="1"/>
  <c r="C1731" i="2"/>
  <c r="B1740" i="2"/>
  <c r="C1740" i="2" s="1"/>
  <c r="B1802" i="2"/>
  <c r="C1802" i="2" s="1"/>
  <c r="C1872" i="2"/>
  <c r="B2192" i="2"/>
  <c r="C2192" i="2" s="1"/>
  <c r="B1466" i="2"/>
  <c r="B1482" i="2"/>
  <c r="C1482" i="2" s="1"/>
  <c r="B1498" i="2"/>
  <c r="B1514" i="2"/>
  <c r="C1514" i="2" s="1"/>
  <c r="B1530" i="2"/>
  <c r="B1546" i="2"/>
  <c r="C1546" i="2" s="1"/>
  <c r="C1683" i="2"/>
  <c r="C1712" i="2"/>
  <c r="B1721" i="2"/>
  <c r="C1721" i="2" s="1"/>
  <c r="B1756" i="2"/>
  <c r="C1756" i="2" s="1"/>
  <c r="C1815" i="2"/>
  <c r="B1815" i="2"/>
  <c r="C1859" i="2"/>
  <c r="B1859" i="2"/>
  <c r="B1893" i="2"/>
  <c r="C1893" i="2" s="1"/>
  <c r="C1927" i="2"/>
  <c r="B2046" i="2"/>
  <c r="C2046" i="2"/>
  <c r="C1383" i="2"/>
  <c r="C1399" i="2"/>
  <c r="C1415" i="2"/>
  <c r="C1431" i="2"/>
  <c r="C1447" i="2"/>
  <c r="C1463" i="2"/>
  <c r="C1466" i="2"/>
  <c r="C1479" i="2"/>
  <c r="C1495" i="2"/>
  <c r="C1498" i="2"/>
  <c r="C1511" i="2"/>
  <c r="C1527" i="2"/>
  <c r="C1530" i="2"/>
  <c r="C1543" i="2"/>
  <c r="B1553" i="2"/>
  <c r="C1553" i="2" s="1"/>
  <c r="B1670" i="2"/>
  <c r="C1670" i="2" s="1"/>
  <c r="C1688" i="2"/>
  <c r="B1694" i="2"/>
  <c r="C1694" i="2" s="1"/>
  <c r="C1699" i="2"/>
  <c r="B1708" i="2"/>
  <c r="C1708" i="2" s="1"/>
  <c r="B1722" i="2"/>
  <c r="C1722" i="2" s="1"/>
  <c r="B1732" i="2"/>
  <c r="C1732" i="2" s="1"/>
  <c r="B1772" i="2"/>
  <c r="C1772" i="2" s="1"/>
  <c r="B1787" i="2"/>
  <c r="C1787" i="2" s="1"/>
  <c r="B1798" i="2"/>
  <c r="C1798" i="2" s="1"/>
  <c r="B1804" i="2"/>
  <c r="C1804" i="2" s="1"/>
  <c r="B1822" i="2"/>
  <c r="C1822" i="2" s="1"/>
  <c r="C1880" i="2"/>
  <c r="B1880" i="2"/>
  <c r="C2039" i="2"/>
  <c r="C1695" i="2"/>
  <c r="B1698" i="2"/>
  <c r="C1698" i="2" s="1"/>
  <c r="C1727" i="2"/>
  <c r="B1730" i="2"/>
  <c r="C1730" i="2" s="1"/>
  <c r="C1751" i="2"/>
  <c r="C1767" i="2"/>
  <c r="C1786" i="2"/>
  <c r="C1831" i="2"/>
  <c r="B1831" i="2"/>
  <c r="B1854" i="2"/>
  <c r="C1854" i="2" s="1"/>
  <c r="B1870" i="2"/>
  <c r="C1870" i="2" s="1"/>
  <c r="B1886" i="2"/>
  <c r="C1886" i="2" s="1"/>
  <c r="B1918" i="2"/>
  <c r="C1918" i="2" s="1"/>
  <c r="C1937" i="2"/>
  <c r="B1937" i="2"/>
  <c r="B1972" i="2"/>
  <c r="C1972" i="2" s="1"/>
  <c r="B1986" i="2"/>
  <c r="C1986" i="2" s="1"/>
  <c r="B1755" i="2"/>
  <c r="C1755" i="2" s="1"/>
  <c r="B1771" i="2"/>
  <c r="C1771" i="2" s="1"/>
  <c r="B1790" i="2"/>
  <c r="C1790" i="2" s="1"/>
  <c r="B1805" i="2"/>
  <c r="C1805" i="2" s="1"/>
  <c r="C1819" i="2"/>
  <c r="C1827" i="2"/>
  <c r="C1832" i="2"/>
  <c r="B1844" i="2"/>
  <c r="C1844" i="2" s="1"/>
  <c r="B1860" i="2"/>
  <c r="C1860" i="2" s="1"/>
  <c r="B1876" i="2"/>
  <c r="C1876" i="2" s="1"/>
  <c r="C1913" i="2"/>
  <c r="B1913" i="2"/>
  <c r="B1932" i="2"/>
  <c r="C1932" i="2" s="1"/>
  <c r="C2000" i="2"/>
  <c r="B2020" i="2"/>
  <c r="C2020" i="2" s="1"/>
  <c r="C2048" i="2"/>
  <c r="B2098" i="2"/>
  <c r="C2098" i="2"/>
  <c r="B1682" i="2"/>
  <c r="C1682" i="2" s="1"/>
  <c r="B1714" i="2"/>
  <c r="C1714" i="2" s="1"/>
  <c r="C1759" i="2"/>
  <c r="B1846" i="2"/>
  <c r="C1851" i="2"/>
  <c r="B1851" i="2"/>
  <c r="B1862" i="2"/>
  <c r="C1862" i="2" s="1"/>
  <c r="B1867" i="2"/>
  <c r="C1867" i="2" s="1"/>
  <c r="B1878" i="2"/>
  <c r="C1883" i="2"/>
  <c r="B1883" i="2"/>
  <c r="C1910" i="2"/>
  <c r="B1910" i="2"/>
  <c r="B1915" i="2"/>
  <c r="C1915" i="2" s="1"/>
  <c r="C1934" i="2"/>
  <c r="B1934" i="2"/>
  <c r="C1947" i="2"/>
  <c r="B1947" i="2"/>
  <c r="C1961" i="2"/>
  <c r="B1961" i="2"/>
  <c r="C1995" i="2"/>
  <c r="B1995" i="2"/>
  <c r="B2036" i="2"/>
  <c r="C2036" i="2" s="1"/>
  <c r="B1561" i="2"/>
  <c r="C1561" i="2" s="1"/>
  <c r="B1569" i="2"/>
  <c r="C1569" i="2" s="1"/>
  <c r="B1577" i="2"/>
  <c r="C1577" i="2" s="1"/>
  <c r="B1585" i="2"/>
  <c r="B1593" i="2"/>
  <c r="C1593" i="2" s="1"/>
  <c r="B1601" i="2"/>
  <c r="C1601" i="2" s="1"/>
  <c r="B1609" i="2"/>
  <c r="C1609" i="2" s="1"/>
  <c r="B1617" i="2"/>
  <c r="B1625" i="2"/>
  <c r="C1625" i="2" s="1"/>
  <c r="B1633" i="2"/>
  <c r="C1633" i="2" s="1"/>
  <c r="B1641" i="2"/>
  <c r="C1641" i="2" s="1"/>
  <c r="B1649" i="2"/>
  <c r="C1649" i="2" s="1"/>
  <c r="B1657" i="2"/>
  <c r="C1657" i="2" s="1"/>
  <c r="B1665" i="2"/>
  <c r="C1665" i="2" s="1"/>
  <c r="B1679" i="2"/>
  <c r="C1679" i="2" s="1"/>
  <c r="B1688" i="2"/>
  <c r="B1691" i="2"/>
  <c r="C1691" i="2" s="1"/>
  <c r="B1711" i="2"/>
  <c r="C1711" i="2" s="1"/>
  <c r="B1720" i="2"/>
  <c r="C1720" i="2" s="1"/>
  <c r="B1723" i="2"/>
  <c r="B1743" i="2"/>
  <c r="C1743" i="2" s="1"/>
  <c r="B1747" i="2"/>
  <c r="B1753" i="2"/>
  <c r="B1759" i="2"/>
  <c r="B1763" i="2"/>
  <c r="B1769" i="2"/>
  <c r="B1775" i="2"/>
  <c r="C1775" i="2" s="1"/>
  <c r="B1779" i="2"/>
  <c r="C1779" i="2" s="1"/>
  <c r="C1795" i="2"/>
  <c r="B1795" i="2"/>
  <c r="B1799" i="2"/>
  <c r="C1799" i="2" s="1"/>
  <c r="B1807" i="2"/>
  <c r="C1807" i="2" s="1"/>
  <c r="B1838" i="2"/>
  <c r="C1846" i="2"/>
  <c r="C1878" i="2"/>
  <c r="C1984" i="2"/>
  <c r="C1671" i="2"/>
  <c r="B1674" i="2"/>
  <c r="C1674" i="2" s="1"/>
  <c r="C1703" i="2"/>
  <c r="B1706" i="2"/>
  <c r="C1706" i="2" s="1"/>
  <c r="C1735" i="2"/>
  <c r="B1738" i="2"/>
  <c r="C1738" i="2" s="1"/>
  <c r="C1744" i="2"/>
  <c r="C1747" i="2"/>
  <c r="C1760" i="2"/>
  <c r="C1763" i="2"/>
  <c r="C1776" i="2"/>
  <c r="C1792" i="2"/>
  <c r="C1796" i="2"/>
  <c r="B1803" i="2"/>
  <c r="C1803" i="2" s="1"/>
  <c r="B1830" i="2"/>
  <c r="C1830" i="2" s="1"/>
  <c r="B1834" i="2"/>
  <c r="C1834" i="2"/>
  <c r="C1838" i="2"/>
  <c r="C1847" i="2"/>
  <c r="B1847" i="2"/>
  <c r="C1929" i="2"/>
  <c r="B1929" i="2"/>
  <c r="C1942" i="2"/>
  <c r="B1942" i="2"/>
  <c r="C2011" i="2"/>
  <c r="B2011" i="2"/>
  <c r="B1866" i="2"/>
  <c r="C1879" i="2"/>
  <c r="B1882" i="2"/>
  <c r="B1902" i="2"/>
  <c r="C1902" i="2" s="1"/>
  <c r="B1912" i="2"/>
  <c r="C1912" i="2" s="1"/>
  <c r="C1919" i="2"/>
  <c r="B1924" i="2"/>
  <c r="C1924" i="2" s="1"/>
  <c r="C1943" i="2"/>
  <c r="B1948" i="2"/>
  <c r="C1948" i="2" s="1"/>
  <c r="C1968" i="2"/>
  <c r="C1979" i="2"/>
  <c r="B1979" i="2"/>
  <c r="C2007" i="2"/>
  <c r="B2018" i="2"/>
  <c r="C2018" i="2" s="1"/>
  <c r="B2052" i="2"/>
  <c r="C2052" i="2"/>
  <c r="B2068" i="2"/>
  <c r="C2068" i="2"/>
  <c r="B2085" i="2"/>
  <c r="C2085" i="2" s="1"/>
  <c r="B2229" i="2"/>
  <c r="C2229" i="2" s="1"/>
  <c r="B2460" i="2"/>
  <c r="C2460" i="2" s="1"/>
  <c r="B1863" i="2"/>
  <c r="C1863" i="2" s="1"/>
  <c r="C1866" i="2"/>
  <c r="B1879" i="2"/>
  <c r="C1882" i="2"/>
  <c r="B1899" i="2"/>
  <c r="C1899" i="2" s="1"/>
  <c r="C1906" i="2"/>
  <c r="B1909" i="2"/>
  <c r="C1909" i="2" s="1"/>
  <c r="B1916" i="2"/>
  <c r="C1916" i="2" s="1"/>
  <c r="B1953" i="2"/>
  <c r="C1953" i="2" s="1"/>
  <c r="B1958" i="2"/>
  <c r="C1958" i="2" s="1"/>
  <c r="B1963" i="2"/>
  <c r="C1963" i="2" s="1"/>
  <c r="B1968" i="2"/>
  <c r="B2002" i="2"/>
  <c r="C2002" i="2" s="1"/>
  <c r="B2014" i="2"/>
  <c r="C2014" i="2" s="1"/>
  <c r="C2041" i="2"/>
  <c r="C2057" i="2"/>
  <c r="C2080" i="2"/>
  <c r="C2101" i="2"/>
  <c r="B2101" i="2"/>
  <c r="C2129" i="2"/>
  <c r="B2129" i="2"/>
  <c r="C2136" i="2"/>
  <c r="B2136" i="2"/>
  <c r="C2144" i="2"/>
  <c r="B2144" i="2"/>
  <c r="C1890" i="2"/>
  <c r="B1900" i="2"/>
  <c r="C1935" i="2"/>
  <c r="B1940" i="2"/>
  <c r="B1970" i="2"/>
  <c r="C1970" i="2" s="1"/>
  <c r="B1982" i="2"/>
  <c r="C1982" i="2" s="1"/>
  <c r="C2009" i="2"/>
  <c r="C2025" i="2"/>
  <c r="B2059" i="2"/>
  <c r="C2059" i="2" s="1"/>
  <c r="B2160" i="2"/>
  <c r="C2160" i="2" s="1"/>
  <c r="B2232" i="2"/>
  <c r="C2232" i="2" s="1"/>
  <c r="B2455" i="2"/>
  <c r="C2455" i="2"/>
  <c r="B1782" i="2"/>
  <c r="C1782" i="2" s="1"/>
  <c r="C1811" i="2"/>
  <c r="B1814" i="2"/>
  <c r="C1814" i="2" s="1"/>
  <c r="C1823" i="2"/>
  <c r="B1826" i="2"/>
  <c r="C1826" i="2" s="1"/>
  <c r="C1839" i="2"/>
  <c r="B1842" i="2"/>
  <c r="C1842" i="2" s="1"/>
  <c r="C1855" i="2"/>
  <c r="B1858" i="2"/>
  <c r="C1858" i="2" s="1"/>
  <c r="C1871" i="2"/>
  <c r="B1874" i="2"/>
  <c r="C1874" i="2" s="1"/>
  <c r="C1887" i="2"/>
  <c r="B1890" i="2"/>
  <c r="C1897" i="2"/>
  <c r="C1900" i="2"/>
  <c r="B1907" i="2"/>
  <c r="C1907" i="2" s="1"/>
  <c r="B1921" i="2"/>
  <c r="C1921" i="2" s="1"/>
  <c r="C1940" i="2"/>
  <c r="C1945" i="2"/>
  <c r="B1945" i="2"/>
  <c r="C1950" i="2"/>
  <c r="B1950" i="2"/>
  <c r="C1955" i="2"/>
  <c r="B1955" i="2"/>
  <c r="B1988" i="2"/>
  <c r="C1988" i="2" s="1"/>
  <c r="B2004" i="2"/>
  <c r="C2004" i="2"/>
  <c r="C2016" i="2"/>
  <c r="C2032" i="2"/>
  <c r="B2043" i="2"/>
  <c r="C2043" i="2" s="1"/>
  <c r="B2076" i="2"/>
  <c r="C2076" i="2" s="1"/>
  <c r="B2089" i="2"/>
  <c r="C2089" i="2" s="1"/>
  <c r="B2096" i="2"/>
  <c r="C2096" i="2" s="1"/>
  <c r="C2117" i="2"/>
  <c r="C2124" i="2"/>
  <c r="B2124" i="2"/>
  <c r="B1922" i="2"/>
  <c r="C1922" i="2" s="1"/>
  <c r="B1926" i="2"/>
  <c r="C1926" i="2" s="1"/>
  <c r="B1931" i="2"/>
  <c r="C1931" i="2" s="1"/>
  <c r="C1951" i="2"/>
  <c r="B1956" i="2"/>
  <c r="C1956" i="2" s="1"/>
  <c r="C1977" i="2"/>
  <c r="C1993" i="2"/>
  <c r="B2027" i="2"/>
  <c r="C2027" i="2" s="1"/>
  <c r="B2032" i="2"/>
  <c r="B2066" i="2"/>
  <c r="C2066" i="2" s="1"/>
  <c r="C2090" i="2"/>
  <c r="B2090" i="2"/>
  <c r="C2176" i="2"/>
  <c r="B2176" i="2"/>
  <c r="C2204" i="2"/>
  <c r="C2313" i="2"/>
  <c r="C1889" i="2"/>
  <c r="B1892" i="2"/>
  <c r="C1892" i="2" s="1"/>
  <c r="C1967" i="2"/>
  <c r="B1974" i="2"/>
  <c r="C1974" i="2" s="1"/>
  <c r="C1999" i="2"/>
  <c r="B2006" i="2"/>
  <c r="C2006" i="2" s="1"/>
  <c r="C2031" i="2"/>
  <c r="B2038" i="2"/>
  <c r="C2038" i="2" s="1"/>
  <c r="C2063" i="2"/>
  <c r="C2093" i="2"/>
  <c r="B2115" i="2"/>
  <c r="C2115" i="2" s="1"/>
  <c r="B2205" i="2"/>
  <c r="C2205" i="2" s="1"/>
  <c r="B2223" i="2"/>
  <c r="C2223" i="2" s="1"/>
  <c r="B2382" i="2"/>
  <c r="C2382" i="2"/>
  <c r="C2500" i="2"/>
  <c r="B1938" i="2"/>
  <c r="C1938" i="2" s="1"/>
  <c r="B1954" i="2"/>
  <c r="C1954" i="2" s="1"/>
  <c r="B1964" i="2"/>
  <c r="C1964" i="2" s="1"/>
  <c r="C1971" i="2"/>
  <c r="B1978" i="2"/>
  <c r="C1978" i="2" s="1"/>
  <c r="C1985" i="2"/>
  <c r="B1996" i="2"/>
  <c r="C1996" i="2" s="1"/>
  <c r="C2003" i="2"/>
  <c r="B2010" i="2"/>
  <c r="C2010" i="2" s="1"/>
  <c r="C2017" i="2"/>
  <c r="B2028" i="2"/>
  <c r="C2028" i="2" s="1"/>
  <c r="C2035" i="2"/>
  <c r="B2042" i="2"/>
  <c r="C2042" i="2" s="1"/>
  <c r="C2049" i="2"/>
  <c r="B2060" i="2"/>
  <c r="C2060" i="2" s="1"/>
  <c r="C2067" i="2"/>
  <c r="C2088" i="2"/>
  <c r="B2088" i="2"/>
  <c r="B2116" i="2"/>
  <c r="C2116" i="2" s="1"/>
  <c r="C2140" i="2"/>
  <c r="B2140" i="2"/>
  <c r="C2156" i="2"/>
  <c r="B2156" i="2"/>
  <c r="C2172" i="2"/>
  <c r="B2172" i="2"/>
  <c r="B2188" i="2"/>
  <c r="C2188" i="2" s="1"/>
  <c r="C2224" i="2"/>
  <c r="B2224" i="2"/>
  <c r="B2243" i="2"/>
  <c r="C2243" i="2" s="1"/>
  <c r="B2289" i="2"/>
  <c r="C2289" i="2" s="1"/>
  <c r="B2343" i="2"/>
  <c r="C2343" i="2" s="1"/>
  <c r="B2131" i="2"/>
  <c r="C2131" i="2"/>
  <c r="C2152" i="2"/>
  <c r="B2152" i="2"/>
  <c r="C2168" i="2"/>
  <c r="B2168" i="2"/>
  <c r="C2184" i="2"/>
  <c r="B2184" i="2"/>
  <c r="B2200" i="2"/>
  <c r="C2200" i="2" s="1"/>
  <c r="C2233" i="2"/>
  <c r="B2245" i="2"/>
  <c r="C2245" i="2" s="1"/>
  <c r="B2276" i="2"/>
  <c r="C2276" i="2" s="1"/>
  <c r="C1905" i="2"/>
  <c r="B1908" i="2"/>
  <c r="C1908" i="2" s="1"/>
  <c r="C1983" i="2"/>
  <c r="B1990" i="2"/>
  <c r="C1990" i="2" s="1"/>
  <c r="C2015" i="2"/>
  <c r="B2022" i="2"/>
  <c r="C2022" i="2" s="1"/>
  <c r="C2047" i="2"/>
  <c r="B2054" i="2"/>
  <c r="C2054" i="2" s="1"/>
  <c r="B2069" i="2"/>
  <c r="C2069" i="2" s="1"/>
  <c r="B2077" i="2"/>
  <c r="C2077" i="2" s="1"/>
  <c r="B2091" i="2"/>
  <c r="C2091" i="2" s="1"/>
  <c r="C2104" i="2"/>
  <c r="B2108" i="2"/>
  <c r="C2108" i="2" s="1"/>
  <c r="B2209" i="2"/>
  <c r="C2209" i="2" s="1"/>
  <c r="B2215" i="2"/>
  <c r="C2215" i="2" s="1"/>
  <c r="B2227" i="2"/>
  <c r="C2227" i="2" s="1"/>
  <c r="B2519" i="2"/>
  <c r="C2519" i="2"/>
  <c r="B1930" i="2"/>
  <c r="C1930" i="2" s="1"/>
  <c r="B1946" i="2"/>
  <c r="C1946" i="2" s="1"/>
  <c r="B1962" i="2"/>
  <c r="C1962" i="2" s="1"/>
  <c r="C1969" i="2"/>
  <c r="B1980" i="2"/>
  <c r="C1980" i="2" s="1"/>
  <c r="C1987" i="2"/>
  <c r="B1994" i="2"/>
  <c r="C1994" i="2" s="1"/>
  <c r="C2001" i="2"/>
  <c r="B2012" i="2"/>
  <c r="C2012" i="2" s="1"/>
  <c r="C2019" i="2"/>
  <c r="B2026" i="2"/>
  <c r="C2026" i="2" s="1"/>
  <c r="C2033" i="2"/>
  <c r="B2044" i="2"/>
  <c r="C2044" i="2" s="1"/>
  <c r="C2051" i="2"/>
  <c r="B2058" i="2"/>
  <c r="C2058" i="2" s="1"/>
  <c r="C2065" i="2"/>
  <c r="B2073" i="2"/>
  <c r="C2073" i="2" s="1"/>
  <c r="C2109" i="2"/>
  <c r="C2148" i="2"/>
  <c r="B2148" i="2"/>
  <c r="B2164" i="2"/>
  <c r="C2164" i="2" s="1"/>
  <c r="B2180" i="2"/>
  <c r="C2180" i="2" s="1"/>
  <c r="B2196" i="2"/>
  <c r="C2196" i="2" s="1"/>
  <c r="B1966" i="2"/>
  <c r="C1966" i="2" s="1"/>
  <c r="C1991" i="2"/>
  <c r="B1998" i="2"/>
  <c r="C1998" i="2" s="1"/>
  <c r="C2023" i="2"/>
  <c r="B2030" i="2"/>
  <c r="C2030" i="2" s="1"/>
  <c r="C2055" i="2"/>
  <c r="B2062" i="2"/>
  <c r="C2062" i="2" s="1"/>
  <c r="C2070" i="2"/>
  <c r="B2074" i="2"/>
  <c r="C2074" i="2" s="1"/>
  <c r="B2082" i="2"/>
  <c r="C2082" i="2" s="1"/>
  <c r="B2123" i="2"/>
  <c r="C2123" i="2" s="1"/>
  <c r="B2133" i="2"/>
  <c r="C2133" i="2" s="1"/>
  <c r="B2395" i="2"/>
  <c r="C2395" i="2" s="1"/>
  <c r="B2255" i="2"/>
  <c r="C2255" i="2" s="1"/>
  <c r="B2396" i="2"/>
  <c r="C2396" i="2" s="1"/>
  <c r="C2483" i="2"/>
  <c r="B2542" i="2"/>
  <c r="C2542" i="2" s="1"/>
  <c r="C2564" i="2"/>
  <c r="B2092" i="2"/>
  <c r="C2092" i="2" s="1"/>
  <c r="C2105" i="2"/>
  <c r="C2112" i="2"/>
  <c r="C2137" i="2"/>
  <c r="C2141" i="2"/>
  <c r="C2145" i="2"/>
  <c r="C2149" i="2"/>
  <c r="C2153" i="2"/>
  <c r="C2157" i="2"/>
  <c r="C2161" i="2"/>
  <c r="C2165" i="2"/>
  <c r="C2169" i="2"/>
  <c r="C2173" i="2"/>
  <c r="C2177" i="2"/>
  <c r="C2181" i="2"/>
  <c r="C2185" i="2"/>
  <c r="C2189" i="2"/>
  <c r="C2193" i="2"/>
  <c r="C2197" i="2"/>
  <c r="B2201" i="2"/>
  <c r="C2201" i="2" s="1"/>
  <c r="B2219" i="2"/>
  <c r="C2219" i="2" s="1"/>
  <c r="C2228" i="2"/>
  <c r="B2239" i="2"/>
  <c r="C2239" i="2" s="1"/>
  <c r="B2342" i="2"/>
  <c r="C2342" i="2" s="1"/>
  <c r="B2356" i="2"/>
  <c r="C2356" i="2" s="1"/>
  <c r="B2083" i="2"/>
  <c r="C2083" i="2" s="1"/>
  <c r="B2099" i="2"/>
  <c r="C2099" i="2" s="1"/>
  <c r="C2113" i="2"/>
  <c r="C2120" i="2"/>
  <c r="B2127" i="2"/>
  <c r="C2127" i="2" s="1"/>
  <c r="B2211" i="2"/>
  <c r="C2211" i="2" s="1"/>
  <c r="C2225" i="2"/>
  <c r="B2225" i="2"/>
  <c r="C2240" i="2"/>
  <c r="B2240" i="2"/>
  <c r="B2251" i="2"/>
  <c r="C2251" i="2" s="1"/>
  <c r="B2309" i="2"/>
  <c r="C2309" i="2"/>
  <c r="C2322" i="2"/>
  <c r="B2406" i="2"/>
  <c r="C2406" i="2" s="1"/>
  <c r="B2421" i="2"/>
  <c r="C2421" i="2" s="1"/>
  <c r="B2207" i="2"/>
  <c r="C2207" i="2" s="1"/>
  <c r="B2216" i="2"/>
  <c r="C2216" i="2" s="1"/>
  <c r="C2221" i="2"/>
  <c r="B2235" i="2"/>
  <c r="C2235" i="2" s="1"/>
  <c r="C2241" i="2"/>
  <c r="C2297" i="2"/>
  <c r="B2407" i="2"/>
  <c r="C2407" i="2" s="1"/>
  <c r="B2084" i="2"/>
  <c r="C2084" i="2" s="1"/>
  <c r="B2100" i="2"/>
  <c r="C2100" i="2" s="1"/>
  <c r="C2121" i="2"/>
  <c r="C2128" i="2"/>
  <c r="B2135" i="2"/>
  <c r="C2135" i="2" s="1"/>
  <c r="B2203" i="2"/>
  <c r="C2203" i="2" s="1"/>
  <c r="B2217" i="2"/>
  <c r="C2217" i="2" s="1"/>
  <c r="B2231" i="2"/>
  <c r="C2231" i="2" s="1"/>
  <c r="C2252" i="2"/>
  <c r="B2252" i="2"/>
  <c r="B2259" i="2"/>
  <c r="B2318" i="2"/>
  <c r="C2318" i="2" s="1"/>
  <c r="B2331" i="2"/>
  <c r="C2331" i="2" s="1"/>
  <c r="C2081" i="2"/>
  <c r="C2097" i="2"/>
  <c r="B2107" i="2"/>
  <c r="C2107" i="2" s="1"/>
  <c r="C2132" i="2"/>
  <c r="B2132" i="2"/>
  <c r="B2139" i="2"/>
  <c r="C2139" i="2" s="1"/>
  <c r="B2143" i="2"/>
  <c r="C2143" i="2" s="1"/>
  <c r="B2147" i="2"/>
  <c r="C2147" i="2" s="1"/>
  <c r="B2151" i="2"/>
  <c r="C2151" i="2" s="1"/>
  <c r="B2155" i="2"/>
  <c r="C2155" i="2" s="1"/>
  <c r="B2159" i="2"/>
  <c r="C2159" i="2" s="1"/>
  <c r="B2163" i="2"/>
  <c r="C2163" i="2" s="1"/>
  <c r="B2167" i="2"/>
  <c r="C2167" i="2" s="1"/>
  <c r="B2171" i="2"/>
  <c r="C2171" i="2" s="1"/>
  <c r="B2175" i="2"/>
  <c r="C2175" i="2" s="1"/>
  <c r="B2179" i="2"/>
  <c r="C2179" i="2" s="1"/>
  <c r="B2183" i="2"/>
  <c r="C2183" i="2" s="1"/>
  <c r="B2187" i="2"/>
  <c r="C2187" i="2" s="1"/>
  <c r="B2191" i="2"/>
  <c r="C2191" i="2" s="1"/>
  <c r="B2195" i="2"/>
  <c r="C2195" i="2" s="1"/>
  <c r="B2199" i="2"/>
  <c r="C2199" i="2" s="1"/>
  <c r="B2208" i="2"/>
  <c r="C2208" i="2" s="1"/>
  <c r="C2213" i="2"/>
  <c r="C2237" i="2"/>
  <c r="C2259" i="2"/>
  <c r="B2292" i="2"/>
  <c r="C2292" i="2" s="1"/>
  <c r="C2305" i="2"/>
  <c r="B2305" i="2"/>
  <c r="B2332" i="2"/>
  <c r="C2332" i="2" s="1"/>
  <c r="B2381" i="2"/>
  <c r="C2381" i="2"/>
  <c r="C2260" i="2"/>
  <c r="C2281" i="2"/>
  <c r="B2293" i="2"/>
  <c r="C2293" i="2"/>
  <c r="C2310" i="2"/>
  <c r="C2314" i="2"/>
  <c r="B2319" i="2"/>
  <c r="C2319" i="2" s="1"/>
  <c r="C2338" i="2"/>
  <c r="B2357" i="2"/>
  <c r="B2367" i="2"/>
  <c r="C2367" i="2" s="1"/>
  <c r="C2402" i="2"/>
  <c r="B2479" i="2"/>
  <c r="C2479" i="2" s="1"/>
  <c r="B2484" i="2"/>
  <c r="C2484" i="2" s="1"/>
  <c r="B2496" i="2"/>
  <c r="C2496" i="2" s="1"/>
  <c r="C2514" i="2"/>
  <c r="B2537" i="2"/>
  <c r="C2537" i="2" s="1"/>
  <c r="B2560" i="2"/>
  <c r="C2560" i="2" s="1"/>
  <c r="C2246" i="2"/>
  <c r="B2249" i="2"/>
  <c r="C2249" i="2" s="1"/>
  <c r="B2260" i="2"/>
  <c r="C2265" i="2"/>
  <c r="B2277" i="2"/>
  <c r="C2277" i="2"/>
  <c r="C2294" i="2"/>
  <c r="C2339" i="2"/>
  <c r="C2357" i="2"/>
  <c r="C2378" i="2"/>
  <c r="C2403" i="2"/>
  <c r="C2428" i="2"/>
  <c r="B2439" i="2"/>
  <c r="C2439" i="2" s="1"/>
  <c r="C2444" i="2"/>
  <c r="B2444" i="2"/>
  <c r="C2491" i="2"/>
  <c r="B2502" i="2"/>
  <c r="C2502" i="2" s="1"/>
  <c r="B2566" i="2"/>
  <c r="C2566" i="2" s="1"/>
  <c r="C2573" i="2"/>
  <c r="B2573" i="2"/>
  <c r="B2261" i="2"/>
  <c r="C2261" i="2"/>
  <c r="C2278" i="2"/>
  <c r="B2311" i="2"/>
  <c r="C2311" i="2" s="1"/>
  <c r="C2324" i="2"/>
  <c r="B2324" i="2"/>
  <c r="B2349" i="2"/>
  <c r="C2349" i="2" s="1"/>
  <c r="C2363" i="2"/>
  <c r="B2363" i="2"/>
  <c r="B2374" i="2"/>
  <c r="C2374" i="2" s="1"/>
  <c r="B2414" i="2"/>
  <c r="C2414" i="2" s="1"/>
  <c r="B2463" i="2"/>
  <c r="C2463" i="2" s="1"/>
  <c r="C2468" i="2"/>
  <c r="B2468" i="2"/>
  <c r="C2509" i="2"/>
  <c r="B2509" i="2"/>
  <c r="C2532" i="2"/>
  <c r="B2574" i="2"/>
  <c r="C2574" i="2" s="1"/>
  <c r="B2233" i="2"/>
  <c r="B2241" i="2"/>
  <c r="B2247" i="2"/>
  <c r="B2257" i="2"/>
  <c r="C2257" i="2" s="1"/>
  <c r="C2262" i="2"/>
  <c r="B2286" i="2"/>
  <c r="C2286" i="2" s="1"/>
  <c r="B2295" i="2"/>
  <c r="B2307" i="2"/>
  <c r="C2307" i="2" s="1"/>
  <c r="B2315" i="2"/>
  <c r="C2315" i="2" s="1"/>
  <c r="B2325" i="2"/>
  <c r="C2325" i="2" s="1"/>
  <c r="B2350" i="2"/>
  <c r="C2364" i="2"/>
  <c r="B2375" i="2"/>
  <c r="C2388" i="2"/>
  <c r="B2388" i="2"/>
  <c r="B2487" i="2"/>
  <c r="C2510" i="2"/>
  <c r="B2510" i="2"/>
  <c r="B2551" i="2"/>
  <c r="C2551" i="2" s="1"/>
  <c r="B2204" i="2"/>
  <c r="B2212" i="2"/>
  <c r="C2212" i="2" s="1"/>
  <c r="B2220" i="2"/>
  <c r="C2220" i="2" s="1"/>
  <c r="B2228" i="2"/>
  <c r="B2236" i="2"/>
  <c r="C2236" i="2" s="1"/>
  <c r="B2244" i="2"/>
  <c r="C2244" i="2" s="1"/>
  <c r="C2247" i="2"/>
  <c r="B2254" i="2"/>
  <c r="C2254" i="2" s="1"/>
  <c r="B2270" i="2"/>
  <c r="C2270" i="2" s="1"/>
  <c r="B2279" i="2"/>
  <c r="C2279" i="2" s="1"/>
  <c r="B2291" i="2"/>
  <c r="C2291" i="2" s="1"/>
  <c r="C2295" i="2"/>
  <c r="B2299" i="2"/>
  <c r="C2299" i="2" s="1"/>
  <c r="B2335" i="2"/>
  <c r="C2335" i="2"/>
  <c r="C2350" i="2"/>
  <c r="B2364" i="2"/>
  <c r="C2375" i="2"/>
  <c r="B2389" i="2"/>
  <c r="C2389" i="2" s="1"/>
  <c r="B2399" i="2"/>
  <c r="C2399" i="2"/>
  <c r="C2410" i="2"/>
  <c r="B2435" i="2"/>
  <c r="C2435" i="2" s="1"/>
  <c r="B2447" i="2"/>
  <c r="C2447" i="2" s="1"/>
  <c r="B2452" i="2"/>
  <c r="C2452" i="2" s="1"/>
  <c r="C2475" i="2"/>
  <c r="C2487" i="2"/>
  <c r="B2505" i="2"/>
  <c r="C2505" i="2" s="1"/>
  <c r="B2528" i="2"/>
  <c r="C2528" i="2" s="1"/>
  <c r="B2569" i="2"/>
  <c r="C2569" i="2" s="1"/>
  <c r="B2263" i="2"/>
  <c r="C2263" i="2" s="1"/>
  <c r="C2267" i="2"/>
  <c r="B2275" i="2"/>
  <c r="C2275" i="2" s="1"/>
  <c r="B2283" i="2"/>
  <c r="C2283" i="2" s="1"/>
  <c r="C2308" i="2"/>
  <c r="B2317" i="2"/>
  <c r="C2317" i="2" s="1"/>
  <c r="B2326" i="2"/>
  <c r="C2326" i="2" s="1"/>
  <c r="C2346" i="2"/>
  <c r="C2371" i="2"/>
  <c r="B2471" i="2"/>
  <c r="C2471" i="2" s="1"/>
  <c r="C2476" i="2"/>
  <c r="B2476" i="2"/>
  <c r="C2523" i="2"/>
  <c r="C2534" i="2"/>
  <c r="B2534" i="2"/>
  <c r="B2333" i="2"/>
  <c r="C2333" i="2" s="1"/>
  <c r="C2340" i="2"/>
  <c r="C2347" i="2"/>
  <c r="B2351" i="2"/>
  <c r="C2351" i="2" s="1"/>
  <c r="C2354" i="2"/>
  <c r="B2358" i="2"/>
  <c r="C2358" i="2" s="1"/>
  <c r="B2365" i="2"/>
  <c r="C2365" i="2" s="1"/>
  <c r="C2372" i="2"/>
  <c r="C2379" i="2"/>
  <c r="B2383" i="2"/>
  <c r="C2383" i="2" s="1"/>
  <c r="C2386" i="2"/>
  <c r="B2390" i="2"/>
  <c r="C2390" i="2" s="1"/>
  <c r="B2397" i="2"/>
  <c r="C2397" i="2" s="1"/>
  <c r="C2404" i="2"/>
  <c r="C2411" i="2"/>
  <c r="B2415" i="2"/>
  <c r="C2415" i="2" s="1"/>
  <c r="C2418" i="2"/>
  <c r="B2422" i="2"/>
  <c r="C2422" i="2" s="1"/>
  <c r="B2429" i="2"/>
  <c r="C2429" i="2" s="1"/>
  <c r="C2436" i="2"/>
  <c r="B2448" i="2"/>
  <c r="C2448" i="2" s="1"/>
  <c r="B2456" i="2"/>
  <c r="C2456" i="2" s="1"/>
  <c r="B2464" i="2"/>
  <c r="C2464" i="2" s="1"/>
  <c r="B2472" i="2"/>
  <c r="C2472" i="2" s="1"/>
  <c r="B2480" i="2"/>
  <c r="C2480" i="2" s="1"/>
  <c r="B2488" i="2"/>
  <c r="C2488" i="2" s="1"/>
  <c r="C2492" i="2"/>
  <c r="B2497" i="2"/>
  <c r="C2497" i="2" s="1"/>
  <c r="B2501" i="2"/>
  <c r="C2501" i="2" s="1"/>
  <c r="B2511" i="2"/>
  <c r="C2511" i="2" s="1"/>
  <c r="B2520" i="2"/>
  <c r="C2520" i="2" s="1"/>
  <c r="C2524" i="2"/>
  <c r="B2529" i="2"/>
  <c r="C2529" i="2" s="1"/>
  <c r="B2533" i="2"/>
  <c r="C2533" i="2" s="1"/>
  <c r="B2543" i="2"/>
  <c r="C2543" i="2" s="1"/>
  <c r="B2552" i="2"/>
  <c r="C2552" i="2" s="1"/>
  <c r="C2556" i="2"/>
  <c r="B2561" i="2"/>
  <c r="C2561" i="2" s="1"/>
  <c r="C2565" i="2"/>
  <c r="B2565" i="2"/>
  <c r="B2575" i="2"/>
  <c r="C2575" i="2" s="1"/>
  <c r="C2580" i="2"/>
  <c r="B2271" i="2"/>
  <c r="C2271" i="2" s="1"/>
  <c r="C2274" i="2"/>
  <c r="B2287" i="2"/>
  <c r="B2303" i="2"/>
  <c r="B2327" i="2"/>
  <c r="C2330" i="2"/>
  <c r="B2334" i="2"/>
  <c r="C2334" i="2" s="1"/>
  <c r="B2341" i="2"/>
  <c r="C2341" i="2" s="1"/>
  <c r="C2355" i="2"/>
  <c r="B2359" i="2"/>
  <c r="C2362" i="2"/>
  <c r="B2366" i="2"/>
  <c r="C2366" i="2" s="1"/>
  <c r="B2373" i="2"/>
  <c r="C2373" i="2" s="1"/>
  <c r="C2380" i="2"/>
  <c r="C2387" i="2"/>
  <c r="B2391" i="2"/>
  <c r="C2391" i="2" s="1"/>
  <c r="C2394" i="2"/>
  <c r="B2398" i="2"/>
  <c r="C2398" i="2" s="1"/>
  <c r="B2405" i="2"/>
  <c r="C2405" i="2" s="1"/>
  <c r="C2412" i="2"/>
  <c r="C2419" i="2"/>
  <c r="B2423" i="2"/>
  <c r="C2423" i="2" s="1"/>
  <c r="C2426" i="2"/>
  <c r="B2430" i="2"/>
  <c r="C2430" i="2" s="1"/>
  <c r="B2437" i="2"/>
  <c r="C2437" i="2" s="1"/>
  <c r="B2493" i="2"/>
  <c r="C2493" i="2" s="1"/>
  <c r="B2503" i="2"/>
  <c r="C2503" i="2" s="1"/>
  <c r="C2507" i="2"/>
  <c r="B2512" i="2"/>
  <c r="C2512" i="2" s="1"/>
  <c r="C2516" i="2"/>
  <c r="B2521" i="2"/>
  <c r="C2521" i="2" s="1"/>
  <c r="C2525" i="2"/>
  <c r="B2525" i="2"/>
  <c r="B2535" i="2"/>
  <c r="C2535" i="2" s="1"/>
  <c r="B2544" i="2"/>
  <c r="C2544" i="2" s="1"/>
  <c r="C2548" i="2"/>
  <c r="B2553" i="2"/>
  <c r="C2553" i="2" s="1"/>
  <c r="C2557" i="2"/>
  <c r="B2557" i="2"/>
  <c r="B2567" i="2"/>
  <c r="C2567" i="2" s="1"/>
  <c r="B2576" i="2"/>
  <c r="C2576" i="2" s="1"/>
  <c r="C2582" i="2"/>
  <c r="C2268" i="2"/>
  <c r="C2284" i="2"/>
  <c r="C2287" i="2"/>
  <c r="C2300" i="2"/>
  <c r="C2303" i="2"/>
  <c r="B2316" i="2"/>
  <c r="C2316" i="2" s="1"/>
  <c r="B2323" i="2"/>
  <c r="C2323" i="2" s="1"/>
  <c r="C2327" i="2"/>
  <c r="B2348" i="2"/>
  <c r="C2348" i="2" s="1"/>
  <c r="B2355" i="2"/>
  <c r="C2359" i="2"/>
  <c r="B2387" i="2"/>
  <c r="C2445" i="2"/>
  <c r="B2445" i="2"/>
  <c r="B2453" i="2"/>
  <c r="C2453" i="2" s="1"/>
  <c r="B2461" i="2"/>
  <c r="C2461" i="2" s="1"/>
  <c r="B2469" i="2"/>
  <c r="C2469" i="2" s="1"/>
  <c r="C2477" i="2"/>
  <c r="B2477" i="2"/>
  <c r="B2485" i="2"/>
  <c r="C2485" i="2" s="1"/>
  <c r="B2494" i="2"/>
  <c r="C2494" i="2" s="1"/>
  <c r="B2526" i="2"/>
  <c r="C2526" i="2" s="1"/>
  <c r="B2558" i="2"/>
  <c r="C2558" i="2" s="1"/>
  <c r="C2583" i="2"/>
  <c r="B2413" i="2"/>
  <c r="C2420" i="2"/>
  <c r="B2431" i="2"/>
  <c r="C2434" i="2"/>
  <c r="B2438" i="2"/>
  <c r="C2438" i="2" s="1"/>
  <c r="B2446" i="2"/>
  <c r="B2454" i="2"/>
  <c r="C2454" i="2" s="1"/>
  <c r="B2462" i="2"/>
  <c r="B2470" i="2"/>
  <c r="B2478" i="2"/>
  <c r="C2478" i="2" s="1"/>
  <c r="B2486" i="2"/>
  <c r="C2486" i="2" s="1"/>
  <c r="B2495" i="2"/>
  <c r="C2495" i="2" s="1"/>
  <c r="C2499" i="2"/>
  <c r="B2504" i="2"/>
  <c r="C2504" i="2" s="1"/>
  <c r="C2508" i="2"/>
  <c r="B2513" i="2"/>
  <c r="C2513" i="2" s="1"/>
  <c r="B2517" i="2"/>
  <c r="C2517" i="2" s="1"/>
  <c r="C2522" i="2"/>
  <c r="B2527" i="2"/>
  <c r="C2527" i="2" s="1"/>
  <c r="B2536" i="2"/>
  <c r="C2536" i="2" s="1"/>
  <c r="C2540" i="2"/>
  <c r="B2545" i="2"/>
  <c r="C2545" i="2" s="1"/>
  <c r="B2549" i="2"/>
  <c r="C2549" i="2" s="1"/>
  <c r="B2559" i="2"/>
  <c r="B2568" i="2"/>
  <c r="C2568" i="2" s="1"/>
  <c r="C2572" i="2"/>
  <c r="B2577" i="2"/>
  <c r="C2577" i="2" s="1"/>
  <c r="C2584" i="2"/>
  <c r="B2253" i="2"/>
  <c r="C2253" i="2" s="1"/>
  <c r="B2269" i="2"/>
  <c r="C2269" i="2" s="1"/>
  <c r="B2285" i="2"/>
  <c r="C2285" i="2" s="1"/>
  <c r="B2301" i="2"/>
  <c r="C2301" i="2" s="1"/>
  <c r="C2413" i="2"/>
  <c r="B2420" i="2"/>
  <c r="B2427" i="2"/>
  <c r="C2427" i="2" s="1"/>
  <c r="C2431" i="2"/>
  <c r="C2442" i="2"/>
  <c r="C2446" i="2"/>
  <c r="C2450" i="2"/>
  <c r="C2458" i="2"/>
  <c r="C2462" i="2"/>
  <c r="C2466" i="2"/>
  <c r="C2470" i="2"/>
  <c r="C2474" i="2"/>
  <c r="C2482" i="2"/>
  <c r="B2518" i="2"/>
  <c r="C2518" i="2" s="1"/>
  <c r="C2550" i="2"/>
  <c r="B2550" i="2"/>
  <c r="C2559" i="2"/>
  <c r="B2583" i="2"/>
  <c r="B2581" i="2"/>
  <c r="C2581" i="2" s="1"/>
  <c r="B2584" i="2"/>
  <c r="B2582" i="2"/>
  <c r="B2585" i="2"/>
  <c r="C2585" i="2" s="1"/>
</calcChain>
</file>

<file path=xl/sharedStrings.xml><?xml version="1.0" encoding="utf-8"?>
<sst xmlns="http://schemas.openxmlformats.org/spreadsheetml/2006/main" count="11728" uniqueCount="466">
  <si>
    <t>구분</t>
    <phoneticPr fontId="2" type="noConversion"/>
  </si>
  <si>
    <t>전형
개수</t>
    <phoneticPr fontId="2" type="noConversion"/>
  </si>
  <si>
    <t>전형요약
구분인자</t>
    <phoneticPr fontId="2" type="noConversion"/>
  </si>
  <si>
    <t>수준</t>
    <phoneticPr fontId="5" type="noConversion"/>
  </si>
  <si>
    <t>일반/지역</t>
    <phoneticPr fontId="5" type="noConversion"/>
  </si>
  <si>
    <t>대학</t>
    <phoneticPr fontId="2" type="noConversion"/>
  </si>
  <si>
    <t>학년도</t>
    <phoneticPr fontId="2" type="noConversion"/>
  </si>
  <si>
    <t>전형
구분</t>
    <phoneticPr fontId="2" type="noConversion"/>
  </si>
  <si>
    <t>전형명</t>
    <phoneticPr fontId="2" type="noConversion"/>
  </si>
  <si>
    <t>계열</t>
    <phoneticPr fontId="2" type="noConversion"/>
  </si>
  <si>
    <t>모집
구분</t>
    <phoneticPr fontId="2" type="noConversion"/>
  </si>
  <si>
    <t>수능
최저</t>
    <phoneticPr fontId="2" type="noConversion"/>
  </si>
  <si>
    <t>수학</t>
    <phoneticPr fontId="2" type="noConversion"/>
  </si>
  <si>
    <t>탐구</t>
    <phoneticPr fontId="2" type="noConversion"/>
  </si>
  <si>
    <t>전년 대비
변경 사항</t>
    <phoneticPr fontId="2" type="noConversion"/>
  </si>
  <si>
    <t>비고</t>
    <phoneticPr fontId="2" type="noConversion"/>
  </si>
  <si>
    <t>SKY</t>
    <phoneticPr fontId="2" type="noConversion"/>
  </si>
  <si>
    <t>일반</t>
    <phoneticPr fontId="2" type="noConversion"/>
  </si>
  <si>
    <t>서울대</t>
  </si>
  <si>
    <t>종합</t>
  </si>
  <si>
    <t>지역균형</t>
  </si>
  <si>
    <t>인문</t>
  </si>
  <si>
    <t>-</t>
    <phoneticPr fontId="2" type="noConversion"/>
  </si>
  <si>
    <t>국수영탐 
3합7(2)</t>
    <phoneticPr fontId="2" type="noConversion"/>
  </si>
  <si>
    <t>자연</t>
  </si>
  <si>
    <t>유형2-1</t>
    <phoneticPr fontId="2" type="noConversion"/>
  </si>
  <si>
    <t>국수(미/기)영과 
3합7(2)
※ 과탐 물화Ⅰ/Ⅱ 중 1과목 필수</t>
    <phoneticPr fontId="2" type="noConversion"/>
  </si>
  <si>
    <t>미적/기하</t>
    <phoneticPr fontId="2" type="noConversion"/>
  </si>
  <si>
    <t>과탐</t>
    <phoneticPr fontId="2" type="noConversion"/>
  </si>
  <si>
    <t>&lt;자연과학대학&gt;
물리학전공, 화학부
&lt;공과대학&gt;
기계공학부, 전기·정보공학부, 에너지자원공학과, 항공우주공학과
&lt;농업생명과학대학&gt;
식물생산과학부, 식품·동물생명공학부, 조경·지역시스템공학부, 바이오시스템·소재학부
&lt;사범대학&gt;
물리교육과, 화학교육과, 생물교육과 
&lt;의과대학&gt;
의예과</t>
    <phoneticPr fontId="2" type="noConversion"/>
  </si>
  <si>
    <t>유형2-2</t>
    <phoneticPr fontId="2" type="noConversion"/>
  </si>
  <si>
    <t>국수(미/기)영과 
3합7(2)</t>
    <phoneticPr fontId="2" type="noConversion"/>
  </si>
  <si>
    <t>일반전형</t>
  </si>
  <si>
    <t>-</t>
  </si>
  <si>
    <t>국수영탐
3합7(2)</t>
    <phoneticPr fontId="2" type="noConversion"/>
  </si>
  <si>
    <t>국수(미/기)영과
3합7(2)
※ 과탐 물화Ⅰ/Ⅱ 중 1과목 필수</t>
    <phoneticPr fontId="2" type="noConversion"/>
  </si>
  <si>
    <t>국수(미/기)영과
3합7(2)</t>
    <phoneticPr fontId="2" type="noConversion"/>
  </si>
  <si>
    <t>연세대</t>
  </si>
  <si>
    <t>교과</t>
  </si>
  <si>
    <t>추천형</t>
  </si>
  <si>
    <t>국수영탐
국 or 수 포함 2합4(1),영3,한4</t>
    <phoneticPr fontId="2" type="noConversion"/>
  </si>
  <si>
    <t>국수(미/기)영과
수 포함 2합5(1),영3,한4</t>
    <phoneticPr fontId="2" type="noConversion"/>
  </si>
  <si>
    <t>의치한약수</t>
    <phoneticPr fontId="2" type="noConversion"/>
  </si>
  <si>
    <t>(의예·치의예·약학)
국수(미/기)영과
국 or 수 포함 1등급 2개(1),영3,한4</t>
    <phoneticPr fontId="2" type="noConversion"/>
  </si>
  <si>
    <t>통합</t>
  </si>
  <si>
    <t>인문 or 자연 최저 만족</t>
    <phoneticPr fontId="2" type="noConversion"/>
  </si>
  <si>
    <t>생활과학대학, 간호대학</t>
    <phoneticPr fontId="2" type="noConversion"/>
  </si>
  <si>
    <t>활동우수형</t>
  </si>
  <si>
    <t>국제형(국내고)</t>
  </si>
  <si>
    <t>국수영탐
국 or 수 포함 2합5(1),영2,한4</t>
    <phoneticPr fontId="2" type="noConversion"/>
  </si>
  <si>
    <t>논술</t>
  </si>
  <si>
    <t>고려대</t>
  </si>
  <si>
    <t>학교추천</t>
  </si>
  <si>
    <t>국수영탐 3합7(2),한4</t>
    <phoneticPr fontId="2" type="noConversion"/>
  </si>
  <si>
    <t>국수영과 3합7(2),한4
※과탐 동일 분야 Ⅰ+Ⅱ 금지</t>
    <phoneticPr fontId="2" type="noConversion"/>
  </si>
  <si>
    <t>과탐</t>
  </si>
  <si>
    <t>(의예)
국수영과 4합5(2),한4
※과탐 동일 분야 Ⅰ+Ⅱ 금지</t>
    <phoneticPr fontId="2" type="noConversion"/>
  </si>
  <si>
    <t>학업우수</t>
  </si>
  <si>
    <t>국수영탐 4합8(1),한4</t>
    <phoneticPr fontId="2" type="noConversion"/>
  </si>
  <si>
    <t>(반도체공학과·차세대통신학과·스마트모빌리티학부)
국수영과 4합7(1),한4
(그 외)
국수영과 4합8(1),한4
※과탐 동일 분야 Ⅰ+Ⅱ 금지</t>
    <phoneticPr fontId="2" type="noConversion"/>
  </si>
  <si>
    <t>계열적합</t>
  </si>
  <si>
    <t>사이버국방</t>
  </si>
  <si>
    <t>국수영과 4합7(1),한4
※과탐 동일 분야 Ⅰ+Ⅱ 금지</t>
    <phoneticPr fontId="2" type="noConversion"/>
  </si>
  <si>
    <t>(경영대학)
국수영탐 4합5(1),한4
(그 외)
국수영탐 4합8(1),한4</t>
    <phoneticPr fontId="2" type="noConversion"/>
  </si>
  <si>
    <t>국수영과 4합8(1),한4
※과탐 동일 분야 Ⅰ+Ⅱ 금지</t>
    <phoneticPr fontId="2" type="noConversion"/>
  </si>
  <si>
    <t>국수영탐 3합7(1),한4</t>
    <phoneticPr fontId="2" type="noConversion"/>
  </si>
  <si>
    <t>- 탐구 반영과목 수 축소(2--&gt;1)</t>
    <phoneticPr fontId="2" type="noConversion"/>
  </si>
  <si>
    <t>- 탐구 과목선택제한(과탐) 폐지
- 탐구 반영과목 수 축소(2--&gt;1)</t>
    <phoneticPr fontId="2" type="noConversion"/>
  </si>
  <si>
    <t>국수영탐 4합5(1),한4</t>
    <phoneticPr fontId="2" type="noConversion"/>
  </si>
  <si>
    <t>- 탐구 과목선택제한(과탐) 폐지
- 반도체/차세대/스마트모빌리티 수능최저 완화</t>
    <phoneticPr fontId="2" type="noConversion"/>
  </si>
  <si>
    <t>(의예)
국수영탐 4합5(1),한4</t>
    <phoneticPr fontId="2" type="noConversion"/>
  </si>
  <si>
    <t>- 탐구 과목선택제한(과탐) 폐지</t>
    <phoneticPr fontId="2" type="noConversion"/>
  </si>
  <si>
    <t>- 수능최저 폐지</t>
    <phoneticPr fontId="2" type="noConversion"/>
  </si>
  <si>
    <t>상위6</t>
    <phoneticPr fontId="2" type="noConversion"/>
  </si>
  <si>
    <t>서강대</t>
  </si>
  <si>
    <t>국수영탐 3개 3등급(1),한4</t>
    <phoneticPr fontId="2" type="noConversion"/>
  </si>
  <si>
    <t>일반</t>
  </si>
  <si>
    <t>일반1</t>
  </si>
  <si>
    <t>일반2</t>
  </si>
  <si>
    <t>성균관대</t>
  </si>
  <si>
    <t>학교장추천</t>
  </si>
  <si>
    <t>(자유전공,글로벌리더학,글로벌경제학,글로벌경영학)
국수영탐 3합6(각)
(그 외)
국수영탐 3합7(각)</t>
    <phoneticPr fontId="2" type="noConversion"/>
  </si>
  <si>
    <t>(소프트웨어학,반도체융합공학,에너지학)
국수영탐 3합6(각)
(그 외)
국수영탐 3합7(각)</t>
    <phoneticPr fontId="2" type="noConversion"/>
  </si>
  <si>
    <t>융합형</t>
  </si>
  <si>
    <t>탐구형</t>
  </si>
  <si>
    <t>과학인재</t>
  </si>
  <si>
    <t>논술우수</t>
  </si>
  <si>
    <t>(자유전공, 글로벌리더학, 글로벌경제학, 글로벌경영학)
국수영탐 3합5(각)
(그 외)
국수영탐 3합6(각)</t>
    <phoneticPr fontId="2" type="noConversion"/>
  </si>
  <si>
    <t>(반도체시스템공학, 소프트웨어학, 지능형소프트웨어학, 글로벌바이오메디컬공학, 반도체융합공학, 에너지학)
국수영탐 3합5(각)
(그 외)
국수영탐 3합6(각)</t>
    <phoneticPr fontId="2" type="noConversion"/>
  </si>
  <si>
    <t>(의예)
국수영탐 3합4(2)
(약학)
국수영탐 3합5(각)</t>
    <phoneticPr fontId="2" type="noConversion"/>
  </si>
  <si>
    <t>3합7(각)</t>
  </si>
  <si>
    <t>(소프트웨어학,반도체융합공학,글로벌바이오메디컬공학,에너지학,배터리학,바이오신약·규제과학)
국수영탐 3합6(각)
(그 외)
국수영탐 3합7(각)</t>
    <phoneticPr fontId="2" type="noConversion"/>
  </si>
  <si>
    <t>성균인재</t>
  </si>
  <si>
    <t>논술우수(언어형)</t>
  </si>
  <si>
    <t>인문</t>
    <phoneticPr fontId="2" type="noConversion"/>
  </si>
  <si>
    <t>자연</t>
    <phoneticPr fontId="2" type="noConversion"/>
  </si>
  <si>
    <t>(소프트웨어학)
국수영탐 수 포함 3합5(각)
(그 외)
국수영탐 수 포함 3합6(각)</t>
    <phoneticPr fontId="2" type="noConversion"/>
  </si>
  <si>
    <t>논술우수(수리형)</t>
  </si>
  <si>
    <t>(반도체시스템공학,소프트웨어학,글로벌바이오메디컬공학,지능형소프트웨어학,반도체융합공학,에너지학)
국수영탐 3합5(각)
(그 외)
국수영탐 3합6(각)</t>
    <phoneticPr fontId="2" type="noConversion"/>
  </si>
  <si>
    <t>추천인재</t>
  </si>
  <si>
    <t>3합7(2)</t>
  </si>
  <si>
    <t>(전자전기공학,소프트웨어학,반도체융합공학,글로벌바이오메디컬공학,에너지학,배터리학,바이오신약·규제과학)
국수영탐 3합6(각)
(그 외)
국수영탐 3합7(각)</t>
    <phoneticPr fontId="2" type="noConversion"/>
  </si>
  <si>
    <t>(의예)
국수영탐 3합4(2)</t>
    <phoneticPr fontId="2" type="noConversion"/>
  </si>
  <si>
    <t>융합인재</t>
  </si>
  <si>
    <t>국수영탐 3합6(2) or 국수영과 3합6(1)</t>
    <phoneticPr fontId="2" type="noConversion"/>
  </si>
  <si>
    <t>- 수능최저 신설</t>
    <phoneticPr fontId="2" type="noConversion"/>
  </si>
  <si>
    <t>탐구인재</t>
  </si>
  <si>
    <t>※ 탐구(2) vs 과탐(1) 상위 등급 반영
(자유전공, 글로벌리더학, 글로벌경제학, 글로벌경영학)
국수영탐 3합5(2) or 국수영과 3합5(1)
(그 외)
국수영탐 3합6(2) or 국수영과 3합6(1)</t>
    <phoneticPr fontId="2" type="noConversion"/>
  </si>
  <si>
    <t>- 탐구 반영방법 변경(탐구 2과목 or 과탐 1과목)</t>
    <phoneticPr fontId="2" type="noConversion"/>
  </si>
  <si>
    <t xml:space="preserve">(전자전기공학,소프트웨어학)
국수영탐 수 포함 3합5(2) or 국수영과 수 포함 3합5(1)
(그 외)
국수영탐 수 포함 3합6(2) or 국수영과 수 포함 3합6(1) </t>
    <phoneticPr fontId="2" type="noConversion"/>
  </si>
  <si>
    <t>(자유전공, 글로벌리더학, 글로벌경제학, 글로벌경영학)
국수영탐 3합5(2) or 국영수과 3합5(1)
(그 외)
국수영탐 3합6(2) or 국영수과 3합6(1)</t>
    <phoneticPr fontId="2" type="noConversion"/>
  </si>
  <si>
    <t>(전자전기공학,반도체시스템공학,소프트웨어학,글로벌바이오메디컬공학,지능형소프트웨어학,반도체융합공학,에너지학)
국수영탐 3합5(2) or 국영수과 3합5(1)
(그 외)
국수영탐 3합6(2) or국영수과 3합6(1)</t>
    <phoneticPr fontId="2" type="noConversion"/>
  </si>
  <si>
    <t>(의예)
국수영탐 3합4(2)
(약학)
국수영탐 3합5(2) or 국영수과 3합5(1)</t>
    <phoneticPr fontId="2" type="noConversion"/>
  </si>
  <si>
    <t>- 약학과 탐구 반영방법 변경(탐구 2과목 or 과탐 1과목)</t>
    <phoneticPr fontId="2" type="noConversion"/>
  </si>
  <si>
    <t>한양대</t>
  </si>
  <si>
    <t>힉생부교과(추천형)</t>
  </si>
  <si>
    <t>인문/상경</t>
  </si>
  <si>
    <t>국수영탐 3합7(1)</t>
    <phoneticPr fontId="2" type="noConversion"/>
  </si>
  <si>
    <t>학생부교과(추천형)</t>
  </si>
  <si>
    <t>학생부종합(추천형)</t>
  </si>
  <si>
    <t>(의예)
국수영탐 3합4(1)</t>
    <phoneticPr fontId="2" type="noConversion"/>
  </si>
  <si>
    <t>(한양인터칼리지)
국수영탐 3합7(1)</t>
    <phoneticPr fontId="2" type="noConversion"/>
  </si>
  <si>
    <t>학생부교과(추천)</t>
    <phoneticPr fontId="2" type="noConversion"/>
  </si>
  <si>
    <t>학생부종합(추천)</t>
    <phoneticPr fontId="2" type="noConversion"/>
  </si>
  <si>
    <t>- 탐구 반영과목수 확대(1--&gt;2)</t>
    <phoneticPr fontId="2" type="noConversion"/>
  </si>
  <si>
    <t>학생부종합(서류)</t>
    <phoneticPr fontId="2" type="noConversion"/>
  </si>
  <si>
    <t>인문/상경</t>
    <phoneticPr fontId="2" type="noConversion"/>
  </si>
  <si>
    <t>학생부종합(면접)</t>
    <phoneticPr fontId="2" type="noConversion"/>
  </si>
  <si>
    <t>힉생부교과(추천)</t>
    <phoneticPr fontId="2" type="noConversion"/>
  </si>
  <si>
    <t>상위15</t>
    <phoneticPr fontId="2" type="noConversion"/>
  </si>
  <si>
    <t>중앙대</t>
  </si>
  <si>
    <t>국수영탐 3합7(1),한4
※영어 2등급=1등급 적용</t>
    <phoneticPr fontId="2" type="noConversion"/>
  </si>
  <si>
    <t>(약학)
국수영탐 4합5(1),한4
※영어 2등급=1등급 적용</t>
    <phoneticPr fontId="2" type="noConversion"/>
  </si>
  <si>
    <t>CAU융합형인재</t>
  </si>
  <si>
    <t>CAU탐구형인재</t>
  </si>
  <si>
    <t>국수영탐 3합6(1),한4
※영어 2등급=1등급 적용</t>
    <phoneticPr fontId="2" type="noConversion"/>
  </si>
  <si>
    <t>국수영탐 3합6(1),한4
※영어 2등급=1등급 적용</t>
  </si>
  <si>
    <t>(의예)
국수영탐 4합5(2),한4
※영어 2등급=1등급 적용
(약학)
국수영탐 4합5(1),한4
※영어 2등급=1등급 적용</t>
    <phoneticPr fontId="2" type="noConversion"/>
  </si>
  <si>
    <t>국수영탐 3합7(1),한4
※영어 2등급=1등급 적용</t>
  </si>
  <si>
    <t>(약학)
국수영탐 4합5(1),한4
※영어 2등급=1등급 적용</t>
  </si>
  <si>
    <t>융합형인재</t>
    <phoneticPr fontId="2" type="noConversion"/>
  </si>
  <si>
    <t>- 전형명 변경</t>
    <phoneticPr fontId="2" type="noConversion"/>
  </si>
  <si>
    <t>탐구형인재</t>
    <phoneticPr fontId="2" type="noConversion"/>
  </si>
  <si>
    <t>성장형인재</t>
  </si>
  <si>
    <t>- 27학년도 신설전형</t>
    <phoneticPr fontId="2" type="noConversion"/>
  </si>
  <si>
    <t>논술(일반형)</t>
  </si>
  <si>
    <t>논술(창의형)</t>
  </si>
  <si>
    <t>(의예/약학)
-</t>
    <phoneticPr fontId="2" type="noConversion"/>
  </si>
  <si>
    <t>수도권
주요대</t>
    <phoneticPr fontId="2" type="noConversion"/>
  </si>
  <si>
    <t>중앙대(다빈치)</t>
  </si>
  <si>
    <t>국수영탐 2합6(1),한4
※영어 2등급=1등급 적용</t>
    <phoneticPr fontId="2" type="noConversion"/>
  </si>
  <si>
    <t>경희대</t>
  </si>
  <si>
    <t>국수영탐 2합5(2),한5</t>
    <phoneticPr fontId="2" type="noConversion"/>
  </si>
  <si>
    <t>(한의예)
국수영탐 3합4(2), 한5</t>
    <phoneticPr fontId="2" type="noConversion"/>
  </si>
  <si>
    <t>(의예/치의예/한의예/약학)
국수영탐 3합4(2),한5</t>
    <phoneticPr fontId="2" type="noConversion"/>
  </si>
  <si>
    <t>네오르네상스</t>
  </si>
  <si>
    <t>논술우수자</t>
  </si>
  <si>
    <t>(한의예)
국수영탐 3합4(2),한5</t>
    <phoneticPr fontId="2" type="noConversion"/>
  </si>
  <si>
    <t>한국외대</t>
  </si>
  <si>
    <t>국수영탐 2합4(1),한4</t>
    <phoneticPr fontId="2" type="noConversion"/>
  </si>
  <si>
    <t>면접형</t>
  </si>
  <si>
    <t>서류형</t>
  </si>
  <si>
    <t>(LD학부, LT학부)
국수영탐 2합3(1),한4
(그 외)
국수영탐 2합4(1),한4</t>
    <phoneticPr fontId="2" type="noConversion"/>
  </si>
  <si>
    <t>국수영탐 2합4(1)</t>
    <phoneticPr fontId="2" type="noConversion"/>
  </si>
  <si>
    <t>- 수능최저 한국사 제외</t>
    <phoneticPr fontId="2" type="noConversion"/>
  </si>
  <si>
    <t>- LD학부, LT학부 수능최저 완화
- 수능최저 한국사 제외</t>
    <phoneticPr fontId="2" type="noConversion"/>
  </si>
  <si>
    <t>한국외대(글로벌)</t>
    <phoneticPr fontId="2" type="noConversion"/>
  </si>
  <si>
    <t>국수영탐 1개 3등급(1),한4</t>
    <phoneticPr fontId="2" type="noConversion"/>
  </si>
  <si>
    <t>SW인재</t>
  </si>
  <si>
    <t>국수영탐 2합6(1)</t>
    <phoneticPr fontId="2" type="noConversion"/>
  </si>
  <si>
    <t>- 수능최저 강화</t>
    <phoneticPr fontId="2" type="noConversion"/>
  </si>
  <si>
    <t>서울시립대</t>
    <phoneticPr fontId="2" type="noConversion"/>
  </si>
  <si>
    <t>지역균형선발</t>
  </si>
  <si>
    <t>(환경원예학, 건축학부, 교통공학, 조경학, 자유전공)
국수영과 3합7(1)
(그 외)
국수(미/기)영과 3합7(1)</t>
    <phoneticPr fontId="2" type="noConversion"/>
  </si>
  <si>
    <t>미적/기하
(일부)</t>
    <phoneticPr fontId="2" type="noConversion"/>
  </si>
  <si>
    <t>종합Ⅰ(면접형)</t>
  </si>
  <si>
    <t>종합Ⅱ(서류형)</t>
  </si>
  <si>
    <t>(경영학부 제외)
국수영탐 2합5(1),한4</t>
    <phoneticPr fontId="2" type="noConversion"/>
  </si>
  <si>
    <t>국수영탐 2합5(1),한4</t>
    <phoneticPr fontId="2" type="noConversion"/>
  </si>
  <si>
    <t>국수영탐 3합8(1),한4</t>
    <phoneticPr fontId="2" type="noConversion"/>
  </si>
  <si>
    <t>- 수능최저 완화</t>
    <phoneticPr fontId="2" type="noConversion"/>
  </si>
  <si>
    <t>- 수능최저 완화 및 과목선택 제한 폐지</t>
    <phoneticPr fontId="2" type="noConversion"/>
  </si>
  <si>
    <t>이화여대</t>
  </si>
  <si>
    <t>고교추천</t>
  </si>
  <si>
    <t>미래인재</t>
  </si>
  <si>
    <t>(미래산업약학)
국수영탐 4합6(1)
(그 외)
국수영탐 3합6(1)</t>
    <phoneticPr fontId="2" type="noConversion"/>
  </si>
  <si>
    <t>국수영탐 수 포함 2합5(1)</t>
    <phoneticPr fontId="2" type="noConversion"/>
  </si>
  <si>
    <t>(의예)
국수영탐 4합5(1)
(약학)
국수영탐 4합6(1)</t>
    <phoneticPr fontId="2" type="noConversion"/>
  </si>
  <si>
    <t>통합</t>
    <phoneticPr fontId="2" type="noConversion"/>
  </si>
  <si>
    <t>(스크랜튼학부)
국수영탐 3합5(1)
(국제학부)
국수영탐 3합6(1)</t>
    <phoneticPr fontId="2" type="noConversion"/>
  </si>
  <si>
    <t>국수영탐 3합6(1)</t>
    <phoneticPr fontId="2" type="noConversion"/>
  </si>
  <si>
    <t>(약학)
국수영탐 4합6(1)</t>
    <phoneticPr fontId="2" type="noConversion"/>
  </si>
  <si>
    <t>(스크랜튼학부)
국수영탐 3합5(1)</t>
    <phoneticPr fontId="2" type="noConversion"/>
  </si>
  <si>
    <t>국수영탐 2합5(1)</t>
    <phoneticPr fontId="2" type="noConversion"/>
  </si>
  <si>
    <t>미래인재(서류)</t>
    <phoneticPr fontId="2" type="noConversion"/>
  </si>
  <si>
    <t>국수영탐 국 포함 2합5(1)</t>
    <phoneticPr fontId="2" type="noConversion"/>
  </si>
  <si>
    <t>(스크랜튼학부)
국수영탐 3합5(1)
(국제학부)
국수영탐 2합5(1),영2</t>
    <phoneticPr fontId="2" type="noConversion"/>
  </si>
  <si>
    <t>- 국제학부 수능최저 완화</t>
    <phoneticPr fontId="2" type="noConversion"/>
  </si>
  <si>
    <t>미래인재(면접)</t>
    <phoneticPr fontId="2" type="noConversion"/>
  </si>
  <si>
    <t>- 26학년도 신설전형</t>
    <phoneticPr fontId="2" type="noConversion"/>
  </si>
  <si>
    <t>공통</t>
  </si>
  <si>
    <t>건국대</t>
  </si>
  <si>
    <t>KU지역균형</t>
  </si>
  <si>
    <t>KU자기추천</t>
  </si>
  <si>
    <t>KU논술우수자</t>
  </si>
  <si>
    <t>국수영탐 2합5(1),한5</t>
    <phoneticPr fontId="2" type="noConversion"/>
  </si>
  <si>
    <t>(수의예)
국수영탐 3합4(1),한5</t>
    <phoneticPr fontId="2" type="noConversion"/>
  </si>
  <si>
    <t>(KU자유전공)
국수영탐 2합5(1),한5</t>
    <phoneticPr fontId="2" type="noConversion"/>
  </si>
  <si>
    <t>동국대</t>
  </si>
  <si>
    <t>학교장추천인재</t>
  </si>
  <si>
    <t>Do Dream</t>
  </si>
  <si>
    <t>(경찰행정학부)
국수영탐 2합4(1),한4
(컴퓨터·AI학부)
국수영탐 수 포함 2합5(1),한4
(그 외)
2합5(1),한4</t>
    <phoneticPr fontId="2" type="noConversion"/>
  </si>
  <si>
    <t>(경찰행정학부)
국수영탐 2합4(1),한4
(그 외)
국수영과 수or과 포함 2합5(1),한4</t>
    <phoneticPr fontId="2" type="noConversion"/>
  </si>
  <si>
    <t>(약학)
국수영과 수or과 포함 3합4(1),한4</t>
    <phoneticPr fontId="2" type="noConversion"/>
  </si>
  <si>
    <t>홍익대</t>
  </si>
  <si>
    <t>학교장추천자</t>
  </si>
  <si>
    <t>국수(미/기)영과 3합8(1),한4</t>
    <phoneticPr fontId="2" type="noConversion"/>
  </si>
  <si>
    <t>미적/기하</t>
  </si>
  <si>
    <t>학교생활우수자</t>
  </si>
  <si>
    <t>- 과목선택제한 폐지</t>
    <phoneticPr fontId="2" type="noConversion"/>
  </si>
  <si>
    <t>홍익대(세종)</t>
    <phoneticPr fontId="2" type="noConversion"/>
  </si>
  <si>
    <t>교과우수자</t>
  </si>
  <si>
    <t>국수영탐 2합9(1)</t>
    <phoneticPr fontId="2" type="noConversion"/>
  </si>
  <si>
    <t>국수(미/기)영과 1합4(1)</t>
    <phoneticPr fontId="2" type="noConversion"/>
  </si>
  <si>
    <t>국수영탐 1합4(1)</t>
    <phoneticPr fontId="2" type="noConversion"/>
  </si>
  <si>
    <t>-과목선택제한 폐지</t>
    <phoneticPr fontId="2" type="noConversion"/>
  </si>
  <si>
    <t>- 인문계열 논술 신규모집</t>
    <phoneticPr fontId="2" type="noConversion"/>
  </si>
  <si>
    <t>숙명여대</t>
  </si>
  <si>
    <t>(약학)
국수영탐 수 포함 3합5(1)</t>
    <phoneticPr fontId="2" type="noConversion"/>
  </si>
  <si>
    <t>숙명인재(면접형)</t>
  </si>
  <si>
    <t>소프트웨어인재</t>
  </si>
  <si>
    <t>(약학)
국수영탐 수 포함 3합4(1)</t>
    <phoneticPr fontId="2" type="noConversion"/>
  </si>
  <si>
    <t>(약학)
국영수탐 수 포함 3합4(1)</t>
    <phoneticPr fontId="2" type="noConversion"/>
  </si>
  <si>
    <t>국민대</t>
  </si>
  <si>
    <t>교과성적우수자</t>
  </si>
  <si>
    <t>국수영과 2합6(1)</t>
    <phoneticPr fontId="2" type="noConversion"/>
  </si>
  <si>
    <t>국민프런티어</t>
  </si>
  <si>
    <t>논술</t>
    <phoneticPr fontId="2" type="noConversion"/>
  </si>
  <si>
    <t>- 26학년도 신규전형</t>
    <phoneticPr fontId="2" type="noConversion"/>
  </si>
  <si>
    <t>국제인재</t>
    <phoneticPr fontId="2" type="noConversion"/>
  </si>
  <si>
    <t>알고리즘우수자</t>
    <phoneticPr fontId="2" type="noConversion"/>
  </si>
  <si>
    <t>숭실대</t>
  </si>
  <si>
    <t>학생부우수자</t>
  </si>
  <si>
    <t>국수(미/기)영과 2합5(1)</t>
    <phoneticPr fontId="2" type="noConversion"/>
  </si>
  <si>
    <t>SSU미래인재</t>
  </si>
  <si>
    <t>SW우수자</t>
  </si>
  <si>
    <t>- 선택과목제한 폐지</t>
    <phoneticPr fontId="2" type="noConversion"/>
  </si>
  <si>
    <t>국수(미/기)영과 2합6(1)</t>
    <phoneticPr fontId="2" type="noConversion"/>
  </si>
  <si>
    <t>- 전형명 변경
- 과목선택제한 폐지</t>
    <phoneticPr fontId="2" type="noConversion"/>
  </si>
  <si>
    <t>SSU미래인재(면접)</t>
    <phoneticPr fontId="2" type="noConversion"/>
  </si>
  <si>
    <t>SSU미래인재(서류)</t>
    <phoneticPr fontId="2" type="noConversion"/>
  </si>
  <si>
    <t>세종대</t>
  </si>
  <si>
    <t>(자유전공)
국수영탐 2합5(1)</t>
    <phoneticPr fontId="2" type="noConversion"/>
  </si>
  <si>
    <t>항공시스템공학</t>
  </si>
  <si>
    <t>국수영탐 3합10(1)</t>
    <phoneticPr fontId="2" type="noConversion"/>
  </si>
  <si>
    <t>세종창의인재(면접)</t>
    <phoneticPr fontId="2" type="noConversion"/>
  </si>
  <si>
    <t>세종창의인재(서류)</t>
    <phoneticPr fontId="2" type="noConversion"/>
  </si>
  <si>
    <t>사이버국방</t>
    <phoneticPr fontId="2" type="noConversion"/>
  </si>
  <si>
    <t>국방시스템공학</t>
  </si>
  <si>
    <t>세종창의인재(면접형)</t>
  </si>
  <si>
    <t>세종창의인재(서류형)</t>
  </si>
  <si>
    <t>세종인재(면접형)</t>
  </si>
  <si>
    <t>세종인재(서류형)</t>
  </si>
  <si>
    <t>- 자유전공 신규모집</t>
    <phoneticPr fontId="2" type="noConversion"/>
  </si>
  <si>
    <t>단국대(죽전)</t>
  </si>
  <si>
    <t>DKU인재(서류)</t>
    <phoneticPr fontId="2" type="noConversion"/>
  </si>
  <si>
    <t>DKU인재(면접)</t>
    <phoneticPr fontId="2" type="noConversion"/>
  </si>
  <si>
    <t>창업인재</t>
    <phoneticPr fontId="2" type="noConversion"/>
  </si>
  <si>
    <t>단국대(천안)</t>
  </si>
  <si>
    <t>학생부교과우수자</t>
  </si>
  <si>
    <t>(해병대군사학과)
국수영탐한 4개 평균 4대급대(~4.99)(1)
(공공정책학과(야))
국수영 1합4
(그 외)
국수영탐 2합8(1)</t>
    <phoneticPr fontId="2" type="noConversion"/>
  </si>
  <si>
    <t>- 해병대군사학과 수능최저 완화</t>
    <phoneticPr fontId="2" type="noConversion"/>
  </si>
  <si>
    <t>(간호)
국수영탐 2합5(1)
(그 외)
국수영탐 2합8(1)</t>
    <phoneticPr fontId="2" type="noConversion"/>
  </si>
  <si>
    <t>종합</t>
    <phoneticPr fontId="2" type="noConversion"/>
  </si>
  <si>
    <t>(의예/치의예)
국수(미/기)영과 수 포함 3합5(2)
(약학)
국수(미/기)영과 수 포함 3함6(2)</t>
    <phoneticPr fontId="2" type="noConversion"/>
  </si>
  <si>
    <t>(공공정책학과(야))
국수영 1합4
(그 외)
국수영탐 2합8(1)</t>
    <phoneticPr fontId="2" type="noConversion"/>
  </si>
  <si>
    <t>- 해병대군사학과 학종 모집 및 수능최저 폐지</t>
    <phoneticPr fontId="2" type="noConversion"/>
  </si>
  <si>
    <t>지역</t>
    <phoneticPr fontId="2" type="noConversion"/>
  </si>
  <si>
    <t>지역메디바이오인재</t>
    <phoneticPr fontId="2" type="noConversion"/>
  </si>
  <si>
    <t>(의예)
국수(미/기)영과 수 포함 3합4(2)
(치의예)
국수(미/기)영과 수 포함 3합5(2)
(약학)
국수(미/기)영과 수 포함 3합6(2)</t>
    <phoneticPr fontId="2" type="noConversion"/>
  </si>
  <si>
    <t>(의예)
국수(미/기)영과 수 포함 3합4(2)
(치의예)
국수(미/기)영과 수 포함 3합5(2)</t>
    <phoneticPr fontId="2" type="noConversion"/>
  </si>
  <si>
    <t>인하대</t>
  </si>
  <si>
    <t>(의예)
국수영탐 3개 1등급(2)</t>
    <phoneticPr fontId="2" type="noConversion"/>
  </si>
  <si>
    <t>인하미래인재</t>
  </si>
  <si>
    <t>(의예)
국수영과 3합4(2)</t>
    <phoneticPr fontId="2" type="noConversion"/>
  </si>
  <si>
    <t>- 수능최저 기준 변경</t>
    <phoneticPr fontId="2" type="noConversion"/>
  </si>
  <si>
    <t>인하미래인재(면접)</t>
    <phoneticPr fontId="2" type="noConversion"/>
  </si>
  <si>
    <t>인하미래인재(서류)</t>
    <phoneticPr fontId="2" type="noConversion"/>
  </si>
  <si>
    <t>(의예)
국수영과 3개 1등급(2)</t>
    <phoneticPr fontId="2" type="noConversion"/>
  </si>
  <si>
    <t>- 탐구과목 선택 제한</t>
    <phoneticPr fontId="2" type="noConversion"/>
  </si>
  <si>
    <t>교과</t>
    <phoneticPr fontId="2" type="noConversion"/>
  </si>
  <si>
    <t>아주대</t>
  </si>
  <si>
    <t>ACE</t>
  </si>
  <si>
    <t>(의예)
국수영탐 4합6(2)
(약학)
국수영탐 3합5(2)</t>
    <phoneticPr fontId="2" type="noConversion"/>
  </si>
  <si>
    <t>첨단융합</t>
  </si>
  <si>
    <t>(의예)
국수영탐 4합6(2)</t>
    <phoneticPr fontId="2" type="noConversion"/>
  </si>
  <si>
    <t>- 의예과 신규모집</t>
    <phoneticPr fontId="2" type="noConversion"/>
  </si>
  <si>
    <t>광운대</t>
  </si>
  <si>
    <t>광운참빛인재Ⅰ(면접)</t>
    <phoneticPr fontId="2" type="noConversion"/>
  </si>
  <si>
    <t>광운참빛인재Ⅱ(서류)</t>
    <phoneticPr fontId="2" type="noConversion"/>
  </si>
  <si>
    <t>소프트웨어우수인재</t>
  </si>
  <si>
    <t>명지대</t>
  </si>
  <si>
    <t>교과면접</t>
  </si>
  <si>
    <t>명지인재(면접)</t>
    <phoneticPr fontId="2" type="noConversion"/>
  </si>
  <si>
    <t>명지인재(서류)</t>
    <phoneticPr fontId="2" type="noConversion"/>
  </si>
  <si>
    <t>상명대(서울)</t>
  </si>
  <si>
    <t>국수영탐 2합7(1)
※ 국가안보학과 제외</t>
    <phoneticPr fontId="2" type="noConversion"/>
  </si>
  <si>
    <t>국수영탐 2합7(1)</t>
    <phoneticPr fontId="2" type="noConversion"/>
  </si>
  <si>
    <t>상명인재</t>
  </si>
  <si>
    <t>가톨릭대</t>
  </si>
  <si>
    <t>(간호)
국수영탐 3합7(1)
(그 외)
국수영탐 2합7(1)</t>
    <phoneticPr fontId="2" type="noConversion"/>
  </si>
  <si>
    <t>(의예)
국수(미/기)영과 4합5(2),한4
※과탐 동일분야 Ⅰ+Ⅱ 불가
(약학)
국수(미/기)영과 3합5(1)</t>
    <phoneticPr fontId="2" type="noConversion"/>
  </si>
  <si>
    <t>잠재능력우수자(서류)</t>
    <phoneticPr fontId="2" type="noConversion"/>
  </si>
  <si>
    <t>잠재능력우수자(면접)</t>
    <phoneticPr fontId="2" type="noConversion"/>
  </si>
  <si>
    <t>가톨릭지도자추천</t>
    <phoneticPr fontId="2" type="noConversion"/>
  </si>
  <si>
    <t>학교장추천</t>
    <phoneticPr fontId="2" type="noConversion"/>
  </si>
  <si>
    <t>(특수교육과)
-</t>
    <phoneticPr fontId="2" type="noConversion"/>
  </si>
  <si>
    <t>(간호)
-</t>
    <phoneticPr fontId="2" type="noConversion"/>
  </si>
  <si>
    <t>(의예)
국수(미/기)영과 3합4(2),한4
(약학)
국수(미/기)영과 3합5(1)</t>
    <phoneticPr fontId="2" type="noConversion"/>
  </si>
  <si>
    <t>(간호)
국수영탐 3합7(1)
(그 외)
-</t>
    <phoneticPr fontId="2" type="noConversion"/>
  </si>
  <si>
    <t>(의예)
국수영과 4합5(2),한4
※과탐 동일분야 Ⅰ+Ⅱ 불가
(약학)
국수영과 3합5(1)</t>
    <phoneticPr fontId="2" type="noConversion"/>
  </si>
  <si>
    <t>- 수학과목제한 폐지</t>
    <phoneticPr fontId="2" type="noConversion"/>
  </si>
  <si>
    <t>- 특수교육과 모집 폐지</t>
    <phoneticPr fontId="2" type="noConversion"/>
  </si>
  <si>
    <t>(의예)
국수영과 3합4(2),한4
(약학)
국수영과 3합5(1)</t>
    <phoneticPr fontId="2" type="noConversion"/>
  </si>
  <si>
    <t>- 수학선택제한 폐지</t>
    <phoneticPr fontId="2" type="noConversion"/>
  </si>
  <si>
    <t>(인문사회계열)
국수영탐 2합6(1)
(그 외)
국수영탐 2합7(1)</t>
    <phoneticPr fontId="2" type="noConversion"/>
  </si>
  <si>
    <t>(간호)
국수영탐 3합7(1)
(자연공학계열)
국수영탐 2합6(1)
(그 외)
국수영탐 2합7(1)</t>
    <phoneticPr fontId="2" type="noConversion"/>
  </si>
  <si>
    <t>(자유전공학부)
국수영탐 2합6(1)</t>
    <phoneticPr fontId="2" type="noConversion"/>
  </si>
  <si>
    <t>성신여대</t>
  </si>
  <si>
    <t>자기주도인재</t>
  </si>
  <si>
    <t>- 학교생활우수자 전형 폐지</t>
    <phoneticPr fontId="2" type="noConversion"/>
  </si>
  <si>
    <t>서울여대</t>
  </si>
  <si>
    <t>바롬인재(서류)</t>
    <phoneticPr fontId="2" type="noConversion"/>
  </si>
  <si>
    <t>바롬인재(면접)</t>
    <phoneticPr fontId="2" type="noConversion"/>
  </si>
  <si>
    <t>SW융합인재</t>
  </si>
  <si>
    <t>국수영 1합3</t>
    <phoneticPr fontId="2" type="noConversion"/>
  </si>
  <si>
    <t>동덕여대</t>
    <phoneticPr fontId="2" type="noConversion"/>
  </si>
  <si>
    <t>학생부교과우수자</t>
    <phoneticPr fontId="2" type="noConversion"/>
  </si>
  <si>
    <t>(약학)
국수(미/기)과 3합6(1)</t>
    <phoneticPr fontId="2" type="noConversion"/>
  </si>
  <si>
    <t>동덕창의리더</t>
    <phoneticPr fontId="2" type="noConversion"/>
  </si>
  <si>
    <t>논술우수자</t>
    <phoneticPr fontId="2" type="noConversion"/>
  </si>
  <si>
    <t>덕성여대</t>
  </si>
  <si>
    <t>학생부100%</t>
  </si>
  <si>
    <t>(약학)
국수(미/기)영과 3합6(1)</t>
    <phoneticPr fontId="2" type="noConversion"/>
  </si>
  <si>
    <t>덕성인재Ⅰ</t>
  </si>
  <si>
    <t>덕성인재Ⅱ</t>
  </si>
  <si>
    <t>(약학)
국수영과 수 포함 3합5(1)</t>
    <phoneticPr fontId="2" type="noConversion"/>
  </si>
  <si>
    <t>- 수능최저 기준 변경
- 수학선택제한 폐지</t>
    <phoneticPr fontId="2" type="noConversion"/>
  </si>
  <si>
    <t>(약학)
국수영탐 수 포함 3합5(1)
※영어&amp;사탐 동시 적용 불가</t>
    <phoneticPr fontId="2" type="noConversion"/>
  </si>
  <si>
    <t>- 탐구선택제한 폐지</t>
    <phoneticPr fontId="2" type="noConversion"/>
  </si>
  <si>
    <t>한양대(ERICA)</t>
    <phoneticPr fontId="2" type="noConversion"/>
  </si>
  <si>
    <t>국수영과 2합7(1)</t>
    <phoneticPr fontId="2" type="noConversion"/>
  </si>
  <si>
    <t>(약학)
국수영과 3합5(1)</t>
    <phoneticPr fontId="2" type="noConversion"/>
  </si>
  <si>
    <t>SW/ICT인재</t>
  </si>
  <si>
    <t>국방정보공학</t>
  </si>
  <si>
    <t>조기취업형계약학과</t>
  </si>
  <si>
    <t>(약학)
국수영탐 3합5(1)</t>
    <phoneticPr fontId="2" type="noConversion"/>
  </si>
  <si>
    <t>면접형</t>
    <phoneticPr fontId="2" type="noConversion"/>
  </si>
  <si>
    <t>국방전략기술공학</t>
    <phoneticPr fontId="2" type="noConversion"/>
  </si>
  <si>
    <t>조기취업형계약학과</t>
    <phoneticPr fontId="2" type="noConversion"/>
  </si>
  <si>
    <t>연세대(미래)</t>
    <phoneticPr fontId="2" type="noConversion"/>
  </si>
  <si>
    <t>통합/자연</t>
    <phoneticPr fontId="2" type="noConversion"/>
  </si>
  <si>
    <t>(간호)
국수영탐 2합5(1)
(그 외)
국수영탐 2합7(각)</t>
    <phoneticPr fontId="2" type="noConversion"/>
  </si>
  <si>
    <t>(의예)
국수(미/기)영과 4합5(각),영2,한4
※과탐 동일 과목 Ⅰ+Ⅱ 불가</t>
    <phoneticPr fontId="2" type="noConversion"/>
  </si>
  <si>
    <t>_</t>
  </si>
  <si>
    <t>강원인재(일반)</t>
  </si>
  <si>
    <t>(의예)
국수(미/기)영과 4합6(각),영2,한4
※과탐 동일 과목 Ⅰ+Ⅱ 불가</t>
    <phoneticPr fontId="2" type="noConversion"/>
  </si>
  <si>
    <t>글로벌인재-국내고</t>
    <phoneticPr fontId="2" type="noConversion"/>
  </si>
  <si>
    <t>논술우수자(미래인재)</t>
  </si>
  <si>
    <t>(자율융합계열)
국수영탐 2합7(1)
(간호)
국수영탐 2합5(1)</t>
    <phoneticPr fontId="2" type="noConversion"/>
  </si>
  <si>
    <t>논술우수자(창의인재)</t>
  </si>
  <si>
    <t>(간호)
국수영과 2합5(1)
(그 외)
국수영과 2합7(1)</t>
    <phoneticPr fontId="2" type="noConversion"/>
  </si>
  <si>
    <t>(의예)
국수(미/기)과 3개 1등급(각),영2,한4
※과탐 동일 과목 Ⅰ+Ⅱ 불가</t>
    <phoneticPr fontId="2" type="noConversion"/>
  </si>
  <si>
    <t>교과우수자(추천)</t>
    <phoneticPr fontId="2" type="noConversion"/>
  </si>
  <si>
    <t>교과우수자(일반)</t>
    <phoneticPr fontId="2" type="noConversion"/>
  </si>
  <si>
    <t>(간호)
국수영탐 2합5(1) or 국수 1합1
(그 외)
국수영탐 2합7(각) or 국수탐 1합2(각)</t>
    <phoneticPr fontId="2" type="noConversion"/>
  </si>
  <si>
    <t>(의예)
국수(미/기)영과 수 포함 3합5(2)
※과탐 동일 과목 Ⅰ+Ⅱ 불가</t>
    <phoneticPr fontId="2" type="noConversion"/>
  </si>
  <si>
    <t>(자율융합계열)
국수영탐 2합7(1) or 국수탐 1합2(1)
(간호)
국수영탐 2합5(1) or 국수 1합1(1)</t>
    <phoneticPr fontId="2" type="noConversion"/>
  </si>
  <si>
    <t>(간호)
국수영과 2합5(1) or 국수 1합1(1)
(그 외)
국수영과 2합7(1) or 국수과 1합2(1)</t>
    <phoneticPr fontId="2" type="noConversion"/>
  </si>
  <si>
    <t>(자율융합계열(인문))
국수영탐 2합7(각) or 국수탐 1합2(각)</t>
    <phoneticPr fontId="2" type="noConversion"/>
  </si>
  <si>
    <t>학교생활우수자(면접)</t>
    <phoneticPr fontId="2" type="noConversion"/>
  </si>
  <si>
    <t>학교생활우수자(서류)</t>
    <phoneticPr fontId="2" type="noConversion"/>
  </si>
  <si>
    <t>- 수능최저 폐지
- 의예/간호 미선발</t>
    <phoneticPr fontId="2" type="noConversion"/>
  </si>
  <si>
    <t>고려대(세종)</t>
    <phoneticPr fontId="2" type="noConversion"/>
  </si>
  <si>
    <t>(빅데이터사이언스)
국수영탐 2합6(1)
(그 외)
국수(미/기)영과 2합6(1)</t>
    <phoneticPr fontId="2" type="noConversion"/>
  </si>
  <si>
    <t>크림슨인재</t>
  </si>
  <si>
    <t>(약학)
국수(미/기)영과 3합5(2)</t>
    <phoneticPr fontId="2" type="noConversion"/>
  </si>
  <si>
    <t>지역인재</t>
  </si>
  <si>
    <t>(디지털헬스케어, 첨단융합신약, 빅데이터사이언스)
국수영탐 2합6(1)
(그 외)
국수(미/기)영과 2합6(1)</t>
    <phoneticPr fontId="2" type="noConversion"/>
  </si>
  <si>
    <t xml:space="preserve">- 디지털헬스케어, 첨단융합신약 수/탐 과목선택제한 폐지 </t>
    <phoneticPr fontId="2" type="noConversion"/>
  </si>
  <si>
    <t>지역인재</t>
    <phoneticPr fontId="2" type="noConversion"/>
  </si>
  <si>
    <t>- 수/탐 과목선택제한 폐지</t>
    <phoneticPr fontId="2" type="noConversion"/>
  </si>
  <si>
    <t>- 약학과 미선발</t>
    <phoneticPr fontId="2" type="noConversion"/>
  </si>
  <si>
    <t>인천대</t>
  </si>
  <si>
    <t>(동북아국제통상)
국수영탐 2합5(1)
(사범대)
국수영탐 2합6(1)
(그 외)
국수영탐 2합7(1)</t>
    <phoneticPr fontId="2" type="noConversion"/>
  </si>
  <si>
    <t>(사범대)
국수영과 수or과 포함 2합6(1)
(패션산업)
국수영탐 2합7(1)
(그 외)
국수영과 수or과 포함 2합7(1)</t>
    <phoneticPr fontId="2" type="noConversion"/>
  </si>
  <si>
    <t>자기추천</t>
  </si>
  <si>
    <t>(동북아국제통상)
국수영탐 2합6(1)
(그 외)
국수영탐 2합7(1)</t>
    <phoneticPr fontId="2" type="noConversion"/>
  </si>
  <si>
    <t>- 동북아국제통상, 사범대 수능최저 완화</t>
    <phoneticPr fontId="2" type="noConversion"/>
  </si>
  <si>
    <t>- 사범대 수능최저 완화
- 탐구선택제한 폐지</t>
    <phoneticPr fontId="2" type="noConversion"/>
  </si>
  <si>
    <t>가천대</t>
  </si>
  <si>
    <t>(바이오로직스)
국수영탐 2합5(1)
(클라우드)
국수(미/기)영과 2합4(2)
(그 외)
국수영탐 2합6(1)</t>
    <phoneticPr fontId="2" type="noConversion"/>
  </si>
  <si>
    <t>- 클라우드공학과 미/기, 과탐 필수</t>
    <phoneticPr fontId="2" type="noConversion"/>
  </si>
  <si>
    <t>(의예)
국수(미/기)영과 3합3(2)
(한의예)
국수(미/기)영과 2합2(2)
※과탐 적용시 2과목 모두 1등급
(약학)
국수(미/기)영과 3합5(2)</t>
    <phoneticPr fontId="2" type="noConversion"/>
  </si>
  <si>
    <t>가천의약학</t>
  </si>
  <si>
    <t>가천바람개비</t>
  </si>
  <si>
    <t>국수영탐 1합3(1)</t>
    <phoneticPr fontId="2" type="noConversion"/>
  </si>
  <si>
    <t>(바이오로직스)
국수영탐 2합5(1)
(클라우드)
국수(미/기)영과 2합4(2)
(그 외)
국수영탐 1합3(1)</t>
    <phoneticPr fontId="2" type="noConversion"/>
  </si>
  <si>
    <t>- 클라우드공학과 미/기,과탐 필수</t>
    <phoneticPr fontId="2" type="noConversion"/>
  </si>
  <si>
    <t>(의예)
국수(미/기)영과 3합3(2)</t>
    <phoneticPr fontId="2" type="noConversion"/>
  </si>
  <si>
    <t>(바이오로직스)
국수영과 2합5(1)
(클라우드)
국수(미/기)영과 2합4(2)
(그 외)
국수영탐 2합6(1)</t>
    <phoneticPr fontId="2" type="noConversion"/>
  </si>
  <si>
    <t>- 바이오로직스 탐구선택제한(과탐)</t>
    <phoneticPr fontId="2" type="noConversion"/>
  </si>
  <si>
    <t>- 클라우드공학과 미/기,과탐 필수
- 바이오로직스 과탐 필수</t>
    <phoneticPr fontId="2" type="noConversion"/>
  </si>
  <si>
    <t>(의예)
국수(미/기)영과 3합3(2)
(약학)
국수(미/기)영과 3합5(2)</t>
    <phoneticPr fontId="2" type="noConversion"/>
  </si>
  <si>
    <t>- 한의예과 미모집</t>
    <phoneticPr fontId="2" type="noConversion"/>
  </si>
  <si>
    <t>전 모집단위</t>
  </si>
  <si>
    <t>(바이오로직스)
국수영과 2합5(1)
(클라우드)
국수(미/기)영과 2합4(2)
(그 외)
국수영탐 1합3(1)</t>
    <phoneticPr fontId="2" type="noConversion"/>
  </si>
  <si>
    <t>- 한의예과, 약학과 모집 신설</t>
    <phoneticPr fontId="2" type="noConversion"/>
  </si>
  <si>
    <t>경기대</t>
  </si>
  <si>
    <t>국수영탐 2합7(1),한6</t>
    <phoneticPr fontId="2" type="noConversion"/>
  </si>
  <si>
    <t>KGU학생부종합</t>
  </si>
  <si>
    <t>교과성적우수자</t>
    <phoneticPr fontId="2" type="noConversion"/>
  </si>
  <si>
    <t>서울과기대</t>
    <phoneticPr fontId="2" type="noConversion"/>
  </si>
  <si>
    <t>창의융합인재</t>
  </si>
  <si>
    <t>한국항공대</t>
  </si>
  <si>
    <t>지거국</t>
    <phoneticPr fontId="2" type="noConversion"/>
  </si>
  <si>
    <t>강원대(춘천)</t>
    <phoneticPr fontId="2" type="noConversion"/>
  </si>
  <si>
    <t>(사범대)
국수영탐 3합10(1)
(그 외)
국수영탐 3합13(1)</t>
    <phoneticPr fontId="2" type="noConversion"/>
  </si>
  <si>
    <t>(간호)
국수영탐 3합10(1)
(수학교육과)
국수(미/기)영탐 수 포함 3합11(1)
(과학교육부)
국수영과 과 포함 3합11(1)
(가정교육과)
국수영탐 3합11(1)
(문화예술·공과대학/IT대학)
국수영과 수&amp;과 포함 3합14(1)
(의생명과학대학,자연과학대학,자유전공)
국수영과 과 포함 3합14(1)
(농업생명과학대학,동물생명과학대학,산림환경과학대학)
국수영탐 3합14(1)</t>
    <phoneticPr fontId="2" type="noConversion"/>
  </si>
  <si>
    <t>과탐
(일부)</t>
    <phoneticPr fontId="2" type="noConversion"/>
  </si>
  <si>
    <t>- 수학교육과 미/기 필수
- 과학교육부,문화예술·공과대학,IT대학,의생명과학대학,자연과학대학,자유전공학부 과탐 필수</t>
    <phoneticPr fontId="2" type="noConversion"/>
  </si>
  <si>
    <t>(의예)
국수영과 수&amp;과 포함 3합5(1)
(수의예/약학)
국수영과 수&amp;과 포함 3합7(1)</t>
    <phoneticPr fontId="2" type="noConversion"/>
  </si>
  <si>
    <t>(사범대)
국수영탐 3합11(1)
(그 외)
국수영탐 3합14(1)</t>
    <phoneticPr fontId="2" type="noConversion"/>
  </si>
  <si>
    <t>(간호)
국수영탐 3합11(1)
(수학교육과)
국수(미/기)영탐 수 포함 3합12(1)
(과학교육부)
국수영과 과 포함 3합12(1)
(가정교육과)
국수영탐 3합12(1)
(문화예술·공과대학/IT대학)
국수영과 수&amp;과 포함 3합15(1)
(의생명과학대학,자연과학대학,자유전공)
국수영과 과 포함 3합15(1)
(농업생명과학대학,동물생명과학대학,산림환경과학대학)
국수영탐 3합15(1)</t>
    <phoneticPr fontId="2" type="noConversion"/>
  </si>
  <si>
    <t>(의예)
국수영과 수&amp;과 포함 3합6(1)
(수의예/약학)
국수영과 수&amp;과 포함 3합8(1)</t>
    <phoneticPr fontId="2" type="noConversion"/>
  </si>
  <si>
    <t>미래인재Ⅰ</t>
    <phoneticPr fontId="2" type="noConversion"/>
  </si>
  <si>
    <t>(간호)
국수영탐 3합11(1)
(그 외)
-</t>
    <phoneticPr fontId="2" type="noConversion"/>
  </si>
  <si>
    <t>(수의예)
국수영과 수&amp;과 포함 3합8(1)</t>
    <phoneticPr fontId="2" type="noConversion"/>
  </si>
  <si>
    <t>미래인재Ⅱ</t>
    <phoneticPr fontId="2" type="noConversion"/>
  </si>
  <si>
    <t>(의예)
국수영과 수&amp;과 포함 3합7(1)</t>
    <phoneticPr fontId="2" type="noConversion"/>
  </si>
  <si>
    <t>일반교과</t>
    <phoneticPr fontId="2" type="noConversion"/>
  </si>
  <si>
    <t>(사범대)
국수영탐 3합10(1)
(자유전공)
국수영탐 3합14(1)
(그 외)
국수영탐 3합13(1)</t>
    <phoneticPr fontId="2" type="noConversion"/>
  </si>
  <si>
    <t>- 자유전공학부 수능최저 완화</t>
    <phoneticPr fontId="2" type="noConversion"/>
  </si>
  <si>
    <t>(간호)
국수영탐 3합10(1)
(수학교육과)
국수영과 수&amp;과 포함 3합11(1)
(과학교육부)
국수영과 과 포함 3합11(1)
(가정교육과)
국수영탐 3합11(1)
(문화예술·공과대학/IT대학)
국수영과 수&amp;과 포함 3합14(1)
(의생명과학대학,자연과학대학)
국수영과 과 포함 3합14(1)
(농업생명과학대학,동물생명과학대학,산림환경과학대학,자유전공)
국수영탐 3합14(1)</t>
    <phoneticPr fontId="2" type="noConversion"/>
  </si>
  <si>
    <t>- 수학교육과 수능최저 수학선택제한폐지, 과탐필수반영
- 자유전공학부 수능최저 완화</t>
    <phoneticPr fontId="2" type="noConversion"/>
  </si>
  <si>
    <t>- 수학교육과 과학교육부,문화예술·공과대학,IT대학,의생명과학대학,자연과학대학 과탐 필수</t>
    <phoneticPr fontId="2" type="noConversion"/>
  </si>
  <si>
    <t>지역교과</t>
    <phoneticPr fontId="2" type="noConversion"/>
  </si>
  <si>
    <t>(사범대)
국수영탐 3합11(1)
(자유전공)
국수영탐 3합15(1)
(그 외)
국수영탐 3합14(1)</t>
    <phoneticPr fontId="2" type="noConversion"/>
  </si>
  <si>
    <t>(간호)
국수영탐 3합11(1)
(수학교육과)
국수영과 수&amp;과 포함 3합12(1)
(과학교육부)
국수영과 과 포함 3합12(1)
(가정교육과)
국수영탐 3합12(1)
(문화예술·공과대학/IT대학)
국수영과 수&amp;과 포함 3합15(1)
(의생명과학대학,자연과학대학)
국수영과 과 포함 3합15(1)
(농업생명과학대학,동물생명과학대학,산림환경과학대학,자유전공)
국수영탐 3합15(1)</t>
    <phoneticPr fontId="2" type="noConversion"/>
  </si>
  <si>
    <t>영농창업인재</t>
    <phoneticPr fontId="2" type="noConversion"/>
  </si>
  <si>
    <t>경북대</t>
    <phoneticPr fontId="2" type="noConversion"/>
  </si>
  <si>
    <t>교과우수자</t>
    <phoneticPr fontId="2" type="noConversion"/>
  </si>
  <si>
    <t>(경상대학,사범대학,행정학부)
국수영탐 2합5(2)
(인문대학,사회과학대학,농업생명과학대학)
국수영탐 2합6(2)
(상주캠퍼스)
-</t>
    <phoneticPr fontId="2" type="noConversion"/>
  </si>
  <si>
    <t>(글로벌소프트웨어전공)
국수영탐 수 포함 2합5(1)
(IT대학)
국수(미/기)영과 수 포함 2합5(1)
(수학교육과)
국수(미/기)영과 2합5(1)
(사범대(수학교육과 제외))
국수영과 2합5(1)
(간호학과)
국수영탐 2합5(1)
(공과대학,첨단기술융합대학,공학첨단자율학부)
국수(미/기)영과 수 포함 2합6(1)
(자연과학대학(생명공학부,생물학과 제외))
국수(미/기)영과 2합6(1)
(생명공학부,생물학과,농업생명과학대학(산림과학·조경학부 제외),의류학과,식품영양학과)
국수영과 2합6(1)
(산림과학·조경학부,아동학부)
국수영탐 2합6(1)
(상주캠퍼스)
-</t>
    <phoneticPr fontId="2" type="noConversion"/>
  </si>
  <si>
    <t>(치의예)
국수(미/기)영과 과 포함 3합4(2)
(수의예/약학)
국수(미/기)영과 과 포함 3합5(2)</t>
    <phoneticPr fontId="2" type="noConversion"/>
  </si>
  <si>
    <t>(자율전공학부)
국수영탐 2합5(1)</t>
    <phoneticPr fontId="2" type="noConversion"/>
  </si>
  <si>
    <t>(의예/치의예)
국수(미/기)영과 과 포함 3합4(2)
(수의예)
국수(미/기)영과 과 포함 3합5(2)</t>
    <phoneticPr fontId="2" type="noConversion"/>
  </si>
  <si>
    <t>일반학생</t>
    <phoneticPr fontId="2" type="noConversion"/>
  </si>
  <si>
    <t>(경상대학,사범대학,행정학부)
국수영탐 2합6(2)
(인문대학,사회과학대학,농업생명과학대학)
국수영탐 2합7(2)
(상주캠퍼스)
-</t>
    <phoneticPr fontId="2" type="noConversion"/>
  </si>
  <si>
    <t>(글로벌소프트웨어전공)
국수영탐 수 포함 2합6(1)
(IT대학)
국수(미/기)영과 수 포함 2합6(1)
(수학교육과)
국수(미/기)영과 2합6(1)
(사범대(수학교육과 제외))
국수영과 2합6(1)
(간호학과)
국수영탐 2합6(1)
(공과대학,첨단기술융합대학,공학첨단자율학부)
국수(미/기)영과 수 포함 2합7(1)
(자연과학대학(생명공학부,생물학과 제외))
국수(미/기)영과 2합7(1)
(생명공학부,생물학과,농업생명과학대학(산림과학·조경학부 제외),의류학과,식품영양학과)
국수영과 2합7(1)
(산림과학·조경학부,아동학부)
국수영탐 2합7(1)
(상주캠퍼스)
-</t>
    <phoneticPr fontId="2" type="noConversion"/>
  </si>
  <si>
    <t>(자율전공학부)
국수영탐 2합6(1)</t>
    <phoneticPr fontId="2" type="noConversion"/>
  </si>
  <si>
    <t>(의예/치의예)
국수(미/기)영과 과 포함 3합4(2)
(약학)
국수(미/기)영과 과 포함 3합5(2)</t>
    <phoneticPr fontId="2" type="noConversion"/>
  </si>
  <si>
    <t>지역인재(학교장추천)</t>
    <phoneticPr fontId="2" type="noConversion"/>
  </si>
  <si>
    <t>SW특별</t>
    <phoneticPr fontId="2" type="noConversion"/>
  </si>
  <si>
    <t>논술(ATT)</t>
    <phoneticPr fontId="2" type="noConversion"/>
  </si>
  <si>
    <t>(글로벌소프트웨어전공)
국수영탐 수 포함 2합5(1)
(IT대학)
국수(미/기)영과 수 포함 2합5(1)
(수학교육과)
국수(미/기)영과 2합5(1)
(사범대(수학교육과 제외))
국수영과 2합5(1)
(간호학과)
국수영탐 2합5(1)
(공과대학,첨단기술융합대학,공학첨단자율학부)
국수(미/기)영과 수 포함 2합6(1)
(자연과학대학(생명공학부,생물학과 제외))
국수(미/기)영과 2합6(1)
(생명공학부,생물학과,농업생명과학대학(산림과학·조경학부 제외),의류학과,식품영양학과)
국수영과 2합6(1)
(산림과학·조경학부,아동학부)
국수영탐 2합6(1)
(모바일공학전공)
수과 2합3(2)
(상주캠퍼스)
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</si>
</sst>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8"/>
      <name val="맑은 고딕"/>
      <family val="2"/>
      <charset val="129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 indent="1"/>
    </xf>
    <xf numFmtId="0" fontId="7" fillId="0" borderId="12" xfId="0" quotePrefix="1" applyFont="1" applyBorder="1" applyAlignment="1">
      <alignment horizontal="left" vertical="center" wrapText="1" indent="1"/>
    </xf>
    <xf numFmtId="0" fontId="3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quotePrefix="1" applyFont="1" applyBorder="1" applyAlignment="1">
      <alignment horizontal="left" vertical="center" wrapText="1" indent="1"/>
    </xf>
    <xf numFmtId="0" fontId="7" fillId="0" borderId="15" xfId="0" quotePrefix="1" applyFont="1" applyBorder="1" applyAlignment="1">
      <alignment horizontal="left" vertical="center" wrapText="1"/>
    </xf>
    <xf numFmtId="0" fontId="7" fillId="0" borderId="15" xfId="0" quotePrefix="1" applyFont="1" applyBorder="1" applyAlignment="1">
      <alignment horizontal="left" vertical="center" inden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6" xfId="0" quotePrefix="1" applyFont="1" applyBorder="1" applyAlignment="1">
      <alignment horizontal="left" vertical="center" indent="1"/>
    </xf>
    <xf numFmtId="0" fontId="7" fillId="0" borderId="16" xfId="0" quotePrefix="1" applyFont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indent="1"/>
    </xf>
    <xf numFmtId="0" fontId="7" fillId="0" borderId="15" xfId="0" quotePrefix="1" applyFont="1" applyBorder="1" applyAlignment="1">
      <alignment horizontal="left" vertical="center"/>
    </xf>
    <xf numFmtId="0" fontId="7" fillId="0" borderId="0" xfId="0" applyFont="1" applyAlignment="1">
      <alignment horizontal="left" vertical="center" indent="1"/>
    </xf>
  </cellXfs>
  <cellStyles count="1">
    <cellStyle name="표준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109;&#47928;&#49457;/Dropbox/01-1%20&#45824;&#54617;&#51077;&#49884;&#51088;&#47308;/03%20&#44033;&#51333;&#49884;&#54744;&#44208;&#44284;&#51088;&#47308;/2020&#54617;&#45380;&#46020;/&#44368;&#50977;&#52397;&#47784;&#51032;&#44256;&#49324;/2019&#54617;&#45380;&#46020;%204&#50900;%20&#44256;3%20&#51204;&#44397;&#50672;&#54633;&#54617;&#47141;&#54217;&#44032;%20&#53685;&#44228;&#51088;&#47308;.xlsx" TargetMode="External"/><Relationship Id="rId1" Type="http://schemas.openxmlformats.org/officeDocument/2006/relationships/externalLinkPath" Target="/Users/&#51109;&#47928;&#49457;/Dropbox/01-1%20&#45824;&#54617;&#51077;&#49884;&#51088;&#47308;/03%20&#44033;&#51333;&#49884;&#54744;&#44208;&#44284;&#51088;&#47308;/2020&#54617;&#45380;&#46020;/&#44368;&#50977;&#52397;&#47784;&#51032;&#44256;&#49324;/2019&#54617;&#45380;&#46020;%204&#50900;%20&#44256;3%20&#51204;&#44397;&#50672;&#54633;&#54617;&#47141;&#54217;&#44032;%20&#53685;&#44228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&#51109;&#47928;&#49457;/Dropbox/01-2%20&#50672;&#46020;&#48324;%20&#45824;&#51077;&#51088;&#47308;/2020%20&#51077;&#49884;&#51088;&#47308;/03%20&#47784;&#51032;&#44256;&#49324;&#52292;&#51216;&#44208;&#44284;/&#44256;1%20&#44256;2%20&#47784;&#51032;&#44256;&#49324;%20&#44208;&#44284;/2019&#54617;&#45380;&#46020;%206&#50900;%20&#44256;2%20&#51204;&#44397;&#50672;&#54633;&#54617;&#47141;&#54217;&#44032;%20&#49457;&#51201;%20&#53685;&#44228;&#51088;&#4730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.%20Personal_folder\&#54140;&#49828;&#53944;&#53364;&#47000;&#49828;\2022%20&#51204;&#54805;\2021&#54617;&#45380;&#46020;%20&#49688;&#49884;&#47784;&#51665;&#50836;&#44053;%20&#44160;&#49353;&#44592;%20&#48143;%20&#51077;&#44208;(&#48176;&#54252;&#50857;)%20-%20&#53685;.&#53685;.&#53685;.%20&#48180;&#46300;%20(1).xlsb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&#51077;&#49884;&#51088;&#47308;/&#45824;&#54617;&#51077;&#49884;/&#45824;&#51077;&#51204;&#54805;&#51088;&#47308;/2027&#54617;&#45380;&#46020;%20&#45824;&#48708;%20&#45824;&#51077;&#51204;&#54805;&#51088;&#47308;_V2_260405.xlsx" TargetMode="External"/><Relationship Id="rId2" Type="http://schemas.openxmlformats.org/officeDocument/2006/relationships/externalLinkPath" Target="file:///C:\Users\orbik\Dropbox\&#51077;&#49884;&#51088;&#47308;\&#45824;&#54617;&#51077;&#49884;\&#45824;&#51077;&#51204;&#54805;&#51088;&#47308;\2027&#54617;&#45380;&#46020;%20&#45824;&#48708;%20&#45824;&#51077;&#51204;&#54805;&#51088;&#47308;_V2_260405.xlsx" TargetMode="External"/><Relationship Id="rId1" Type="http://schemas.openxmlformats.org/officeDocument/2006/relationships/externalLinkPath" Target="/Users/orbik/Dropbox/&#51077;&#49884;&#51088;&#47308;/&#45824;&#54617;&#51077;&#49884;/&#45824;&#51077;&#51204;&#54805;&#51088;&#47308;/2027&#54617;&#45380;&#46020;%20&#45824;&#48708;%20&#45824;&#51077;&#51204;&#54805;&#51088;&#47308;_V2_26040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%20&#48149;&#51333;&#54868;/2011&#54617;&#45380;&#46020;/2011&#54617;&#45380;&#46020;%20&#51077;&#49884;&#44208;&#44284;/2011_result(&#45236;&#44732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%20&#48149;&#51333;&#54868;/2011&#54617;&#45380;&#46020;/2011&#54617;&#45380;&#46020;%20&#51077;&#49884;&#44208;&#44284;/2010&#54617;&#45380;&#46020;%20&#49457;&#51201;(&#52264;&#49464;&#45824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default/Local%20Settings/Temporary%20Internet%20Files/Content.IE5/CLBUEMIY/2009&#54617;&#45380;&#46020;%20&#45824;&#51077;&#49457;&#51201;&#54788;&#54889;(090325)&#49345;&#4581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jbnu/Desktop/2018&#54617;&#45380;&#46020;/&#51032;&#44204;%20&#51312;&#54924;%2018/2018&#54617;&#45380;&#46020;%20&#49688;&#45733;&#52572;&#51200;&#54617;&#47141;&#44592;&#51456;%20&#44428;&#51109;(&#50504;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51077;&#49884;&#51088;&#47308;/&#45824;&#54617;&#51077;&#49884;/&#51077;&#44208;&#51088;&#47308;/2027%20&#49688;&#49884;&#44160;&#49353;&#44592;(&#44221;&#44592;&#45824;&#44620;&#51648;).xlsx" TargetMode="External"/><Relationship Id="rId1" Type="http://schemas.openxmlformats.org/officeDocument/2006/relationships/externalLinkPath" Target="/Users/orbik/Dropbox/&#51077;&#49884;&#51088;&#47308;/&#45824;&#54617;&#51077;&#49884;/&#51077;&#44208;&#51088;&#47308;/2027%20&#49688;&#49884;&#44160;&#49353;&#44592;(&#44221;&#44592;&#45824;&#44620;&#5164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응시자수"/>
      <sheetName val="영역별 원점수 평균편차"/>
      <sheetName val="탐구영역선택수"/>
      <sheetName val="시도별 응시현황"/>
      <sheetName val="영역별 등급 구분 점수"/>
      <sheetName val="누적도수분포(국수)"/>
      <sheetName val="누적도수분포(사탐)"/>
      <sheetName val="누적도수분포(과탐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응시자수"/>
      <sheetName val="영역별원점수평균및표준편차"/>
      <sheetName val="탐구영역선택수"/>
      <sheetName val="시도별응시현황"/>
      <sheetName val="영역별등급구분점수"/>
      <sheetName val="표준점수누적분포-국,수"/>
      <sheetName val="표준점수누적분포-사탐"/>
      <sheetName val="표준점수누적분포-과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1학년도 수시전형 및 입결검색기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표지"/>
      <sheetName val="수록대학"/>
      <sheetName val="Sheet1"/>
      <sheetName val="전형별인원표"/>
      <sheetName val="학과별인원표"/>
      <sheetName val="전형요약"/>
      <sheetName val="전형요약 (2)"/>
      <sheetName val="교과전형RAW"/>
      <sheetName val="종합전형RAW"/>
      <sheetName val="논술전형RAW"/>
      <sheetName val="수능최저RAW"/>
      <sheetName val="정시전형RAW"/>
      <sheetName val="수시입결검색기"/>
      <sheetName val="수시입결비교"/>
      <sheetName val="수시입결RAW"/>
      <sheetName val="정시입결RAW"/>
      <sheetName val="의약계열 점수통계"/>
      <sheetName val="상위15개대학 점수통계"/>
      <sheetName val="특이사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성적안내"/>
      <sheetName val="수시2차"/>
      <sheetName val="정시가군"/>
      <sheetName val="정시나군"/>
      <sheetName val="수시"/>
      <sheetName val="가군"/>
      <sheetName val="나군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B6" t="str">
            <v>간호학과</v>
          </cell>
          <cell r="C6">
            <v>28</v>
          </cell>
          <cell r="D6">
            <v>379</v>
          </cell>
          <cell r="E6">
            <v>13.535714285714286</v>
          </cell>
          <cell r="F6">
            <v>21</v>
          </cell>
          <cell r="G6">
            <v>794.25</v>
          </cell>
          <cell r="H6">
            <v>796.82</v>
          </cell>
          <cell r="I6">
            <v>1.39</v>
          </cell>
          <cell r="J6">
            <v>2.2400000000000002</v>
          </cell>
          <cell r="K6" t="str">
            <v>1.77</v>
          </cell>
          <cell r="L6" t="str">
            <v>0.31</v>
          </cell>
        </row>
        <row r="7">
          <cell r="B7" t="str">
            <v>건축공학과</v>
          </cell>
          <cell r="C7">
            <v>24</v>
          </cell>
          <cell r="D7">
            <v>161</v>
          </cell>
          <cell r="E7">
            <v>6.708333333333333</v>
          </cell>
          <cell r="F7">
            <v>15</v>
          </cell>
          <cell r="G7">
            <v>778.35</v>
          </cell>
          <cell r="H7">
            <v>789.09</v>
          </cell>
          <cell r="I7">
            <v>3.36</v>
          </cell>
          <cell r="J7">
            <v>4.24</v>
          </cell>
          <cell r="K7" t="str">
            <v>2.99</v>
          </cell>
          <cell r="L7" t="str">
            <v>0.47</v>
          </cell>
        </row>
        <row r="8">
          <cell r="B8" t="str">
            <v>화학공학부</v>
          </cell>
          <cell r="C8">
            <v>47</v>
          </cell>
          <cell r="D8">
            <v>205</v>
          </cell>
          <cell r="E8">
            <v>4.3617021276595747</v>
          </cell>
          <cell r="F8">
            <v>22</v>
          </cell>
          <cell r="G8">
            <v>787.29</v>
          </cell>
          <cell r="H8">
            <v>787.83</v>
          </cell>
          <cell r="I8">
            <v>2.52</v>
          </cell>
          <cell r="J8">
            <v>3.25</v>
          </cell>
          <cell r="K8" t="str">
            <v>3.19</v>
          </cell>
          <cell r="L8" t="str">
            <v>0.35</v>
          </cell>
        </row>
        <row r="9">
          <cell r="B9" t="str">
            <v>IT응용시스템공학과</v>
          </cell>
          <cell r="C9">
            <v>20</v>
          </cell>
          <cell r="D9">
            <v>121</v>
          </cell>
          <cell r="E9">
            <v>6.05</v>
          </cell>
          <cell r="F9">
            <v>18</v>
          </cell>
          <cell r="G9">
            <v>769.36</v>
          </cell>
          <cell r="H9">
            <v>783.53</v>
          </cell>
          <cell r="I9">
            <v>6.33</v>
          </cell>
          <cell r="J9">
            <v>5.125</v>
          </cell>
          <cell r="K9" t="str">
            <v>3.61</v>
          </cell>
          <cell r="L9" t="str">
            <v>0.84</v>
          </cell>
        </row>
        <row r="10">
          <cell r="B10" t="str">
            <v>도시공학과</v>
          </cell>
          <cell r="C10">
            <v>11</v>
          </cell>
          <cell r="D10">
            <v>47</v>
          </cell>
          <cell r="E10">
            <v>4.2727272727272725</v>
          </cell>
          <cell r="F10">
            <v>7</v>
          </cell>
          <cell r="G10">
            <v>778.1</v>
          </cell>
          <cell r="H10">
            <v>783.1</v>
          </cell>
          <cell r="I10">
            <v>3.33</v>
          </cell>
          <cell r="J10">
            <v>4.25</v>
          </cell>
          <cell r="K10" t="str">
            <v>3.76</v>
          </cell>
          <cell r="L10" t="str">
            <v>0.42</v>
          </cell>
        </row>
        <row r="11">
          <cell r="B11" t="str">
            <v>토목공학과</v>
          </cell>
          <cell r="C11">
            <v>22</v>
          </cell>
          <cell r="D11">
            <v>144</v>
          </cell>
          <cell r="E11">
            <v>6.5454545454545459</v>
          </cell>
          <cell r="F11">
            <v>12</v>
          </cell>
          <cell r="G11">
            <v>774.82</v>
          </cell>
          <cell r="H11">
            <v>782.57</v>
          </cell>
          <cell r="I11">
            <v>3.22</v>
          </cell>
          <cell r="J11">
            <v>4.58</v>
          </cell>
          <cell r="K11" t="str">
            <v>3.84</v>
          </cell>
          <cell r="L11" t="str">
            <v>0.34</v>
          </cell>
        </row>
        <row r="12">
          <cell r="B12" t="str">
            <v>고분자.나노공학과</v>
          </cell>
          <cell r="C12">
            <v>25</v>
          </cell>
          <cell r="D12">
            <v>189</v>
          </cell>
          <cell r="E12">
            <v>7.56</v>
          </cell>
          <cell r="F12">
            <v>16</v>
          </cell>
          <cell r="G12">
            <v>775.46</v>
          </cell>
          <cell r="H12">
            <v>782.39</v>
          </cell>
          <cell r="I12">
            <v>4.04</v>
          </cell>
          <cell r="J12">
            <v>4.49</v>
          </cell>
          <cell r="K12" t="str">
            <v>3.79</v>
          </cell>
          <cell r="L12" t="str">
            <v>0.48</v>
          </cell>
        </row>
        <row r="13">
          <cell r="B13" t="str">
            <v>환경공학과</v>
          </cell>
          <cell r="C13">
            <v>15</v>
          </cell>
          <cell r="D13">
            <v>86</v>
          </cell>
          <cell r="E13">
            <v>5.7333333333333334</v>
          </cell>
          <cell r="F13">
            <v>11</v>
          </cell>
          <cell r="G13">
            <v>772.56</v>
          </cell>
          <cell r="H13">
            <v>781.7</v>
          </cell>
          <cell r="I13">
            <v>6.44</v>
          </cell>
          <cell r="J13">
            <v>4.7699999999999996</v>
          </cell>
          <cell r="K13" t="str">
            <v>3.87</v>
          </cell>
          <cell r="L13" t="str">
            <v>0.77</v>
          </cell>
        </row>
        <row r="14">
          <cell r="B14" t="str">
            <v>기계공학과</v>
          </cell>
          <cell r="C14">
            <v>38</v>
          </cell>
          <cell r="D14">
            <v>142</v>
          </cell>
          <cell r="E14">
            <v>3.736842105263158</v>
          </cell>
          <cell r="F14">
            <v>28</v>
          </cell>
          <cell r="G14">
            <v>779.39</v>
          </cell>
          <cell r="H14">
            <v>780.25</v>
          </cell>
          <cell r="I14">
            <v>3.92</v>
          </cell>
          <cell r="J14">
            <v>4.12</v>
          </cell>
          <cell r="K14" t="str">
            <v>4.05</v>
          </cell>
          <cell r="L14" t="str">
            <v>0.41</v>
          </cell>
        </row>
        <row r="15">
          <cell r="B15" t="str">
            <v>산업정보시스템공학과</v>
          </cell>
          <cell r="C15">
            <v>22</v>
          </cell>
          <cell r="D15">
            <v>107</v>
          </cell>
          <cell r="E15">
            <v>4.8636363636363633</v>
          </cell>
          <cell r="F15">
            <v>18</v>
          </cell>
          <cell r="G15">
            <v>785.11</v>
          </cell>
          <cell r="H15">
            <v>780.13</v>
          </cell>
          <cell r="I15">
            <v>4.13</v>
          </cell>
          <cell r="J15">
            <v>3.54</v>
          </cell>
          <cell r="K15" t="str">
            <v>3.99</v>
          </cell>
          <cell r="L15" t="str">
            <v>0.49</v>
          </cell>
        </row>
        <row r="16">
          <cell r="B16" t="str">
            <v>전기공학과</v>
          </cell>
          <cell r="C16">
            <v>20</v>
          </cell>
          <cell r="D16">
            <v>96</v>
          </cell>
          <cell r="E16">
            <v>4.8</v>
          </cell>
          <cell r="F16">
            <v>13</v>
          </cell>
          <cell r="G16">
            <v>772.21</v>
          </cell>
          <cell r="H16">
            <v>777.7</v>
          </cell>
          <cell r="I16">
            <v>1.76</v>
          </cell>
          <cell r="J16">
            <v>4.88</v>
          </cell>
          <cell r="K16" t="str">
            <v>4.33</v>
          </cell>
          <cell r="L16" t="str">
            <v>0.18</v>
          </cell>
        </row>
        <row r="17">
          <cell r="B17" t="str">
            <v>기계시스템공학부</v>
          </cell>
          <cell r="C17">
            <v>40</v>
          </cell>
          <cell r="D17">
            <v>137</v>
          </cell>
          <cell r="E17">
            <v>3.4249999999999998</v>
          </cell>
          <cell r="F17">
            <v>33</v>
          </cell>
          <cell r="G17">
            <v>777.31</v>
          </cell>
          <cell r="H17">
            <v>777.43</v>
          </cell>
          <cell r="I17">
            <v>6.03</v>
          </cell>
          <cell r="J17">
            <v>4.33</v>
          </cell>
          <cell r="K17" t="str">
            <v>4.31</v>
          </cell>
          <cell r="L17" t="str">
            <v>0.67</v>
          </cell>
        </row>
        <row r="18">
          <cell r="B18" t="str">
            <v>자원.에너지공학과</v>
          </cell>
          <cell r="C18">
            <v>15</v>
          </cell>
          <cell r="D18">
            <v>74</v>
          </cell>
          <cell r="E18">
            <v>4.9333333333333336</v>
          </cell>
          <cell r="F18">
            <v>12</v>
          </cell>
          <cell r="G18">
            <v>770.97</v>
          </cell>
          <cell r="H18">
            <v>776.53</v>
          </cell>
          <cell r="I18">
            <v>5.42</v>
          </cell>
          <cell r="J18">
            <v>4.97</v>
          </cell>
          <cell r="K18" t="str">
            <v>4.41</v>
          </cell>
          <cell r="L18" t="str">
            <v>0.58</v>
          </cell>
        </row>
        <row r="19">
          <cell r="B19" t="str">
            <v>항공우주공학과</v>
          </cell>
          <cell r="C19">
            <v>19</v>
          </cell>
          <cell r="D19">
            <v>77</v>
          </cell>
          <cell r="E19">
            <v>4.0526315789473681</v>
          </cell>
          <cell r="F19">
            <v>6</v>
          </cell>
          <cell r="G19">
            <v>771.11</v>
          </cell>
          <cell r="H19">
            <v>775.28</v>
          </cell>
          <cell r="I19">
            <v>5.89</v>
          </cell>
          <cell r="J19">
            <v>4.93</v>
          </cell>
          <cell r="K19" t="str">
            <v>4.55</v>
          </cell>
          <cell r="L19" t="str">
            <v>0.56</v>
          </cell>
        </row>
        <row r="20">
          <cell r="B20" t="str">
            <v>신소재공학부(전자재료공학)</v>
          </cell>
          <cell r="C20">
            <v>24</v>
          </cell>
          <cell r="D20">
            <v>54</v>
          </cell>
          <cell r="E20">
            <v>2.25</v>
          </cell>
          <cell r="F20">
            <v>11</v>
          </cell>
          <cell r="G20">
            <v>776.69</v>
          </cell>
          <cell r="H20">
            <v>775.24</v>
          </cell>
          <cell r="I20">
            <v>7.92</v>
          </cell>
          <cell r="J20">
            <v>4.41</v>
          </cell>
          <cell r="K20" t="str">
            <v>4.53</v>
          </cell>
          <cell r="L20" t="str">
            <v>0.78</v>
          </cell>
        </row>
        <row r="21">
          <cell r="B21" t="str">
            <v>바이오메디컬공학부</v>
          </cell>
          <cell r="C21">
            <v>20</v>
          </cell>
          <cell r="D21">
            <v>64</v>
          </cell>
          <cell r="E21">
            <v>3.2</v>
          </cell>
          <cell r="F21">
            <v>17</v>
          </cell>
          <cell r="G21">
            <v>775.22</v>
          </cell>
          <cell r="H21">
            <v>775.06</v>
          </cell>
          <cell r="I21">
            <v>5.44</v>
          </cell>
          <cell r="J21">
            <v>4.54</v>
          </cell>
          <cell r="K21" t="str">
            <v>4.56</v>
          </cell>
          <cell r="L21" t="str">
            <v>0.56</v>
          </cell>
        </row>
        <row r="22">
          <cell r="B22" t="str">
            <v>사회기반공학과</v>
          </cell>
          <cell r="C22">
            <v>12</v>
          </cell>
          <cell r="D22">
            <v>63</v>
          </cell>
          <cell r="E22">
            <v>5.25</v>
          </cell>
          <cell r="F22">
            <v>10</v>
          </cell>
          <cell r="G22">
            <v>766.37</v>
          </cell>
          <cell r="H22">
            <v>773.25</v>
          </cell>
          <cell r="I22">
            <v>5.45</v>
          </cell>
          <cell r="J22">
            <v>5.43</v>
          </cell>
          <cell r="K22" t="str">
            <v>4.76</v>
          </cell>
          <cell r="L22" t="str">
            <v>0.54</v>
          </cell>
        </row>
        <row r="23">
          <cell r="B23" t="str">
            <v>IT정보공학부(소프트웨어공학)</v>
          </cell>
          <cell r="C23">
            <v>13</v>
          </cell>
          <cell r="D23">
            <v>25</v>
          </cell>
          <cell r="E23">
            <v>1.9230769230769231</v>
          </cell>
          <cell r="F23">
            <v>4</v>
          </cell>
          <cell r="G23">
            <v>773.55</v>
          </cell>
          <cell r="H23">
            <v>773.12</v>
          </cell>
          <cell r="I23">
            <v>8.7200000000000006</v>
          </cell>
          <cell r="J23">
            <v>4.7</v>
          </cell>
          <cell r="K23" t="str">
            <v>4.77</v>
          </cell>
          <cell r="L23" t="str">
            <v>0.87</v>
          </cell>
        </row>
        <row r="24">
          <cell r="B24" t="str">
            <v>전자공학부</v>
          </cell>
          <cell r="C24">
            <v>69</v>
          </cell>
          <cell r="D24">
            <v>217</v>
          </cell>
          <cell r="E24">
            <v>3.1449275362318843</v>
          </cell>
          <cell r="F24">
            <v>60</v>
          </cell>
          <cell r="G24">
            <v>774.65</v>
          </cell>
          <cell r="H24">
            <v>772.83</v>
          </cell>
          <cell r="I24">
            <v>6.99</v>
          </cell>
          <cell r="J24">
            <v>4.59</v>
          </cell>
          <cell r="K24" t="str">
            <v>4.79</v>
          </cell>
          <cell r="L24" t="str">
            <v>0.7</v>
          </cell>
        </row>
        <row r="25">
          <cell r="B25" t="str">
            <v>신소재공학부(정보소재공학)</v>
          </cell>
          <cell r="C25">
            <v>24</v>
          </cell>
          <cell r="D25">
            <v>65</v>
          </cell>
          <cell r="E25">
            <v>2.7083333333333335</v>
          </cell>
          <cell r="F25">
            <v>9</v>
          </cell>
          <cell r="G25">
            <v>770.78</v>
          </cell>
          <cell r="H25">
            <v>772.25</v>
          </cell>
          <cell r="I25">
            <v>7.29</v>
          </cell>
          <cell r="J25">
            <v>4.9800000000000004</v>
          </cell>
          <cell r="K25" t="str">
            <v>4.84</v>
          </cell>
          <cell r="L25" t="str">
            <v>0.71</v>
          </cell>
        </row>
        <row r="26">
          <cell r="B26" t="str">
            <v>컴퓨터공학부</v>
          </cell>
          <cell r="C26">
            <v>36</v>
          </cell>
          <cell r="D26">
            <v>90</v>
          </cell>
          <cell r="E26">
            <v>2.5</v>
          </cell>
          <cell r="F26">
            <v>14</v>
          </cell>
          <cell r="G26">
            <v>771.24</v>
          </cell>
          <cell r="H26">
            <v>771.26</v>
          </cell>
          <cell r="I26">
            <v>6.8</v>
          </cell>
          <cell r="J26">
            <v>4.96</v>
          </cell>
          <cell r="K26" t="str">
            <v>4.95</v>
          </cell>
          <cell r="L26" t="str">
            <v>0.69</v>
          </cell>
        </row>
        <row r="27">
          <cell r="B27" t="str">
            <v>신소재공학부(금속시스템공학)</v>
          </cell>
          <cell r="C27">
            <v>20</v>
          </cell>
          <cell r="D27">
            <v>49</v>
          </cell>
          <cell r="E27">
            <v>2.4500000000000002</v>
          </cell>
          <cell r="F27">
            <v>10</v>
          </cell>
          <cell r="G27">
            <v>774.42</v>
          </cell>
          <cell r="H27">
            <v>770.06</v>
          </cell>
          <cell r="I27">
            <v>6.5</v>
          </cell>
          <cell r="J27">
            <v>4.6100000000000003</v>
          </cell>
          <cell r="K27" t="str">
            <v>5.06</v>
          </cell>
          <cell r="L27" t="str">
            <v>0.62</v>
          </cell>
        </row>
        <row r="28">
          <cell r="B28" t="str">
            <v>기계설계공학부(기계설계공학)</v>
          </cell>
          <cell r="C28">
            <v>39</v>
          </cell>
          <cell r="D28">
            <v>86</v>
          </cell>
          <cell r="E28">
            <v>2.2051282051282053</v>
          </cell>
          <cell r="F28">
            <v>12</v>
          </cell>
          <cell r="G28">
            <v>770.99</v>
          </cell>
          <cell r="H28">
            <v>769</v>
          </cell>
          <cell r="I28">
            <v>9.36</v>
          </cell>
          <cell r="J28">
            <v>4.96</v>
          </cell>
          <cell r="K28" t="str">
            <v>5.2</v>
          </cell>
          <cell r="L28" t="str">
            <v>0.97</v>
          </cell>
        </row>
        <row r="29">
          <cell r="B29" t="str">
            <v>IT정보공학부(컴퓨터시스템공학)</v>
          </cell>
          <cell r="C29">
            <v>17</v>
          </cell>
          <cell r="D29">
            <v>45</v>
          </cell>
          <cell r="E29">
            <v>2.6470588235294117</v>
          </cell>
          <cell r="F29">
            <v>5</v>
          </cell>
          <cell r="H29">
            <v>767.63</v>
          </cell>
          <cell r="I29">
            <v>5.44</v>
          </cell>
          <cell r="K29" t="str">
            <v>5.31</v>
          </cell>
          <cell r="L29" t="str">
            <v>0.51</v>
          </cell>
        </row>
        <row r="30">
          <cell r="B30" t="str">
            <v>유기소재파이버공학과</v>
          </cell>
          <cell r="C30">
            <v>20</v>
          </cell>
          <cell r="D30">
            <v>88</v>
          </cell>
          <cell r="E30">
            <v>4.4000000000000004</v>
          </cell>
          <cell r="F30">
            <v>17</v>
          </cell>
          <cell r="G30">
            <v>767.35</v>
          </cell>
          <cell r="H30">
            <v>767.35</v>
          </cell>
          <cell r="I30">
            <v>5.65</v>
          </cell>
          <cell r="J30">
            <v>5.33</v>
          </cell>
          <cell r="K30" t="str">
            <v>5.33</v>
          </cell>
          <cell r="L30" t="str">
            <v>0.57</v>
          </cell>
        </row>
        <row r="31">
          <cell r="B31" t="str">
            <v>조경학과</v>
          </cell>
          <cell r="C31">
            <v>8</v>
          </cell>
          <cell r="D31">
            <v>121</v>
          </cell>
          <cell r="E31">
            <v>15.125</v>
          </cell>
          <cell r="F31">
            <v>5</v>
          </cell>
          <cell r="G31">
            <v>784.75</v>
          </cell>
          <cell r="H31">
            <v>790.16</v>
          </cell>
          <cell r="I31">
            <v>2.1</v>
          </cell>
          <cell r="J31">
            <v>3.51</v>
          </cell>
          <cell r="K31" t="str">
            <v>2.84</v>
          </cell>
          <cell r="L31" t="str">
            <v>0.32</v>
          </cell>
        </row>
        <row r="32">
          <cell r="B32" t="str">
            <v>식품공학과</v>
          </cell>
          <cell r="C32">
            <v>13</v>
          </cell>
          <cell r="D32">
            <v>148</v>
          </cell>
          <cell r="E32">
            <v>11.384615384615385</v>
          </cell>
          <cell r="F32">
            <v>7</v>
          </cell>
          <cell r="G32">
            <v>778.95</v>
          </cell>
          <cell r="H32">
            <v>788.83</v>
          </cell>
          <cell r="I32">
            <v>3</v>
          </cell>
          <cell r="J32">
            <v>4.1500000000000004</v>
          </cell>
          <cell r="K32" t="str">
            <v>3.07</v>
          </cell>
          <cell r="L32" t="str">
            <v>0.42</v>
          </cell>
        </row>
        <row r="33">
          <cell r="B33" t="str">
            <v>산림환경과학과</v>
          </cell>
          <cell r="C33">
            <v>11</v>
          </cell>
          <cell r="D33">
            <v>81</v>
          </cell>
          <cell r="E33">
            <v>7.3636363636363633</v>
          </cell>
          <cell r="F33">
            <v>3</v>
          </cell>
          <cell r="G33">
            <v>784.62</v>
          </cell>
          <cell r="H33">
            <v>785.71</v>
          </cell>
          <cell r="I33">
            <v>2.23</v>
          </cell>
          <cell r="J33">
            <v>3.54</v>
          </cell>
          <cell r="K33" t="str">
            <v>3.42</v>
          </cell>
          <cell r="L33" t="str">
            <v>0.33</v>
          </cell>
        </row>
        <row r="34">
          <cell r="B34" t="str">
            <v>농생물학과</v>
          </cell>
          <cell r="C34">
            <v>10</v>
          </cell>
          <cell r="D34">
            <v>39</v>
          </cell>
          <cell r="E34">
            <v>3.9</v>
          </cell>
          <cell r="F34">
            <v>9</v>
          </cell>
          <cell r="G34">
            <v>781.55</v>
          </cell>
          <cell r="H34">
            <v>785.22</v>
          </cell>
          <cell r="I34">
            <v>5.63</v>
          </cell>
          <cell r="J34">
            <v>3.87</v>
          </cell>
          <cell r="K34" t="str">
            <v>3.44</v>
          </cell>
          <cell r="L34" t="str">
            <v>0.67</v>
          </cell>
        </row>
        <row r="35">
          <cell r="B35" t="str">
            <v>농업경제학과</v>
          </cell>
          <cell r="C35">
            <v>10</v>
          </cell>
          <cell r="D35">
            <v>114</v>
          </cell>
          <cell r="E35">
            <v>11.4</v>
          </cell>
          <cell r="F35">
            <v>8</v>
          </cell>
          <cell r="G35">
            <v>776.53</v>
          </cell>
          <cell r="H35">
            <v>782.2</v>
          </cell>
          <cell r="I35">
            <v>4.2300000000000004</v>
          </cell>
          <cell r="J35">
            <v>4.3899999999999997</v>
          </cell>
          <cell r="K35" t="str">
            <v>3.83</v>
          </cell>
          <cell r="L35" t="str">
            <v>0.5</v>
          </cell>
        </row>
        <row r="36">
          <cell r="B36" t="str">
            <v>원예학과</v>
          </cell>
          <cell r="C36">
            <v>12</v>
          </cell>
          <cell r="D36">
            <v>136</v>
          </cell>
          <cell r="E36">
            <v>11.333333333333334</v>
          </cell>
          <cell r="F36">
            <v>10</v>
          </cell>
          <cell r="G36">
            <v>767.41</v>
          </cell>
          <cell r="H36">
            <v>778.89</v>
          </cell>
          <cell r="I36">
            <v>4.17</v>
          </cell>
          <cell r="J36">
            <v>5.35</v>
          </cell>
          <cell r="K36" t="str">
            <v>4.16</v>
          </cell>
          <cell r="L36" t="str">
            <v>0.5</v>
          </cell>
        </row>
        <row r="37">
          <cell r="B37" t="str">
            <v>생물환경화학과</v>
          </cell>
          <cell r="C37">
            <v>14</v>
          </cell>
          <cell r="D37">
            <v>75</v>
          </cell>
          <cell r="E37">
            <v>5.3571428571428568</v>
          </cell>
          <cell r="F37">
            <v>12</v>
          </cell>
          <cell r="G37">
            <v>779.27</v>
          </cell>
          <cell r="H37">
            <v>775.99</v>
          </cell>
          <cell r="I37">
            <v>6.95</v>
          </cell>
          <cell r="J37">
            <v>4.1500000000000004</v>
          </cell>
          <cell r="K37" t="str">
            <v>4.45</v>
          </cell>
          <cell r="L37" t="str">
            <v>0.73</v>
          </cell>
        </row>
        <row r="38">
          <cell r="B38" t="str">
            <v>작물생명과학과</v>
          </cell>
          <cell r="C38">
            <v>11</v>
          </cell>
          <cell r="D38">
            <v>53</v>
          </cell>
          <cell r="E38">
            <v>4.8181818181818183</v>
          </cell>
          <cell r="F38">
            <v>10</v>
          </cell>
          <cell r="G38">
            <v>771.02</v>
          </cell>
          <cell r="H38">
            <v>775.72</v>
          </cell>
          <cell r="I38">
            <v>5.67</v>
          </cell>
          <cell r="J38">
            <v>4.9400000000000004</v>
          </cell>
          <cell r="K38" t="str">
            <v>4.48</v>
          </cell>
          <cell r="L38" t="str">
            <v>0.63</v>
          </cell>
        </row>
        <row r="39">
          <cell r="B39" t="str">
            <v>동물생명공학과</v>
          </cell>
          <cell r="C39">
            <v>11</v>
          </cell>
          <cell r="D39">
            <v>67</v>
          </cell>
          <cell r="E39">
            <v>6.0909090909090908</v>
          </cell>
          <cell r="F39">
            <v>6</v>
          </cell>
          <cell r="G39">
            <v>767.73</v>
          </cell>
          <cell r="H39">
            <v>771.39</v>
          </cell>
          <cell r="I39">
            <v>2.85</v>
          </cell>
          <cell r="J39">
            <v>5.33</v>
          </cell>
          <cell r="K39" t="str">
            <v>4.92</v>
          </cell>
          <cell r="L39" t="str">
            <v>0.27</v>
          </cell>
        </row>
        <row r="40">
          <cell r="B40" t="str">
            <v>동물소재공학과</v>
          </cell>
          <cell r="C40">
            <v>11</v>
          </cell>
          <cell r="D40">
            <v>65</v>
          </cell>
          <cell r="E40">
            <v>5.9090909090909092</v>
          </cell>
          <cell r="F40">
            <v>10</v>
          </cell>
          <cell r="G40">
            <v>764.14</v>
          </cell>
          <cell r="H40">
            <v>766.47</v>
          </cell>
          <cell r="I40">
            <v>6.27</v>
          </cell>
          <cell r="J40">
            <v>5.63</v>
          </cell>
          <cell r="K40" t="str">
            <v>5.42</v>
          </cell>
          <cell r="L40" t="str">
            <v>0.61</v>
          </cell>
        </row>
        <row r="41">
          <cell r="B41" t="str">
            <v>생물산업기계공학과</v>
          </cell>
          <cell r="C41">
            <v>8</v>
          </cell>
          <cell r="D41">
            <v>23</v>
          </cell>
          <cell r="E41">
            <v>2.875</v>
          </cell>
          <cell r="F41">
            <v>8</v>
          </cell>
          <cell r="G41">
            <v>786.56</v>
          </cell>
          <cell r="H41">
            <v>766.16</v>
          </cell>
          <cell r="I41">
            <v>7.52</v>
          </cell>
          <cell r="J41">
            <v>3.31</v>
          </cell>
          <cell r="K41" t="str">
            <v>5.45</v>
          </cell>
          <cell r="L41" t="str">
            <v>0.73</v>
          </cell>
        </row>
        <row r="42">
          <cell r="B42" t="str">
            <v>지역건설공학과</v>
          </cell>
          <cell r="C42">
            <v>8</v>
          </cell>
          <cell r="D42">
            <v>24</v>
          </cell>
          <cell r="E42">
            <v>3</v>
          </cell>
          <cell r="F42">
            <v>8</v>
          </cell>
          <cell r="G42">
            <v>777.54</v>
          </cell>
          <cell r="H42">
            <v>764.76</v>
          </cell>
          <cell r="I42">
            <v>6.83</v>
          </cell>
          <cell r="J42">
            <v>4.28</v>
          </cell>
          <cell r="K42" t="str">
            <v>5.6</v>
          </cell>
          <cell r="L42" t="str">
            <v>0.71</v>
          </cell>
        </row>
        <row r="43">
          <cell r="B43" t="str">
            <v>목재응용과학과</v>
          </cell>
          <cell r="C43">
            <v>8</v>
          </cell>
          <cell r="D43">
            <v>19</v>
          </cell>
          <cell r="E43">
            <v>2.375</v>
          </cell>
          <cell r="F43">
            <v>3</v>
          </cell>
          <cell r="G43">
            <v>779.24</v>
          </cell>
          <cell r="H43">
            <v>756.58</v>
          </cell>
          <cell r="I43">
            <v>6.89</v>
          </cell>
          <cell r="J43">
            <v>4.1500000000000004</v>
          </cell>
          <cell r="K43" t="str">
            <v>6.47</v>
          </cell>
          <cell r="L43" t="str">
            <v>0.81</v>
          </cell>
        </row>
        <row r="44">
          <cell r="B44" t="str">
            <v>일반사회교육과</v>
          </cell>
          <cell r="C44">
            <v>12</v>
          </cell>
          <cell r="D44">
            <v>122</v>
          </cell>
          <cell r="E44">
            <v>10.166666666666666</v>
          </cell>
          <cell r="F44">
            <v>4</v>
          </cell>
          <cell r="G44">
            <v>794.64</v>
          </cell>
          <cell r="H44">
            <v>797.38</v>
          </cell>
          <cell r="I44">
            <v>1.62</v>
          </cell>
          <cell r="J44">
            <v>2.15</v>
          </cell>
          <cell r="K44" t="str">
            <v>1.65</v>
          </cell>
          <cell r="L44" t="str">
            <v>0.4</v>
          </cell>
        </row>
        <row r="45">
          <cell r="B45" t="str">
            <v>수학교육과</v>
          </cell>
          <cell r="C45">
            <v>8</v>
          </cell>
          <cell r="D45">
            <v>89</v>
          </cell>
          <cell r="E45">
            <v>11.125</v>
          </cell>
          <cell r="F45">
            <v>4</v>
          </cell>
          <cell r="G45">
            <v>796.26</v>
          </cell>
          <cell r="H45">
            <v>796.98</v>
          </cell>
          <cell r="I45">
            <v>0.13</v>
          </cell>
          <cell r="J45">
            <v>1.96</v>
          </cell>
          <cell r="K45" t="str">
            <v>1.75</v>
          </cell>
          <cell r="L45" t="str">
            <v>0.05</v>
          </cell>
        </row>
        <row r="46">
          <cell r="B46" t="str">
            <v>영어교육과</v>
          </cell>
          <cell r="C46">
            <v>8</v>
          </cell>
          <cell r="D46">
            <v>82</v>
          </cell>
          <cell r="E46">
            <v>10.25</v>
          </cell>
          <cell r="F46">
            <v>4</v>
          </cell>
          <cell r="G46">
            <v>796.17</v>
          </cell>
          <cell r="H46">
            <v>796.7</v>
          </cell>
          <cell r="I46">
            <v>1.79</v>
          </cell>
          <cell r="J46">
            <v>1.92</v>
          </cell>
          <cell r="K46" t="str">
            <v>2</v>
          </cell>
          <cell r="L46" t="str">
            <v>0.18</v>
          </cell>
        </row>
        <row r="47">
          <cell r="B47" t="str">
            <v>지리교육과</v>
          </cell>
          <cell r="C47">
            <v>4</v>
          </cell>
          <cell r="D47">
            <v>42</v>
          </cell>
          <cell r="E47">
            <v>10.5</v>
          </cell>
          <cell r="F47">
            <v>3</v>
          </cell>
          <cell r="G47">
            <v>793.17</v>
          </cell>
          <cell r="H47">
            <v>796.31</v>
          </cell>
          <cell r="I47">
            <v>1.8</v>
          </cell>
          <cell r="J47">
            <v>2.41</v>
          </cell>
          <cell r="K47" t="str">
            <v>1.9</v>
          </cell>
          <cell r="L47" t="str">
            <v>0.39</v>
          </cell>
        </row>
        <row r="48">
          <cell r="B48" t="str">
            <v>과학교육학부(지구과학교육)</v>
          </cell>
          <cell r="C48">
            <v>8</v>
          </cell>
          <cell r="D48">
            <v>98</v>
          </cell>
          <cell r="E48">
            <v>12.25</v>
          </cell>
          <cell r="F48">
            <v>3</v>
          </cell>
          <cell r="G48">
            <v>783.79</v>
          </cell>
          <cell r="H48">
            <v>796.14</v>
          </cell>
          <cell r="I48">
            <v>2.57</v>
          </cell>
          <cell r="J48">
            <v>3.49</v>
          </cell>
          <cell r="K48" t="str">
            <v>1.91</v>
          </cell>
          <cell r="L48" t="str">
            <v>0.5</v>
          </cell>
        </row>
        <row r="49">
          <cell r="B49" t="str">
            <v>교육학과</v>
          </cell>
          <cell r="C49">
            <v>7</v>
          </cell>
          <cell r="D49">
            <v>58</v>
          </cell>
          <cell r="E49">
            <v>8.2857142857142865</v>
          </cell>
          <cell r="F49">
            <v>2</v>
          </cell>
          <cell r="G49">
            <v>795.97</v>
          </cell>
          <cell r="H49">
            <v>795.79</v>
          </cell>
          <cell r="I49">
            <v>0.71</v>
          </cell>
          <cell r="J49">
            <v>1.94</v>
          </cell>
          <cell r="K49" t="str">
            <v>2</v>
          </cell>
          <cell r="L49" t="str">
            <v>0.19</v>
          </cell>
        </row>
        <row r="50">
          <cell r="B50" t="str">
            <v>국어교육과</v>
          </cell>
          <cell r="C50">
            <v>8</v>
          </cell>
          <cell r="D50">
            <v>86</v>
          </cell>
          <cell r="E50">
            <v>10.75</v>
          </cell>
          <cell r="F50">
            <v>6</v>
          </cell>
          <cell r="G50">
            <v>795.23</v>
          </cell>
          <cell r="H50">
            <v>795.14</v>
          </cell>
          <cell r="I50">
            <v>0.4</v>
          </cell>
          <cell r="J50">
            <v>2.09</v>
          </cell>
          <cell r="K50" t="str">
            <v>2.14</v>
          </cell>
          <cell r="L50" t="str">
            <v>0.08</v>
          </cell>
        </row>
        <row r="51">
          <cell r="B51" t="str">
            <v>과학교육학부(화학교육)</v>
          </cell>
          <cell r="C51">
            <v>8</v>
          </cell>
          <cell r="D51">
            <v>50</v>
          </cell>
          <cell r="E51">
            <v>6.25</v>
          </cell>
          <cell r="F51">
            <v>4</v>
          </cell>
          <cell r="G51">
            <v>794.89</v>
          </cell>
          <cell r="H51">
            <v>794.94</v>
          </cell>
          <cell r="I51">
            <v>0.47</v>
          </cell>
          <cell r="J51">
            <v>2.14</v>
          </cell>
          <cell r="K51" t="str">
            <v>2.08</v>
          </cell>
          <cell r="L51" t="str">
            <v>0.1</v>
          </cell>
        </row>
        <row r="52">
          <cell r="B52" t="str">
            <v>과학교육학부(생물교육)</v>
          </cell>
          <cell r="C52">
            <v>8</v>
          </cell>
          <cell r="D52">
            <v>59</v>
          </cell>
          <cell r="E52">
            <v>7.375</v>
          </cell>
          <cell r="F52">
            <v>2</v>
          </cell>
          <cell r="G52">
            <v>795.78</v>
          </cell>
          <cell r="H52">
            <v>794.54</v>
          </cell>
          <cell r="I52">
            <v>2.6</v>
          </cell>
          <cell r="J52">
            <v>1.99</v>
          </cell>
          <cell r="K52" t="str">
            <v>2.26</v>
          </cell>
          <cell r="L52" t="str">
            <v>0.52</v>
          </cell>
        </row>
        <row r="53">
          <cell r="B53" t="str">
            <v>윤리교육과</v>
          </cell>
          <cell r="C53">
            <v>3</v>
          </cell>
          <cell r="D53">
            <v>43</v>
          </cell>
          <cell r="E53">
            <v>14.333333333333334</v>
          </cell>
          <cell r="F53">
            <v>2</v>
          </cell>
          <cell r="G53">
            <v>787.91</v>
          </cell>
          <cell r="H53">
            <v>792.18</v>
          </cell>
          <cell r="I53">
            <v>0.4</v>
          </cell>
          <cell r="J53">
            <v>3.29</v>
          </cell>
          <cell r="K53" t="str">
            <v>2.64</v>
          </cell>
          <cell r="L53" t="str">
            <v>0.06</v>
          </cell>
        </row>
        <row r="54">
          <cell r="B54" t="str">
            <v>과학교육학부(물리교육)</v>
          </cell>
          <cell r="C54">
            <v>8</v>
          </cell>
          <cell r="D54">
            <v>41</v>
          </cell>
          <cell r="E54">
            <v>5.125</v>
          </cell>
          <cell r="F54">
            <v>4</v>
          </cell>
          <cell r="G54">
            <v>793.51</v>
          </cell>
          <cell r="H54">
            <v>790.85</v>
          </cell>
          <cell r="I54">
            <v>1.69</v>
          </cell>
          <cell r="J54">
            <v>2.3199999999999998</v>
          </cell>
          <cell r="K54" t="str">
            <v>2.79</v>
          </cell>
          <cell r="L54" t="str">
            <v>0.2</v>
          </cell>
        </row>
        <row r="55">
          <cell r="B55" t="str">
            <v>독어교육과</v>
          </cell>
          <cell r="C55">
            <v>3</v>
          </cell>
          <cell r="D55">
            <v>22</v>
          </cell>
          <cell r="E55">
            <v>7.333333333333333</v>
          </cell>
          <cell r="F55">
            <v>3</v>
          </cell>
          <cell r="G55">
            <v>790.42</v>
          </cell>
          <cell r="H55">
            <v>788.87</v>
          </cell>
          <cell r="I55">
            <v>0.57999999999999996</v>
          </cell>
          <cell r="J55">
            <v>2.92</v>
          </cell>
          <cell r="K55" t="str">
            <v>3.09</v>
          </cell>
          <cell r="L55" t="str">
            <v>0.08</v>
          </cell>
        </row>
        <row r="56">
          <cell r="B56" t="str">
            <v>행정학과</v>
          </cell>
          <cell r="C56">
            <v>13</v>
          </cell>
          <cell r="D56">
            <v>167</v>
          </cell>
          <cell r="E56">
            <v>12.846153846153847</v>
          </cell>
          <cell r="F56">
            <v>10</v>
          </cell>
          <cell r="G56">
            <v>791.58</v>
          </cell>
          <cell r="H56">
            <v>795.19</v>
          </cell>
          <cell r="I56">
            <v>1.46</v>
          </cell>
          <cell r="J56">
            <v>2.65</v>
          </cell>
          <cell r="K56" t="str">
            <v>2.1</v>
          </cell>
          <cell r="L56" t="str">
            <v>0.28</v>
          </cell>
        </row>
        <row r="57">
          <cell r="B57" t="str">
            <v>신문방송학과</v>
          </cell>
          <cell r="C57">
            <v>8</v>
          </cell>
          <cell r="D57">
            <v>104</v>
          </cell>
          <cell r="E57">
            <v>13</v>
          </cell>
          <cell r="F57">
            <v>3</v>
          </cell>
          <cell r="G57">
            <v>789.89</v>
          </cell>
          <cell r="H57">
            <v>793.74</v>
          </cell>
          <cell r="I57">
            <v>2.69</v>
          </cell>
          <cell r="J57">
            <v>2.94</v>
          </cell>
          <cell r="K57" t="str">
            <v>2.29</v>
          </cell>
          <cell r="L57" t="str">
            <v>0.46</v>
          </cell>
        </row>
        <row r="58">
          <cell r="B58" t="str">
            <v>심리학과</v>
          </cell>
          <cell r="C58">
            <v>8</v>
          </cell>
          <cell r="D58">
            <v>109</v>
          </cell>
          <cell r="E58">
            <v>13.625</v>
          </cell>
          <cell r="F58">
            <v>8</v>
          </cell>
          <cell r="G58">
            <v>787.46</v>
          </cell>
          <cell r="H58">
            <v>792.55</v>
          </cell>
          <cell r="I58">
            <v>1.77</v>
          </cell>
          <cell r="J58">
            <v>3.16</v>
          </cell>
          <cell r="K58" t="str">
            <v>2.55</v>
          </cell>
          <cell r="L58" t="str">
            <v>0.32</v>
          </cell>
        </row>
        <row r="59">
          <cell r="B59" t="str">
            <v>사회복지학과</v>
          </cell>
          <cell r="C59">
            <v>4</v>
          </cell>
          <cell r="D59">
            <v>109</v>
          </cell>
          <cell r="E59">
            <v>27.25</v>
          </cell>
          <cell r="F59">
            <v>1</v>
          </cell>
          <cell r="G59">
            <v>783.02</v>
          </cell>
          <cell r="H59">
            <v>792</v>
          </cell>
          <cell r="J59">
            <v>3.74</v>
          </cell>
          <cell r="K59" t="str">
            <v>2.71</v>
          </cell>
        </row>
        <row r="60">
          <cell r="B60" t="str">
            <v>사회학과</v>
          </cell>
          <cell r="C60">
            <v>12</v>
          </cell>
          <cell r="D60">
            <v>104</v>
          </cell>
          <cell r="E60">
            <v>8.6666666666666661</v>
          </cell>
          <cell r="F60">
            <v>10</v>
          </cell>
          <cell r="G60">
            <v>784.43</v>
          </cell>
          <cell r="H60">
            <v>788.21</v>
          </cell>
          <cell r="I60">
            <v>2.5</v>
          </cell>
          <cell r="J60">
            <v>3.58</v>
          </cell>
          <cell r="K60" t="str">
            <v>3.16</v>
          </cell>
          <cell r="L60" t="str">
            <v>0.33</v>
          </cell>
        </row>
        <row r="61">
          <cell r="B61" t="str">
            <v>정치외교학과</v>
          </cell>
          <cell r="C61">
            <v>16</v>
          </cell>
          <cell r="D61">
            <v>100</v>
          </cell>
          <cell r="E61">
            <v>6.25</v>
          </cell>
          <cell r="F61">
            <v>15</v>
          </cell>
          <cell r="G61">
            <v>788.29</v>
          </cell>
          <cell r="H61">
            <v>782</v>
          </cell>
          <cell r="I61">
            <v>5.01</v>
          </cell>
          <cell r="J61">
            <v>3.11</v>
          </cell>
          <cell r="K61" t="str">
            <v>3.85</v>
          </cell>
          <cell r="L61" t="str">
            <v>0.53</v>
          </cell>
        </row>
        <row r="62">
          <cell r="B62" t="str">
            <v>무역학과</v>
          </cell>
          <cell r="C62">
            <v>33</v>
          </cell>
          <cell r="D62">
            <v>241</v>
          </cell>
          <cell r="E62">
            <v>7.3030303030303028</v>
          </cell>
          <cell r="F62">
            <v>22</v>
          </cell>
          <cell r="G62">
            <v>787.01</v>
          </cell>
          <cell r="H62">
            <v>789.96</v>
          </cell>
          <cell r="I62">
            <v>2.27</v>
          </cell>
          <cell r="J62">
            <v>3.27</v>
          </cell>
          <cell r="K62" t="str">
            <v>2.9</v>
          </cell>
          <cell r="L62" t="str">
            <v>0.31</v>
          </cell>
        </row>
        <row r="63">
          <cell r="B63" t="str">
            <v>경영학부</v>
          </cell>
          <cell r="C63">
            <v>59</v>
          </cell>
          <cell r="D63">
            <v>418</v>
          </cell>
          <cell r="E63">
            <v>7.0847457627118642</v>
          </cell>
          <cell r="F63">
            <v>40</v>
          </cell>
          <cell r="G63">
            <v>784.47</v>
          </cell>
          <cell r="H63">
            <v>786.09</v>
          </cell>
          <cell r="I63">
            <v>2.75</v>
          </cell>
          <cell r="J63">
            <v>3.6</v>
          </cell>
          <cell r="K63" t="str">
            <v>3.42</v>
          </cell>
          <cell r="L63" t="str">
            <v>0.32</v>
          </cell>
        </row>
        <row r="64">
          <cell r="B64" t="str">
            <v>경제학부</v>
          </cell>
          <cell r="C64">
            <v>29</v>
          </cell>
          <cell r="D64">
            <v>221</v>
          </cell>
          <cell r="E64">
            <v>7.6206896551724137</v>
          </cell>
          <cell r="F64">
            <v>14</v>
          </cell>
          <cell r="G64">
            <v>780.28</v>
          </cell>
          <cell r="H64">
            <v>783.02</v>
          </cell>
          <cell r="I64">
            <v>3.29</v>
          </cell>
          <cell r="J64">
            <v>4.05</v>
          </cell>
          <cell r="K64" t="str">
            <v>3.76</v>
          </cell>
          <cell r="L64" t="str">
            <v>0.38</v>
          </cell>
        </row>
        <row r="65">
          <cell r="B65" t="str">
            <v>의류학과</v>
          </cell>
          <cell r="C65">
            <v>11</v>
          </cell>
          <cell r="D65">
            <v>156</v>
          </cell>
          <cell r="E65">
            <v>14.181818181818182</v>
          </cell>
          <cell r="F65">
            <v>5</v>
          </cell>
          <cell r="G65">
            <v>773.56</v>
          </cell>
          <cell r="H65">
            <v>789.1</v>
          </cell>
          <cell r="I65">
            <v>3.51</v>
          </cell>
          <cell r="J65">
            <v>4.7</v>
          </cell>
          <cell r="K65" t="str">
            <v>3</v>
          </cell>
          <cell r="L65" t="str">
            <v>0.48</v>
          </cell>
        </row>
        <row r="66">
          <cell r="B66" t="str">
            <v>주거환경학과</v>
          </cell>
          <cell r="C66">
            <v>15</v>
          </cell>
          <cell r="D66">
            <v>96</v>
          </cell>
          <cell r="E66">
            <v>6.4</v>
          </cell>
          <cell r="F66">
            <v>12</v>
          </cell>
          <cell r="G66">
            <v>783.68</v>
          </cell>
          <cell r="H66">
            <v>788.6</v>
          </cell>
          <cell r="I66">
            <v>3.79</v>
          </cell>
          <cell r="J66">
            <v>3.56</v>
          </cell>
          <cell r="K66" t="str">
            <v>3.05</v>
          </cell>
          <cell r="L66" t="str">
            <v>0.52</v>
          </cell>
        </row>
        <row r="67">
          <cell r="B67" t="str">
            <v>아동학과</v>
          </cell>
          <cell r="C67">
            <v>8</v>
          </cell>
          <cell r="D67">
            <v>84</v>
          </cell>
          <cell r="E67">
            <v>10.5</v>
          </cell>
          <cell r="F67">
            <v>7</v>
          </cell>
          <cell r="G67">
            <v>787.51</v>
          </cell>
          <cell r="H67">
            <v>788.12</v>
          </cell>
          <cell r="I67">
            <v>1.65</v>
          </cell>
          <cell r="J67">
            <v>3.21</v>
          </cell>
          <cell r="K67" t="str">
            <v>3.1</v>
          </cell>
          <cell r="L67" t="str">
            <v>0.18</v>
          </cell>
        </row>
        <row r="68">
          <cell r="B68" t="str">
            <v>식품영양학과</v>
          </cell>
          <cell r="C68">
            <v>11</v>
          </cell>
          <cell r="D68">
            <v>60</v>
          </cell>
          <cell r="E68">
            <v>5.4545454545454541</v>
          </cell>
          <cell r="F68">
            <v>8</v>
          </cell>
          <cell r="G68">
            <v>789.23</v>
          </cell>
          <cell r="H68">
            <v>786.37</v>
          </cell>
          <cell r="I68">
            <v>5.31</v>
          </cell>
          <cell r="J68">
            <v>3.02</v>
          </cell>
          <cell r="K68" t="str">
            <v>3.33</v>
          </cell>
          <cell r="L68" t="str">
            <v>0.71</v>
          </cell>
        </row>
        <row r="69">
          <cell r="B69" t="str">
            <v>산업디자인과(디지털미디어디자인)</v>
          </cell>
          <cell r="C69">
            <v>3</v>
          </cell>
          <cell r="D69">
            <v>20</v>
          </cell>
          <cell r="E69">
            <v>6.666666666666667</v>
          </cell>
          <cell r="F69">
            <v>2</v>
          </cell>
          <cell r="G69">
            <v>779.4</v>
          </cell>
          <cell r="H69">
            <v>781.57</v>
          </cell>
          <cell r="I69">
            <v>3.04</v>
          </cell>
          <cell r="J69">
            <v>4.07</v>
          </cell>
          <cell r="K69" t="str">
            <v>3.88</v>
          </cell>
          <cell r="L69" t="str">
            <v>0.42</v>
          </cell>
        </row>
        <row r="70">
          <cell r="B70" t="str">
            <v>산업디자인과(디지털생활기기디자인)</v>
          </cell>
          <cell r="C70">
            <v>7</v>
          </cell>
          <cell r="D70">
            <v>59</v>
          </cell>
          <cell r="E70">
            <v>8.4285714285714288</v>
          </cell>
          <cell r="F70">
            <v>6</v>
          </cell>
          <cell r="G70">
            <v>776.39</v>
          </cell>
          <cell r="H70">
            <v>781.45</v>
          </cell>
          <cell r="I70">
            <v>3.54</v>
          </cell>
          <cell r="J70">
            <v>4.42</v>
          </cell>
          <cell r="K70" t="str">
            <v>3.89</v>
          </cell>
          <cell r="L70" t="str">
            <v>0.42</v>
          </cell>
        </row>
        <row r="71">
          <cell r="B71" t="str">
            <v>산업디자인과(디지털커뮤니케이션디자인)</v>
          </cell>
          <cell r="C71">
            <v>7</v>
          </cell>
          <cell r="D71">
            <v>47</v>
          </cell>
          <cell r="E71">
            <v>6.7142857142857144</v>
          </cell>
          <cell r="F71">
            <v>6</v>
          </cell>
          <cell r="G71">
            <v>784.02</v>
          </cell>
          <cell r="H71">
            <v>781.13</v>
          </cell>
          <cell r="I71">
            <v>7.62</v>
          </cell>
          <cell r="J71">
            <v>3.61</v>
          </cell>
          <cell r="K71" t="str">
            <v>3.88</v>
          </cell>
          <cell r="L71" t="str">
            <v>0.83</v>
          </cell>
        </row>
        <row r="72">
          <cell r="B72" t="str">
            <v>일어일문학과</v>
          </cell>
          <cell r="C72">
            <v>15</v>
          </cell>
          <cell r="D72">
            <v>106</v>
          </cell>
          <cell r="E72">
            <v>7.0666666666666664</v>
          </cell>
          <cell r="F72">
            <v>9</v>
          </cell>
          <cell r="G72">
            <v>787.57</v>
          </cell>
          <cell r="H72">
            <v>792.61</v>
          </cell>
          <cell r="I72">
            <v>3.13</v>
          </cell>
          <cell r="J72">
            <v>3.19</v>
          </cell>
          <cell r="K72" t="str">
            <v>2.41</v>
          </cell>
          <cell r="L72" t="str">
            <v>0.52</v>
          </cell>
        </row>
        <row r="73">
          <cell r="B73" t="str">
            <v>문헌정보학과</v>
          </cell>
          <cell r="C73">
            <v>18</v>
          </cell>
          <cell r="D73">
            <v>133</v>
          </cell>
          <cell r="E73">
            <v>7.3888888888888893</v>
          </cell>
          <cell r="F73">
            <v>8</v>
          </cell>
          <cell r="G73">
            <v>790.48</v>
          </cell>
          <cell r="H73">
            <v>791.06</v>
          </cell>
          <cell r="I73">
            <v>1.53</v>
          </cell>
          <cell r="J73">
            <v>2.81</v>
          </cell>
          <cell r="K73" t="str">
            <v>2.77</v>
          </cell>
          <cell r="L73" t="str">
            <v>0.2</v>
          </cell>
        </row>
        <row r="74">
          <cell r="B74" t="str">
            <v>영어영문학과</v>
          </cell>
          <cell r="C74">
            <v>22</v>
          </cell>
          <cell r="D74">
            <v>151</v>
          </cell>
          <cell r="E74">
            <v>6.8636363636363633</v>
          </cell>
          <cell r="F74">
            <v>20</v>
          </cell>
          <cell r="G74">
            <v>788.39</v>
          </cell>
          <cell r="H74">
            <v>788.02</v>
          </cell>
          <cell r="I74">
            <v>2.06</v>
          </cell>
          <cell r="J74">
            <v>3.1</v>
          </cell>
          <cell r="K74" t="str">
            <v>3.17</v>
          </cell>
          <cell r="L74" t="str">
            <v>0.26</v>
          </cell>
        </row>
        <row r="75">
          <cell r="B75" t="str">
            <v>사학과</v>
          </cell>
          <cell r="C75">
            <v>22</v>
          </cell>
          <cell r="D75">
            <v>156</v>
          </cell>
          <cell r="E75">
            <v>7.0909090909090908</v>
          </cell>
          <cell r="F75">
            <v>18</v>
          </cell>
          <cell r="G75">
            <v>782.81</v>
          </cell>
          <cell r="H75">
            <v>786.33</v>
          </cell>
          <cell r="I75">
            <v>2.17</v>
          </cell>
          <cell r="J75">
            <v>3.76</v>
          </cell>
          <cell r="K75" t="str">
            <v>3.39</v>
          </cell>
          <cell r="L75" t="str">
            <v>0.26</v>
          </cell>
        </row>
        <row r="76">
          <cell r="B76" t="str">
            <v>중어중문학과</v>
          </cell>
          <cell r="C76">
            <v>16</v>
          </cell>
          <cell r="D76">
            <v>98</v>
          </cell>
          <cell r="E76">
            <v>6.125</v>
          </cell>
          <cell r="F76">
            <v>9</v>
          </cell>
          <cell r="G76">
            <v>786.99</v>
          </cell>
          <cell r="H76">
            <v>785.55</v>
          </cell>
          <cell r="I76">
            <v>2.88</v>
          </cell>
          <cell r="J76">
            <v>3.29</v>
          </cell>
          <cell r="K76" t="str">
            <v>3.46</v>
          </cell>
          <cell r="L76" t="str">
            <v>0.32</v>
          </cell>
        </row>
        <row r="77">
          <cell r="B77" t="str">
            <v>국어국문학과</v>
          </cell>
          <cell r="C77">
            <v>18</v>
          </cell>
          <cell r="D77">
            <v>115</v>
          </cell>
          <cell r="E77">
            <v>6.3888888888888893</v>
          </cell>
          <cell r="F77">
            <v>14</v>
          </cell>
          <cell r="G77">
            <v>785.15</v>
          </cell>
          <cell r="H77">
            <v>784.3</v>
          </cell>
          <cell r="I77">
            <v>2.65</v>
          </cell>
          <cell r="J77">
            <v>3.46</v>
          </cell>
          <cell r="K77" t="str">
            <v>3.59</v>
          </cell>
          <cell r="L77" t="str">
            <v>0.32</v>
          </cell>
        </row>
        <row r="78">
          <cell r="B78" t="str">
            <v>고고문화인류학과</v>
          </cell>
          <cell r="C78">
            <v>13</v>
          </cell>
          <cell r="D78">
            <v>81</v>
          </cell>
          <cell r="E78">
            <v>6.2307692307692308</v>
          </cell>
          <cell r="F78">
            <v>11</v>
          </cell>
          <cell r="G78">
            <v>778.9</v>
          </cell>
          <cell r="H78">
            <v>782.62</v>
          </cell>
          <cell r="I78">
            <v>2.5299999999999998</v>
          </cell>
          <cell r="J78">
            <v>4.17</v>
          </cell>
          <cell r="K78" t="str">
            <v>3.78</v>
          </cell>
          <cell r="L78" t="str">
            <v>0.27</v>
          </cell>
        </row>
        <row r="79">
          <cell r="B79" t="str">
            <v>스페인.중남미어문학과</v>
          </cell>
          <cell r="C79">
            <v>14</v>
          </cell>
          <cell r="D79">
            <v>89</v>
          </cell>
          <cell r="E79">
            <v>6.3571428571428568</v>
          </cell>
          <cell r="F79">
            <v>12</v>
          </cell>
          <cell r="G79">
            <v>777.85</v>
          </cell>
          <cell r="H79">
            <v>777.93</v>
          </cell>
          <cell r="I79">
            <v>3.83</v>
          </cell>
          <cell r="J79">
            <v>4.28</v>
          </cell>
          <cell r="K79" t="str">
            <v>4.25</v>
          </cell>
          <cell r="L79" t="str">
            <v>0.45</v>
          </cell>
        </row>
        <row r="80">
          <cell r="B80" t="str">
            <v>프랑스학과</v>
          </cell>
          <cell r="C80">
            <v>17</v>
          </cell>
          <cell r="D80">
            <v>96</v>
          </cell>
          <cell r="E80">
            <v>5.6470588235294121</v>
          </cell>
          <cell r="F80">
            <v>13</v>
          </cell>
          <cell r="G80">
            <v>776.29</v>
          </cell>
          <cell r="H80">
            <v>776.1</v>
          </cell>
          <cell r="I80">
            <v>4.97</v>
          </cell>
          <cell r="J80">
            <v>4.43</v>
          </cell>
          <cell r="K80" t="str">
            <v>4.46</v>
          </cell>
          <cell r="L80" t="str">
            <v>0.53</v>
          </cell>
        </row>
        <row r="81">
          <cell r="B81" t="str">
            <v>독어독문학과</v>
          </cell>
          <cell r="C81">
            <v>19</v>
          </cell>
          <cell r="D81">
            <v>118</v>
          </cell>
          <cell r="E81">
            <v>6.2105263157894735</v>
          </cell>
          <cell r="F81">
            <v>17</v>
          </cell>
          <cell r="G81">
            <v>772.4</v>
          </cell>
          <cell r="H81">
            <v>775.32</v>
          </cell>
          <cell r="I81">
            <v>3.47</v>
          </cell>
          <cell r="J81">
            <v>4.8</v>
          </cell>
          <cell r="K81" t="str">
            <v>4.53</v>
          </cell>
          <cell r="L81" t="str">
            <v>0.38</v>
          </cell>
        </row>
        <row r="82">
          <cell r="B82" t="str">
            <v>철학과</v>
          </cell>
          <cell r="C82">
            <v>17</v>
          </cell>
          <cell r="D82">
            <v>80</v>
          </cell>
          <cell r="E82">
            <v>4.7058823529411766</v>
          </cell>
          <cell r="F82">
            <v>13</v>
          </cell>
          <cell r="G82">
            <v>780.32</v>
          </cell>
          <cell r="H82">
            <v>775.19</v>
          </cell>
          <cell r="I82">
            <v>5.23</v>
          </cell>
          <cell r="J82">
            <v>3.98</v>
          </cell>
          <cell r="K82" t="str">
            <v>4.55</v>
          </cell>
          <cell r="L82" t="str">
            <v>0.55</v>
          </cell>
        </row>
        <row r="83">
          <cell r="B83" t="str">
            <v>수의예과</v>
          </cell>
          <cell r="C83">
            <v>20</v>
          </cell>
          <cell r="D83">
            <v>123</v>
          </cell>
          <cell r="E83">
            <v>6.15</v>
          </cell>
          <cell r="F83">
            <v>10</v>
          </cell>
          <cell r="G83">
            <v>796.33</v>
          </cell>
          <cell r="H83">
            <v>797.18</v>
          </cell>
          <cell r="I83">
            <v>1.45</v>
          </cell>
          <cell r="J83">
            <v>1.85</v>
          </cell>
          <cell r="K83" t="str">
            <v>1.77</v>
          </cell>
          <cell r="L83" t="str">
            <v>0.23</v>
          </cell>
        </row>
        <row r="84">
          <cell r="B84" t="str">
            <v>수학과</v>
          </cell>
          <cell r="C84">
            <v>10</v>
          </cell>
          <cell r="D84">
            <v>75</v>
          </cell>
          <cell r="E84">
            <v>7.5</v>
          </cell>
          <cell r="F84">
            <v>7</v>
          </cell>
          <cell r="G84">
            <v>786.35</v>
          </cell>
          <cell r="H84">
            <v>788.71</v>
          </cell>
          <cell r="I84">
            <v>2.8</v>
          </cell>
          <cell r="J84">
            <v>3.36</v>
          </cell>
          <cell r="K84" t="str">
            <v>3.09</v>
          </cell>
          <cell r="L84" t="str">
            <v>0.34</v>
          </cell>
        </row>
        <row r="85">
          <cell r="B85" t="str">
            <v>화학과</v>
          </cell>
          <cell r="C85">
            <v>20</v>
          </cell>
          <cell r="D85">
            <v>95</v>
          </cell>
          <cell r="E85">
            <v>4.75</v>
          </cell>
          <cell r="F85">
            <v>15</v>
          </cell>
          <cell r="G85">
            <v>785.09</v>
          </cell>
          <cell r="H85">
            <v>786.13</v>
          </cell>
          <cell r="I85">
            <v>3.34</v>
          </cell>
          <cell r="J85">
            <v>3.53</v>
          </cell>
          <cell r="K85" t="str">
            <v>3.39</v>
          </cell>
          <cell r="L85" t="str">
            <v>0.43</v>
          </cell>
        </row>
        <row r="86">
          <cell r="B86" t="str">
            <v>생명과학과</v>
          </cell>
          <cell r="C86">
            <v>35</v>
          </cell>
          <cell r="D86">
            <v>176</v>
          </cell>
          <cell r="E86">
            <v>5.0285714285714285</v>
          </cell>
          <cell r="F86">
            <v>21</v>
          </cell>
          <cell r="G86">
            <v>782.23</v>
          </cell>
          <cell r="H86">
            <v>783.19</v>
          </cell>
          <cell r="I86">
            <v>7.15</v>
          </cell>
          <cell r="J86">
            <v>3.8</v>
          </cell>
          <cell r="K86" t="str">
            <v>3.68</v>
          </cell>
          <cell r="L86" t="str">
            <v>0.83</v>
          </cell>
        </row>
        <row r="87">
          <cell r="B87" t="str">
            <v>통계학과</v>
          </cell>
          <cell r="C87">
            <v>18</v>
          </cell>
          <cell r="D87">
            <v>73</v>
          </cell>
          <cell r="E87">
            <v>4.0555555555555554</v>
          </cell>
          <cell r="F87">
            <v>13</v>
          </cell>
          <cell r="G87">
            <v>780.63</v>
          </cell>
          <cell r="H87">
            <v>780.17</v>
          </cell>
          <cell r="I87">
            <v>3.96</v>
          </cell>
          <cell r="J87">
            <v>3.99</v>
          </cell>
          <cell r="K87" t="str">
            <v>4.07</v>
          </cell>
          <cell r="L87" t="str">
            <v>0.39</v>
          </cell>
        </row>
        <row r="88">
          <cell r="B88" t="str">
            <v>지구환경과학과</v>
          </cell>
          <cell r="C88">
            <v>14</v>
          </cell>
          <cell r="D88">
            <v>46</v>
          </cell>
          <cell r="E88">
            <v>3.2857142857142856</v>
          </cell>
          <cell r="F88">
            <v>7</v>
          </cell>
          <cell r="G88">
            <v>778.21</v>
          </cell>
          <cell r="H88">
            <v>773.21</v>
          </cell>
          <cell r="I88">
            <v>6.14</v>
          </cell>
          <cell r="J88">
            <v>4.2</v>
          </cell>
          <cell r="K88" t="str">
            <v>4.74</v>
          </cell>
          <cell r="L88" t="str">
            <v>0.62</v>
          </cell>
        </row>
        <row r="89">
          <cell r="B89" t="str">
            <v>과학학과</v>
          </cell>
          <cell r="C89">
            <v>10</v>
          </cell>
          <cell r="D89">
            <v>50</v>
          </cell>
          <cell r="E89">
            <v>5</v>
          </cell>
          <cell r="F89">
            <v>9</v>
          </cell>
          <cell r="G89">
            <v>769.33</v>
          </cell>
          <cell r="H89">
            <v>770.56</v>
          </cell>
          <cell r="I89">
            <v>7.11</v>
          </cell>
          <cell r="J89">
            <v>5.13</v>
          </cell>
          <cell r="K89" t="str">
            <v>5</v>
          </cell>
          <cell r="L89" t="str">
            <v>0.7</v>
          </cell>
        </row>
        <row r="90">
          <cell r="B90" t="str">
            <v>물리학과</v>
          </cell>
          <cell r="C90">
            <v>16</v>
          </cell>
          <cell r="D90">
            <v>35</v>
          </cell>
          <cell r="E90">
            <v>2.1875</v>
          </cell>
          <cell r="F90">
            <v>14</v>
          </cell>
          <cell r="G90">
            <v>772.57</v>
          </cell>
          <cell r="H90">
            <v>769.83</v>
          </cell>
          <cell r="I90">
            <v>4.82</v>
          </cell>
          <cell r="J90">
            <v>4.76</v>
          </cell>
          <cell r="K90" t="str">
            <v>5.1</v>
          </cell>
          <cell r="L90" t="str">
            <v>0.5</v>
          </cell>
        </row>
        <row r="91">
          <cell r="B91" t="str">
            <v>반도체과학기술학과</v>
          </cell>
          <cell r="C91">
            <v>13</v>
          </cell>
          <cell r="D91">
            <v>36</v>
          </cell>
          <cell r="E91">
            <v>2.7692307692307692</v>
          </cell>
          <cell r="F91">
            <v>1</v>
          </cell>
          <cell r="G91">
            <v>780.16</v>
          </cell>
          <cell r="H91">
            <v>768.44</v>
          </cell>
          <cell r="J91">
            <v>4.0999999999999996</v>
          </cell>
          <cell r="K91" t="str">
            <v>5.23</v>
          </cell>
        </row>
        <row r="92">
          <cell r="B92" t="str">
            <v>생명공학부</v>
          </cell>
          <cell r="C92">
            <v>23</v>
          </cell>
          <cell r="D92">
            <v>103</v>
          </cell>
          <cell r="E92">
            <v>4.4782608695652177</v>
          </cell>
          <cell r="F92">
            <v>19</v>
          </cell>
          <cell r="G92">
            <v>776.33</v>
          </cell>
          <cell r="H92">
            <v>780.86</v>
          </cell>
          <cell r="I92">
            <v>6.85</v>
          </cell>
          <cell r="J92">
            <v>4.41</v>
          </cell>
          <cell r="K92" t="str">
            <v>3.91</v>
          </cell>
          <cell r="L92" t="str">
            <v>0.77</v>
          </cell>
        </row>
        <row r="93">
          <cell r="B93" t="str">
            <v>생명자원유통경제학과</v>
          </cell>
          <cell r="C93">
            <v>10</v>
          </cell>
          <cell r="D93">
            <v>49</v>
          </cell>
          <cell r="E93">
            <v>4.9000000000000004</v>
          </cell>
          <cell r="F93">
            <v>6</v>
          </cell>
          <cell r="G93">
            <v>781.76</v>
          </cell>
          <cell r="H93">
            <v>776.74</v>
          </cell>
          <cell r="I93">
            <v>6.53</v>
          </cell>
          <cell r="J93">
            <v>3.94</v>
          </cell>
          <cell r="K93" t="str">
            <v>4.34</v>
          </cell>
          <cell r="L93" t="str">
            <v>0.68</v>
          </cell>
        </row>
        <row r="94">
          <cell r="B94" t="str">
            <v>한약자원학과</v>
          </cell>
          <cell r="C94">
            <v>13</v>
          </cell>
          <cell r="D94">
            <v>78</v>
          </cell>
          <cell r="E94">
            <v>6</v>
          </cell>
          <cell r="F94">
            <v>8</v>
          </cell>
          <cell r="G94">
            <v>767.76</v>
          </cell>
          <cell r="H94">
            <v>775.61</v>
          </cell>
          <cell r="I94">
            <v>3.33</v>
          </cell>
          <cell r="J94">
            <v>5.32</v>
          </cell>
          <cell r="K94" t="str">
            <v>4.51</v>
          </cell>
          <cell r="L94" t="str">
            <v>0.33</v>
          </cell>
        </row>
        <row r="95">
          <cell r="B95" t="str">
            <v>환경조경디자인학과</v>
          </cell>
          <cell r="C95">
            <v>14</v>
          </cell>
          <cell r="D95">
            <v>75</v>
          </cell>
          <cell r="E95">
            <v>5.3571428571428568</v>
          </cell>
          <cell r="F95">
            <v>10</v>
          </cell>
          <cell r="G95">
            <v>770.32</v>
          </cell>
          <cell r="H95">
            <v>766.5</v>
          </cell>
          <cell r="I95">
            <v>3.64</v>
          </cell>
          <cell r="J95">
            <v>5</v>
          </cell>
          <cell r="K95" t="str">
            <v>5.4</v>
          </cell>
          <cell r="L95" t="str">
            <v>0.37</v>
          </cell>
        </row>
        <row r="96">
          <cell r="B96" t="str">
            <v>바이오식품공학과</v>
          </cell>
          <cell r="C96">
            <v>16</v>
          </cell>
          <cell r="D96">
            <v>35</v>
          </cell>
          <cell r="E96">
            <v>2.1875</v>
          </cell>
          <cell r="F96">
            <v>11</v>
          </cell>
          <cell r="H96">
            <v>762.55</v>
          </cell>
          <cell r="I96">
            <v>10.72</v>
          </cell>
          <cell r="K96" t="str">
            <v>5.88</v>
          </cell>
          <cell r="L96" t="str">
            <v>1.17</v>
          </cell>
        </row>
      </sheetData>
      <sheetData sheetId="5">
        <row r="5">
          <cell r="B5" t="str">
            <v>자율전공학부(인문계)</v>
          </cell>
          <cell r="C5">
            <v>38</v>
          </cell>
          <cell r="D5">
            <v>97</v>
          </cell>
          <cell r="E5">
            <v>2.5526315789473686</v>
          </cell>
          <cell r="F5">
            <v>39</v>
          </cell>
          <cell r="G5">
            <v>18</v>
          </cell>
          <cell r="H5">
            <v>634.14</v>
          </cell>
          <cell r="I5" t="str">
            <v>13.79</v>
          </cell>
          <cell r="J5" t="str">
            <v>2.36</v>
          </cell>
          <cell r="K5" t="str">
            <v>2.05</v>
          </cell>
          <cell r="L5">
            <v>2.15</v>
          </cell>
          <cell r="M5" t="str">
            <v>1.99</v>
          </cell>
          <cell r="N5">
            <v>122.56</v>
          </cell>
          <cell r="O5">
            <v>130.1</v>
          </cell>
          <cell r="P5">
            <v>128.36000000000001</v>
          </cell>
          <cell r="Q5">
            <v>64.92</v>
          </cell>
          <cell r="R5">
            <v>445.94</v>
          </cell>
        </row>
        <row r="6">
          <cell r="B6" t="str">
            <v>자율전공학부(자연계)</v>
          </cell>
          <cell r="C6">
            <v>10</v>
          </cell>
          <cell r="D6">
            <v>22</v>
          </cell>
          <cell r="E6">
            <v>2.2000000000000002</v>
          </cell>
          <cell r="F6">
            <v>10</v>
          </cell>
          <cell r="G6">
            <v>5</v>
          </cell>
          <cell r="H6">
            <v>611.42999999999995</v>
          </cell>
          <cell r="I6" t="str">
            <v>21.29</v>
          </cell>
          <cell r="J6" t="str">
            <v>2.7</v>
          </cell>
          <cell r="K6" t="str">
            <v>3</v>
          </cell>
          <cell r="L6">
            <v>2.6</v>
          </cell>
          <cell r="M6" t="str">
            <v>1.85</v>
          </cell>
          <cell r="N6">
            <v>120.2</v>
          </cell>
          <cell r="O6">
            <v>118.7</v>
          </cell>
          <cell r="P6">
            <v>125</v>
          </cell>
          <cell r="Q6">
            <v>64.75</v>
          </cell>
          <cell r="R6">
            <v>428.65</v>
          </cell>
        </row>
        <row r="7">
          <cell r="B7" t="str">
            <v>간호학과</v>
          </cell>
          <cell r="C7">
            <v>46</v>
          </cell>
          <cell r="D7">
            <v>113</v>
          </cell>
          <cell r="E7">
            <v>2.4565217391304346</v>
          </cell>
          <cell r="F7">
            <v>46</v>
          </cell>
          <cell r="G7">
            <v>20</v>
          </cell>
          <cell r="H7">
            <v>630.20000000000005</v>
          </cell>
          <cell r="I7" t="str">
            <v>10.75</v>
          </cell>
          <cell r="J7" t="str">
            <v>2.5</v>
          </cell>
          <cell r="K7" t="str">
            <v>2.13</v>
          </cell>
          <cell r="L7">
            <v>2.83</v>
          </cell>
          <cell r="M7" t="str">
            <v>2.52</v>
          </cell>
          <cell r="N7">
            <v>121.5</v>
          </cell>
          <cell r="O7">
            <v>129.28</v>
          </cell>
          <cell r="P7">
            <v>122.57</v>
          </cell>
          <cell r="Q7">
            <v>62.01</v>
          </cell>
          <cell r="R7">
            <v>435.36</v>
          </cell>
        </row>
        <row r="8">
          <cell r="B8" t="str">
            <v>고분자.나노공학과</v>
          </cell>
          <cell r="C8">
            <v>15</v>
          </cell>
          <cell r="D8">
            <v>67</v>
          </cell>
          <cell r="E8">
            <v>4.4666666666666668</v>
          </cell>
          <cell r="F8">
            <v>15</v>
          </cell>
          <cell r="G8">
            <v>18</v>
          </cell>
          <cell r="H8">
            <v>599.1</v>
          </cell>
          <cell r="I8" t="str">
            <v>16.36</v>
          </cell>
          <cell r="J8" t="str">
            <v>3.6</v>
          </cell>
          <cell r="K8" t="str">
            <v>2.87</v>
          </cell>
          <cell r="L8">
            <v>3.67</v>
          </cell>
          <cell r="M8" t="str">
            <v>3.33</v>
          </cell>
          <cell r="N8">
            <v>113.8</v>
          </cell>
          <cell r="O8">
            <v>122.67</v>
          </cell>
          <cell r="P8">
            <v>114.73</v>
          </cell>
          <cell r="Q8">
            <v>58.53</v>
          </cell>
          <cell r="R8">
            <v>409.73</v>
          </cell>
        </row>
        <row r="9">
          <cell r="B9" t="str">
            <v>화학공학부</v>
          </cell>
          <cell r="C9">
            <v>38</v>
          </cell>
          <cell r="D9">
            <v>83</v>
          </cell>
          <cell r="E9">
            <v>2.1842105263157894</v>
          </cell>
          <cell r="F9">
            <v>38</v>
          </cell>
          <cell r="G9">
            <v>18</v>
          </cell>
          <cell r="H9">
            <v>564.70000000000005</v>
          </cell>
          <cell r="I9" t="str">
            <v>17.75</v>
          </cell>
          <cell r="J9" t="str">
            <v>3.45</v>
          </cell>
          <cell r="K9" t="str">
            <v>4.32</v>
          </cell>
          <cell r="L9">
            <v>3.84</v>
          </cell>
          <cell r="M9" t="str">
            <v>3.16</v>
          </cell>
          <cell r="N9">
            <v>115.87</v>
          </cell>
          <cell r="O9">
            <v>107.45</v>
          </cell>
          <cell r="P9">
            <v>112.76</v>
          </cell>
          <cell r="Q9">
            <v>59.7</v>
          </cell>
          <cell r="R9">
            <v>395.78</v>
          </cell>
        </row>
        <row r="10">
          <cell r="B10" t="str">
            <v>기계공학과</v>
          </cell>
          <cell r="C10">
            <v>23</v>
          </cell>
          <cell r="D10">
            <v>57</v>
          </cell>
          <cell r="E10">
            <v>2.4782608695652173</v>
          </cell>
          <cell r="F10">
            <v>23</v>
          </cell>
          <cell r="G10">
            <v>12</v>
          </cell>
          <cell r="H10">
            <v>562.16999999999996</v>
          </cell>
          <cell r="I10" t="str">
            <v>19.7</v>
          </cell>
          <cell r="J10" t="str">
            <v>3.35</v>
          </cell>
          <cell r="K10" t="str">
            <v>4.39</v>
          </cell>
          <cell r="L10">
            <v>4</v>
          </cell>
          <cell r="M10" t="str">
            <v>2.76</v>
          </cell>
          <cell r="N10">
            <v>116.22</v>
          </cell>
          <cell r="O10">
            <v>106.26</v>
          </cell>
          <cell r="P10">
            <v>110.65</v>
          </cell>
          <cell r="Q10">
            <v>61.02</v>
          </cell>
          <cell r="R10">
            <v>394.15</v>
          </cell>
        </row>
        <row r="11">
          <cell r="B11" t="str">
            <v>산업정보시스템공학과</v>
          </cell>
          <cell r="C11">
            <v>12</v>
          </cell>
          <cell r="D11">
            <v>65</v>
          </cell>
          <cell r="E11">
            <v>5.416666666666667</v>
          </cell>
          <cell r="F11">
            <v>11</v>
          </cell>
          <cell r="G11">
            <v>6</v>
          </cell>
          <cell r="H11">
            <v>558.29999999999995</v>
          </cell>
          <cell r="I11" t="str">
            <v>5.86</v>
          </cell>
          <cell r="J11" t="str">
            <v>4.45</v>
          </cell>
          <cell r="K11" t="str">
            <v>3.45</v>
          </cell>
          <cell r="L11">
            <v>4.45</v>
          </cell>
          <cell r="M11" t="str">
            <v>4.05</v>
          </cell>
          <cell r="N11">
            <v>106.82</v>
          </cell>
          <cell r="O11">
            <v>117.91</v>
          </cell>
          <cell r="P11">
            <v>106.45</v>
          </cell>
          <cell r="Q11">
            <v>55</v>
          </cell>
          <cell r="R11">
            <v>386.18</v>
          </cell>
        </row>
        <row r="12">
          <cell r="B12" t="str">
            <v>건축공학과</v>
          </cell>
          <cell r="C12">
            <v>20</v>
          </cell>
          <cell r="D12">
            <v>71</v>
          </cell>
          <cell r="E12">
            <v>3.55</v>
          </cell>
          <cell r="F12">
            <v>20</v>
          </cell>
          <cell r="G12">
            <v>11</v>
          </cell>
          <cell r="H12">
            <v>556.78</v>
          </cell>
          <cell r="I12" t="str">
            <v>19.52</v>
          </cell>
          <cell r="J12" t="str">
            <v>3.65</v>
          </cell>
          <cell r="K12" t="str">
            <v>4.6</v>
          </cell>
          <cell r="L12">
            <v>4</v>
          </cell>
          <cell r="M12" t="str">
            <v>3.13</v>
          </cell>
          <cell r="N12">
            <v>114.4</v>
          </cell>
          <cell r="O12">
            <v>105.1</v>
          </cell>
          <cell r="P12">
            <v>111.55</v>
          </cell>
          <cell r="Q12">
            <v>59.2</v>
          </cell>
          <cell r="R12">
            <v>390.25</v>
          </cell>
        </row>
        <row r="13">
          <cell r="B13" t="str">
            <v>토목공학과</v>
          </cell>
          <cell r="C13">
            <v>21</v>
          </cell>
          <cell r="D13">
            <v>52</v>
          </cell>
          <cell r="E13">
            <v>2.4761904761904763</v>
          </cell>
          <cell r="F13">
            <v>21</v>
          </cell>
          <cell r="G13">
            <v>6</v>
          </cell>
          <cell r="H13">
            <v>546.51</v>
          </cell>
          <cell r="I13" t="str">
            <v>15.83</v>
          </cell>
          <cell r="J13" t="str">
            <v>3.57</v>
          </cell>
          <cell r="K13" t="str">
            <v>5</v>
          </cell>
          <cell r="L13">
            <v>4</v>
          </cell>
          <cell r="M13" t="str">
            <v>3.62</v>
          </cell>
          <cell r="N13">
            <v>114.1</v>
          </cell>
          <cell r="O13">
            <v>99.57</v>
          </cell>
          <cell r="P13">
            <v>112.05</v>
          </cell>
          <cell r="Q13">
            <v>57.64</v>
          </cell>
          <cell r="R13">
            <v>383.35999999999996</v>
          </cell>
        </row>
        <row r="14">
          <cell r="B14" t="str">
            <v>도시공학과</v>
          </cell>
          <cell r="C14">
            <v>10</v>
          </cell>
          <cell r="D14">
            <v>86</v>
          </cell>
          <cell r="E14">
            <v>8.6</v>
          </cell>
          <cell r="F14">
            <v>9</v>
          </cell>
          <cell r="G14">
            <v>7</v>
          </cell>
          <cell r="H14">
            <v>546.08000000000004</v>
          </cell>
          <cell r="I14" t="str">
            <v>15.28</v>
          </cell>
          <cell r="J14" t="str">
            <v>3.56</v>
          </cell>
          <cell r="K14" t="str">
            <v>5.33</v>
          </cell>
          <cell r="L14">
            <v>3.78</v>
          </cell>
          <cell r="M14" t="str">
            <v>3.72</v>
          </cell>
          <cell r="N14">
            <v>114.67</v>
          </cell>
          <cell r="O14">
            <v>98.67</v>
          </cell>
          <cell r="P14">
            <v>113.22</v>
          </cell>
          <cell r="Q14">
            <v>56.61</v>
          </cell>
          <cell r="R14">
            <v>383.17</v>
          </cell>
        </row>
        <row r="15">
          <cell r="B15" t="str">
            <v>전기공학과</v>
          </cell>
          <cell r="C15">
            <v>19</v>
          </cell>
          <cell r="D15">
            <v>43</v>
          </cell>
          <cell r="E15">
            <v>2.263157894736842</v>
          </cell>
          <cell r="F15">
            <v>18</v>
          </cell>
          <cell r="G15">
            <v>9</v>
          </cell>
          <cell r="H15">
            <v>545.29</v>
          </cell>
          <cell r="I15" t="str">
            <v>21.41</v>
          </cell>
          <cell r="J15" t="str">
            <v>3.61</v>
          </cell>
          <cell r="K15" t="str">
            <v>4.83</v>
          </cell>
          <cell r="L15">
            <v>4.17</v>
          </cell>
          <cell r="M15" t="str">
            <v>3.42</v>
          </cell>
          <cell r="N15">
            <v>113.33</v>
          </cell>
          <cell r="O15">
            <v>101.61</v>
          </cell>
          <cell r="P15">
            <v>109.44</v>
          </cell>
          <cell r="Q15">
            <v>58.03</v>
          </cell>
          <cell r="R15">
            <v>382.40999999999997</v>
          </cell>
        </row>
        <row r="16">
          <cell r="B16" t="str">
            <v>자원.에너지공학과</v>
          </cell>
          <cell r="C16">
            <v>16</v>
          </cell>
          <cell r="D16">
            <v>52</v>
          </cell>
          <cell r="E16">
            <v>3.25</v>
          </cell>
          <cell r="F16">
            <v>15</v>
          </cell>
          <cell r="G16">
            <v>7</v>
          </cell>
          <cell r="H16">
            <v>540.03</v>
          </cell>
          <cell r="I16" t="str">
            <v>9.04</v>
          </cell>
          <cell r="J16" t="str">
            <v>4.07</v>
          </cell>
          <cell r="K16" t="str">
            <v>5.13</v>
          </cell>
          <cell r="L16">
            <v>3.93</v>
          </cell>
          <cell r="M16" t="str">
            <v>3.73</v>
          </cell>
          <cell r="N16">
            <v>111.27</v>
          </cell>
          <cell r="O16">
            <v>99.2</v>
          </cell>
          <cell r="P16">
            <v>112</v>
          </cell>
          <cell r="Q16">
            <v>56.1</v>
          </cell>
          <cell r="R16">
            <v>378.57000000000005</v>
          </cell>
        </row>
        <row r="17">
          <cell r="B17" t="str">
            <v>IT응용시스템공학과</v>
          </cell>
          <cell r="C17">
            <v>12</v>
          </cell>
          <cell r="D17">
            <v>37</v>
          </cell>
          <cell r="E17">
            <v>3.0833333333333335</v>
          </cell>
          <cell r="F17">
            <v>11</v>
          </cell>
          <cell r="G17">
            <v>8</v>
          </cell>
          <cell r="H17">
            <v>536.32000000000005</v>
          </cell>
          <cell r="I17" t="str">
            <v>11.04</v>
          </cell>
          <cell r="J17" t="str">
            <v>3.64</v>
          </cell>
          <cell r="K17" t="str">
            <v>5.27</v>
          </cell>
          <cell r="L17">
            <v>4.2699999999999996</v>
          </cell>
          <cell r="M17" t="str">
            <v>3.77</v>
          </cell>
          <cell r="N17">
            <v>114.55</v>
          </cell>
          <cell r="O17">
            <v>97.45</v>
          </cell>
          <cell r="P17">
            <v>108.91</v>
          </cell>
          <cell r="Q17">
            <v>55.73</v>
          </cell>
          <cell r="R17">
            <v>376.64</v>
          </cell>
        </row>
        <row r="18">
          <cell r="B18" t="str">
            <v>신소재공학부(전자재료공학)</v>
          </cell>
          <cell r="C18">
            <v>18</v>
          </cell>
          <cell r="D18">
            <v>54</v>
          </cell>
          <cell r="E18">
            <v>3</v>
          </cell>
          <cell r="F18">
            <v>18</v>
          </cell>
          <cell r="G18">
            <v>20</v>
          </cell>
          <cell r="H18">
            <v>535.58000000000004</v>
          </cell>
          <cell r="I18" t="str">
            <v>16.37</v>
          </cell>
          <cell r="J18" t="str">
            <v>3.72</v>
          </cell>
          <cell r="K18" t="str">
            <v>5</v>
          </cell>
          <cell r="L18">
            <v>4.6100000000000003</v>
          </cell>
          <cell r="M18" t="str">
            <v>3.19</v>
          </cell>
          <cell r="N18">
            <v>113</v>
          </cell>
          <cell r="O18">
            <v>100.39</v>
          </cell>
          <cell r="P18">
            <v>103.44</v>
          </cell>
          <cell r="Q18">
            <v>59.06</v>
          </cell>
          <cell r="R18">
            <v>375.89</v>
          </cell>
        </row>
        <row r="19">
          <cell r="B19" t="str">
            <v>유기소재파이버공학과</v>
          </cell>
          <cell r="C19">
            <v>14</v>
          </cell>
          <cell r="D19">
            <v>76</v>
          </cell>
          <cell r="E19">
            <v>5.4285714285714288</v>
          </cell>
          <cell r="F19">
            <v>14</v>
          </cell>
          <cell r="G19">
            <v>5</v>
          </cell>
          <cell r="H19">
            <v>534.20000000000005</v>
          </cell>
          <cell r="I19" t="str">
            <v>7.53</v>
          </cell>
          <cell r="J19" t="str">
            <v>4.29</v>
          </cell>
          <cell r="K19" t="str">
            <v>5.21</v>
          </cell>
          <cell r="L19">
            <v>4.21</v>
          </cell>
          <cell r="M19" t="str">
            <v>3.57</v>
          </cell>
          <cell r="N19">
            <v>109.36</v>
          </cell>
          <cell r="O19">
            <v>97.93</v>
          </cell>
          <cell r="P19">
            <v>110.07</v>
          </cell>
          <cell r="Q19">
            <v>57</v>
          </cell>
          <cell r="R19">
            <v>374.36</v>
          </cell>
        </row>
        <row r="20">
          <cell r="B20" t="str">
            <v>신소재공학부(금속시스템공학)</v>
          </cell>
          <cell r="C20">
            <v>16</v>
          </cell>
          <cell r="D20">
            <v>41</v>
          </cell>
          <cell r="E20">
            <v>2.5625</v>
          </cell>
          <cell r="F20">
            <v>14</v>
          </cell>
          <cell r="G20">
            <v>12</v>
          </cell>
          <cell r="H20">
            <v>533.67999999999995</v>
          </cell>
          <cell r="I20" t="str">
            <v>11.77</v>
          </cell>
          <cell r="J20" t="str">
            <v>4.43</v>
          </cell>
          <cell r="K20" t="str">
            <v>4.71</v>
          </cell>
          <cell r="L20">
            <v>4.6399999999999997</v>
          </cell>
          <cell r="M20" t="str">
            <v>3.25</v>
          </cell>
          <cell r="N20">
            <v>107.36</v>
          </cell>
          <cell r="O20">
            <v>103.14</v>
          </cell>
          <cell r="P20">
            <v>104.43</v>
          </cell>
          <cell r="Q20">
            <v>58.75</v>
          </cell>
          <cell r="R20">
            <v>373.68</v>
          </cell>
        </row>
        <row r="21">
          <cell r="B21" t="str">
            <v>환경공학과</v>
          </cell>
          <cell r="C21">
            <v>17</v>
          </cell>
          <cell r="D21">
            <v>47</v>
          </cell>
          <cell r="E21">
            <v>2.7647058823529411</v>
          </cell>
          <cell r="F21">
            <v>17</v>
          </cell>
          <cell r="G21">
            <v>8</v>
          </cell>
          <cell r="H21">
            <v>533.37</v>
          </cell>
          <cell r="I21" t="str">
            <v>9.18</v>
          </cell>
          <cell r="J21" t="str">
            <v>4.12</v>
          </cell>
          <cell r="K21" t="str">
            <v>5.24</v>
          </cell>
          <cell r="L21">
            <v>4.41</v>
          </cell>
          <cell r="M21" t="str">
            <v>3.26</v>
          </cell>
          <cell r="N21">
            <v>110</v>
          </cell>
          <cell r="O21">
            <v>97.53</v>
          </cell>
          <cell r="P21">
            <v>107.65</v>
          </cell>
          <cell r="Q21">
            <v>58.74</v>
          </cell>
          <cell r="R21">
            <v>373.92</v>
          </cell>
        </row>
        <row r="22">
          <cell r="B22" t="str">
            <v>컴퓨터공학부</v>
          </cell>
          <cell r="C22">
            <v>36</v>
          </cell>
          <cell r="D22">
            <v>130</v>
          </cell>
          <cell r="E22">
            <v>3.6111111111111112</v>
          </cell>
          <cell r="F22">
            <v>36</v>
          </cell>
          <cell r="G22">
            <v>19</v>
          </cell>
          <cell r="H22">
            <v>532.41999999999996</v>
          </cell>
          <cell r="I22" t="str">
            <v>14.97</v>
          </cell>
          <cell r="J22" t="str">
            <v>3.89</v>
          </cell>
          <cell r="K22" t="str">
            <v>5.14</v>
          </cell>
          <cell r="L22">
            <v>4.4400000000000004</v>
          </cell>
          <cell r="M22" t="str">
            <v>3.9</v>
          </cell>
          <cell r="N22">
            <v>111.56</v>
          </cell>
          <cell r="O22">
            <v>99.69</v>
          </cell>
          <cell r="P22">
            <v>106.61</v>
          </cell>
          <cell r="Q22">
            <v>55.68</v>
          </cell>
          <cell r="R22">
            <v>373.54</v>
          </cell>
        </row>
        <row r="23">
          <cell r="B23" t="str">
            <v>전자공학부</v>
          </cell>
          <cell r="C23">
            <v>55</v>
          </cell>
          <cell r="D23">
            <v>153</v>
          </cell>
          <cell r="E23">
            <v>2.7818181818181817</v>
          </cell>
          <cell r="F23">
            <v>54</v>
          </cell>
          <cell r="G23">
            <v>37</v>
          </cell>
          <cell r="H23">
            <v>532.19000000000005</v>
          </cell>
          <cell r="I23" t="str">
            <v>19.9</v>
          </cell>
          <cell r="J23" t="str">
            <v>4.19</v>
          </cell>
          <cell r="K23" t="str">
            <v>5.04</v>
          </cell>
          <cell r="L23">
            <v>4.5199999999999996</v>
          </cell>
          <cell r="M23" t="str">
            <v>3.57</v>
          </cell>
          <cell r="N23">
            <v>109.46</v>
          </cell>
          <cell r="O23">
            <v>100.22</v>
          </cell>
          <cell r="P23">
            <v>106.24</v>
          </cell>
          <cell r="Q23">
            <v>57.11</v>
          </cell>
          <cell r="R23">
            <v>373.03000000000003</v>
          </cell>
        </row>
        <row r="24">
          <cell r="B24" t="str">
            <v>바이오메디컬공학부</v>
          </cell>
          <cell r="C24">
            <v>13</v>
          </cell>
          <cell r="D24">
            <v>40</v>
          </cell>
          <cell r="E24">
            <v>3.0769230769230771</v>
          </cell>
          <cell r="F24">
            <v>12</v>
          </cell>
          <cell r="G24">
            <v>13</v>
          </cell>
          <cell r="H24">
            <v>531.94000000000005</v>
          </cell>
          <cell r="I24" t="str">
            <v>20.22</v>
          </cell>
          <cell r="J24" t="str">
            <v>4.58</v>
          </cell>
          <cell r="K24" t="str">
            <v>4.92</v>
          </cell>
          <cell r="L24">
            <v>4.17</v>
          </cell>
          <cell r="M24" t="str">
            <v>4</v>
          </cell>
          <cell r="N24">
            <v>105.5</v>
          </cell>
          <cell r="O24">
            <v>101.58</v>
          </cell>
          <cell r="P24">
            <v>109.58</v>
          </cell>
          <cell r="Q24">
            <v>55.54</v>
          </cell>
          <cell r="R24">
            <v>372.2</v>
          </cell>
        </row>
        <row r="25">
          <cell r="B25" t="str">
            <v>기계시스템공학부</v>
          </cell>
          <cell r="C25">
            <v>27</v>
          </cell>
          <cell r="D25">
            <v>62</v>
          </cell>
          <cell r="E25">
            <v>2.2962962962962963</v>
          </cell>
          <cell r="F25">
            <v>25</v>
          </cell>
          <cell r="G25">
            <v>12</v>
          </cell>
          <cell r="H25">
            <v>526.92999999999995</v>
          </cell>
          <cell r="I25" t="str">
            <v>15.76</v>
          </cell>
          <cell r="J25" t="str">
            <v>4.2</v>
          </cell>
          <cell r="K25" t="str">
            <v>5.12</v>
          </cell>
          <cell r="L25">
            <v>4.5199999999999996</v>
          </cell>
          <cell r="M25" t="str">
            <v>3.8</v>
          </cell>
          <cell r="N25">
            <v>108.68</v>
          </cell>
          <cell r="O25">
            <v>98.52</v>
          </cell>
          <cell r="P25">
            <v>105.88</v>
          </cell>
          <cell r="Q25">
            <v>56.32</v>
          </cell>
          <cell r="R25">
            <v>369.4</v>
          </cell>
        </row>
        <row r="26">
          <cell r="B26" t="str">
            <v>신소재공학부(정보소재공학)</v>
          </cell>
          <cell r="C26">
            <v>19</v>
          </cell>
          <cell r="D26">
            <v>51</v>
          </cell>
          <cell r="E26">
            <v>2.6842105263157894</v>
          </cell>
          <cell r="F26">
            <v>19</v>
          </cell>
          <cell r="G26">
            <v>7</v>
          </cell>
          <cell r="H26">
            <v>524.08000000000004</v>
          </cell>
          <cell r="I26" t="str">
            <v>20.17</v>
          </cell>
          <cell r="J26" t="str">
            <v>4.53</v>
          </cell>
          <cell r="K26" t="str">
            <v>5.37</v>
          </cell>
          <cell r="L26">
            <v>4.42</v>
          </cell>
          <cell r="M26" t="str">
            <v>3.89</v>
          </cell>
          <cell r="N26">
            <v>107.89</v>
          </cell>
          <cell r="O26">
            <v>97.42</v>
          </cell>
          <cell r="P26">
            <v>106.37</v>
          </cell>
          <cell r="Q26">
            <v>55.68</v>
          </cell>
          <cell r="R26">
            <v>367.36</v>
          </cell>
        </row>
        <row r="27">
          <cell r="B27" t="str">
            <v>사회기반공학과</v>
          </cell>
          <cell r="C27">
            <v>7</v>
          </cell>
          <cell r="D27">
            <v>24</v>
          </cell>
          <cell r="E27">
            <v>3.4285714285714284</v>
          </cell>
          <cell r="F27">
            <v>7</v>
          </cell>
          <cell r="G27">
            <v>6</v>
          </cell>
          <cell r="H27">
            <v>516.96</v>
          </cell>
          <cell r="I27" t="str">
            <v>9.99</v>
          </cell>
          <cell r="J27" t="str">
            <v>4.71</v>
          </cell>
          <cell r="K27" t="str">
            <v>4.86</v>
          </cell>
          <cell r="L27">
            <v>5.14</v>
          </cell>
          <cell r="M27" t="str">
            <v>3.93</v>
          </cell>
          <cell r="N27">
            <v>103.71</v>
          </cell>
          <cell r="O27">
            <v>102.14</v>
          </cell>
          <cell r="P27">
            <v>100.14</v>
          </cell>
          <cell r="Q27">
            <v>55.93</v>
          </cell>
          <cell r="R27">
            <v>361.92</v>
          </cell>
        </row>
        <row r="28">
          <cell r="B28" t="str">
            <v>기계설계공학부(기계설계공학)</v>
          </cell>
          <cell r="C28">
            <v>35</v>
          </cell>
          <cell r="D28">
            <v>78</v>
          </cell>
          <cell r="E28">
            <v>2.2285714285714286</v>
          </cell>
          <cell r="F28">
            <v>34</v>
          </cell>
          <cell r="G28">
            <v>7</v>
          </cell>
          <cell r="H28">
            <v>514.20000000000005</v>
          </cell>
          <cell r="I28" t="str">
            <v>18.81</v>
          </cell>
          <cell r="J28" t="str">
            <v>4.62</v>
          </cell>
          <cell r="K28" t="str">
            <v>5.38</v>
          </cell>
          <cell r="L28">
            <v>4.6500000000000004</v>
          </cell>
          <cell r="M28" t="str">
            <v>3.81</v>
          </cell>
          <cell r="N28">
            <v>106.03</v>
          </cell>
          <cell r="O28">
            <v>95</v>
          </cell>
          <cell r="P28">
            <v>103.85</v>
          </cell>
          <cell r="Q28">
            <v>55.59</v>
          </cell>
          <cell r="R28">
            <v>360.47</v>
          </cell>
        </row>
        <row r="29">
          <cell r="B29" t="str">
            <v>IT정보공학부(소프트웨어공학)</v>
          </cell>
          <cell r="C29">
            <v>13</v>
          </cell>
          <cell r="D29">
            <v>32</v>
          </cell>
          <cell r="E29">
            <v>2.4615384615384617</v>
          </cell>
          <cell r="F29">
            <v>13</v>
          </cell>
          <cell r="G29">
            <v>4</v>
          </cell>
          <cell r="H29">
            <v>511.54</v>
          </cell>
          <cell r="I29" t="str">
            <v>25.73</v>
          </cell>
          <cell r="J29" t="str">
            <v>4.38</v>
          </cell>
          <cell r="K29" t="str">
            <v>5.85</v>
          </cell>
          <cell r="L29">
            <v>4.46</v>
          </cell>
          <cell r="M29" t="str">
            <v>4.27</v>
          </cell>
          <cell r="N29">
            <v>107.62</v>
          </cell>
          <cell r="O29">
            <v>91</v>
          </cell>
          <cell r="P29">
            <v>106.31</v>
          </cell>
          <cell r="Q29">
            <v>54.04</v>
          </cell>
          <cell r="R29">
            <v>358.97</v>
          </cell>
        </row>
        <row r="30">
          <cell r="B30" t="str">
            <v>항공우주공학과</v>
          </cell>
          <cell r="C30">
            <v>16</v>
          </cell>
          <cell r="D30">
            <v>35</v>
          </cell>
          <cell r="E30">
            <v>2.1875</v>
          </cell>
          <cell r="F30">
            <v>16</v>
          </cell>
          <cell r="G30">
            <v>14</v>
          </cell>
          <cell r="H30">
            <v>511.44</v>
          </cell>
          <cell r="I30" t="str">
            <v>37.87</v>
          </cell>
          <cell r="J30" t="str">
            <v>4.38</v>
          </cell>
          <cell r="K30" t="str">
            <v>5.38</v>
          </cell>
          <cell r="L30">
            <v>4.75</v>
          </cell>
          <cell r="M30" t="str">
            <v>4</v>
          </cell>
          <cell r="N30">
            <v>107.69</v>
          </cell>
          <cell r="O30">
            <v>95.25</v>
          </cell>
          <cell r="P30">
            <v>101.38</v>
          </cell>
          <cell r="Q30">
            <v>54.59</v>
          </cell>
          <cell r="R30">
            <v>358.90999999999997</v>
          </cell>
        </row>
        <row r="31">
          <cell r="B31" t="str">
            <v>IT정보공학부(컴퓨터시스템공학)</v>
          </cell>
          <cell r="C31">
            <v>18</v>
          </cell>
          <cell r="D31">
            <v>48</v>
          </cell>
          <cell r="E31">
            <v>2.6666666666666665</v>
          </cell>
          <cell r="F31">
            <v>18</v>
          </cell>
          <cell r="G31">
            <v>8</v>
          </cell>
          <cell r="H31">
            <v>502.81</v>
          </cell>
          <cell r="I31" t="str">
            <v>13.74</v>
          </cell>
          <cell r="J31" t="str">
            <v>4.61</v>
          </cell>
          <cell r="K31" t="str">
            <v>5.61</v>
          </cell>
          <cell r="L31">
            <v>4.83</v>
          </cell>
          <cell r="M31" t="str">
            <v>4.31</v>
          </cell>
          <cell r="N31">
            <v>105.11</v>
          </cell>
          <cell r="O31">
            <v>92.72</v>
          </cell>
          <cell r="P31">
            <v>102</v>
          </cell>
          <cell r="Q31">
            <v>52.89</v>
          </cell>
          <cell r="R31">
            <v>352.71999999999997</v>
          </cell>
        </row>
        <row r="32">
          <cell r="B32" t="str">
            <v>식품공학과</v>
          </cell>
          <cell r="C32">
            <v>13</v>
          </cell>
          <cell r="D32">
            <v>129</v>
          </cell>
          <cell r="E32">
            <v>9.9230769230769234</v>
          </cell>
          <cell r="F32">
            <v>7</v>
          </cell>
          <cell r="G32">
            <v>9</v>
          </cell>
          <cell r="H32">
            <v>584.37</v>
          </cell>
          <cell r="I32" t="str">
            <v>5.16</v>
          </cell>
          <cell r="J32" t="str">
            <v>3.86</v>
          </cell>
          <cell r="K32" t="str">
            <v>3.14</v>
          </cell>
          <cell r="L32">
            <v>4.1399999999999997</v>
          </cell>
          <cell r="M32" t="str">
            <v>3.64</v>
          </cell>
          <cell r="N32">
            <v>112</v>
          </cell>
          <cell r="O32">
            <v>121.71</v>
          </cell>
          <cell r="P32">
            <v>109.71</v>
          </cell>
          <cell r="Q32">
            <v>56.71</v>
          </cell>
          <cell r="R32">
            <v>400.12999999999994</v>
          </cell>
        </row>
        <row r="33">
          <cell r="B33" t="str">
            <v>조경학과</v>
          </cell>
          <cell r="C33">
            <v>10</v>
          </cell>
          <cell r="D33">
            <v>62</v>
          </cell>
          <cell r="E33">
            <v>6.2</v>
          </cell>
          <cell r="F33">
            <v>10</v>
          </cell>
          <cell r="G33">
            <v>8</v>
          </cell>
          <cell r="H33">
            <v>582.36</v>
          </cell>
          <cell r="I33" t="str">
            <v>15.61</v>
          </cell>
          <cell r="J33" t="str">
            <v>3.6</v>
          </cell>
          <cell r="K33" t="str">
            <v>3.3</v>
          </cell>
          <cell r="L33">
            <v>4</v>
          </cell>
          <cell r="M33" t="str">
            <v>3.65</v>
          </cell>
          <cell r="N33">
            <v>112.1</v>
          </cell>
          <cell r="O33">
            <v>117.1</v>
          </cell>
          <cell r="P33">
            <v>112.3</v>
          </cell>
          <cell r="Q33">
            <v>57.15</v>
          </cell>
          <cell r="R33">
            <v>398.65</v>
          </cell>
        </row>
        <row r="34">
          <cell r="B34" t="str">
            <v>농업경제학과</v>
          </cell>
          <cell r="C34">
            <v>13</v>
          </cell>
          <cell r="D34">
            <v>58</v>
          </cell>
          <cell r="E34">
            <v>4.4615384615384617</v>
          </cell>
          <cell r="F34">
            <v>10</v>
          </cell>
          <cell r="G34">
            <v>11</v>
          </cell>
          <cell r="H34">
            <v>582.04999999999995</v>
          </cell>
          <cell r="I34" t="str">
            <v>9.42</v>
          </cell>
          <cell r="J34" t="str">
            <v>3.5</v>
          </cell>
          <cell r="K34" t="str">
            <v>3.2</v>
          </cell>
          <cell r="L34">
            <v>3.9</v>
          </cell>
          <cell r="M34" t="str">
            <v>2.95</v>
          </cell>
          <cell r="N34">
            <v>114.4</v>
          </cell>
          <cell r="O34">
            <v>120.4</v>
          </cell>
          <cell r="P34">
            <v>112.8</v>
          </cell>
          <cell r="Q34">
            <v>60.5</v>
          </cell>
          <cell r="R34">
            <v>408.1</v>
          </cell>
        </row>
        <row r="35">
          <cell r="B35" t="str">
            <v>산림환경과학과</v>
          </cell>
          <cell r="C35">
            <v>15</v>
          </cell>
          <cell r="D35">
            <v>114</v>
          </cell>
          <cell r="E35">
            <v>7.6</v>
          </cell>
          <cell r="F35">
            <v>15</v>
          </cell>
          <cell r="G35">
            <v>8</v>
          </cell>
          <cell r="H35">
            <v>575.09</v>
          </cell>
          <cell r="I35" t="str">
            <v>12.21</v>
          </cell>
          <cell r="J35" t="str">
            <v>3.73</v>
          </cell>
          <cell r="K35" t="str">
            <v>3.27</v>
          </cell>
          <cell r="L35">
            <v>4.2699999999999996</v>
          </cell>
          <cell r="M35" t="str">
            <v>3.5</v>
          </cell>
          <cell r="N35">
            <v>113.73</v>
          </cell>
          <cell r="O35">
            <v>118.93</v>
          </cell>
          <cell r="P35">
            <v>108</v>
          </cell>
          <cell r="Q35">
            <v>57.2</v>
          </cell>
          <cell r="R35">
            <v>397.86</v>
          </cell>
        </row>
        <row r="36">
          <cell r="B36" t="str">
            <v>동물생명공학과</v>
          </cell>
          <cell r="C36">
            <v>15</v>
          </cell>
          <cell r="D36">
            <v>97</v>
          </cell>
          <cell r="E36">
            <v>6.4666666666666668</v>
          </cell>
          <cell r="F36">
            <v>14</v>
          </cell>
          <cell r="G36">
            <v>8</v>
          </cell>
          <cell r="H36">
            <v>563.89</v>
          </cell>
          <cell r="I36" t="str">
            <v>9.88</v>
          </cell>
          <cell r="J36" t="str">
            <v>4.07</v>
          </cell>
          <cell r="K36" t="str">
            <v>3.79</v>
          </cell>
          <cell r="L36">
            <v>4.57</v>
          </cell>
          <cell r="M36" t="str">
            <v>3.32</v>
          </cell>
          <cell r="N36">
            <v>111.71</v>
          </cell>
          <cell r="O36">
            <v>114.5</v>
          </cell>
          <cell r="P36">
            <v>105.21</v>
          </cell>
          <cell r="Q36">
            <v>58.86</v>
          </cell>
          <cell r="R36">
            <v>390.28</v>
          </cell>
        </row>
        <row r="37">
          <cell r="B37" t="str">
            <v>생물환경화학과</v>
          </cell>
          <cell r="C37">
            <v>11</v>
          </cell>
          <cell r="D37">
            <v>62</v>
          </cell>
          <cell r="E37">
            <v>5.6363636363636367</v>
          </cell>
          <cell r="F37">
            <v>11</v>
          </cell>
          <cell r="G37">
            <v>21</v>
          </cell>
          <cell r="H37">
            <v>562.64</v>
          </cell>
          <cell r="I37" t="str">
            <v>14.05</v>
          </cell>
          <cell r="J37" t="str">
            <v>4.09</v>
          </cell>
          <cell r="K37" t="str">
            <v>4.45</v>
          </cell>
          <cell r="L37">
            <v>4.18</v>
          </cell>
          <cell r="M37" t="str">
            <v>3.14</v>
          </cell>
          <cell r="N37">
            <v>110.45</v>
          </cell>
          <cell r="O37">
            <v>107</v>
          </cell>
          <cell r="P37">
            <v>108.27</v>
          </cell>
          <cell r="Q37">
            <v>59.41</v>
          </cell>
          <cell r="R37">
            <v>385.13</v>
          </cell>
        </row>
        <row r="38">
          <cell r="B38" t="str">
            <v>원예학과</v>
          </cell>
          <cell r="C38">
            <v>11</v>
          </cell>
          <cell r="D38">
            <v>186</v>
          </cell>
          <cell r="E38">
            <v>16.90909090909091</v>
          </cell>
          <cell r="F38">
            <v>11</v>
          </cell>
          <cell r="G38">
            <v>7</v>
          </cell>
          <cell r="H38">
            <v>558.76</v>
          </cell>
          <cell r="I38" t="str">
            <v>3.79</v>
          </cell>
          <cell r="J38" t="str">
            <v>4.55</v>
          </cell>
          <cell r="K38" t="str">
            <v>4</v>
          </cell>
          <cell r="L38">
            <v>4.09</v>
          </cell>
          <cell r="M38" t="str">
            <v>3.59</v>
          </cell>
          <cell r="N38">
            <v>108.27</v>
          </cell>
          <cell r="O38">
            <v>112.09</v>
          </cell>
          <cell r="P38">
            <v>110.91</v>
          </cell>
          <cell r="Q38">
            <v>57.86</v>
          </cell>
          <cell r="R38">
            <v>389.13</v>
          </cell>
        </row>
        <row r="39">
          <cell r="B39" t="str">
            <v>동물소재공학과</v>
          </cell>
          <cell r="C39">
            <v>13</v>
          </cell>
          <cell r="D39">
            <v>76</v>
          </cell>
          <cell r="E39">
            <v>5.8461538461538458</v>
          </cell>
          <cell r="F39">
            <v>12</v>
          </cell>
          <cell r="G39">
            <v>3</v>
          </cell>
          <cell r="H39">
            <v>556.4</v>
          </cell>
          <cell r="I39" t="str">
            <v>11.17</v>
          </cell>
          <cell r="J39" t="str">
            <v>4.17</v>
          </cell>
          <cell r="K39" t="str">
            <v>4</v>
          </cell>
          <cell r="L39">
            <v>4.25</v>
          </cell>
          <cell r="M39" t="str">
            <v>3.71</v>
          </cell>
          <cell r="N39">
            <v>110</v>
          </cell>
          <cell r="O39">
            <v>112.42</v>
          </cell>
          <cell r="P39">
            <v>108</v>
          </cell>
          <cell r="Q39">
            <v>56.71</v>
          </cell>
          <cell r="R39">
            <v>387.13</v>
          </cell>
        </row>
        <row r="40">
          <cell r="B40" t="str">
            <v>작물생명과학과</v>
          </cell>
          <cell r="C40">
            <v>12</v>
          </cell>
          <cell r="D40">
            <v>52</v>
          </cell>
          <cell r="E40">
            <v>4.333333333333333</v>
          </cell>
          <cell r="F40">
            <v>12</v>
          </cell>
          <cell r="G40">
            <v>7</v>
          </cell>
          <cell r="H40">
            <v>531.65</v>
          </cell>
          <cell r="I40" t="str">
            <v>30.48</v>
          </cell>
          <cell r="J40" t="str">
            <v>4.08</v>
          </cell>
          <cell r="K40" t="str">
            <v>5.25</v>
          </cell>
          <cell r="L40">
            <v>4.5</v>
          </cell>
          <cell r="M40" t="str">
            <v>3.63</v>
          </cell>
          <cell r="N40">
            <v>111.67</v>
          </cell>
          <cell r="O40">
            <v>97.5</v>
          </cell>
          <cell r="P40">
            <v>106.58</v>
          </cell>
          <cell r="Q40">
            <v>57.29</v>
          </cell>
          <cell r="R40">
            <v>373.04</v>
          </cell>
        </row>
        <row r="41">
          <cell r="B41" t="str">
            <v>농생물학과</v>
          </cell>
          <cell r="C41">
            <v>12</v>
          </cell>
          <cell r="D41">
            <v>58</v>
          </cell>
          <cell r="E41">
            <v>4.833333333333333</v>
          </cell>
          <cell r="F41">
            <v>12</v>
          </cell>
          <cell r="G41">
            <v>3</v>
          </cell>
          <cell r="H41">
            <v>531.33000000000004</v>
          </cell>
          <cell r="I41" t="str">
            <v>7.4</v>
          </cell>
          <cell r="J41" t="str">
            <v>3.75</v>
          </cell>
          <cell r="K41" t="str">
            <v>5.33</v>
          </cell>
          <cell r="L41">
            <v>4.42</v>
          </cell>
          <cell r="M41" t="str">
            <v>3.88</v>
          </cell>
          <cell r="N41">
            <v>113.67</v>
          </cell>
          <cell r="O41">
            <v>97.58</v>
          </cell>
          <cell r="P41">
            <v>106.75</v>
          </cell>
          <cell r="Q41">
            <v>55.17</v>
          </cell>
          <cell r="R41">
            <v>373.17</v>
          </cell>
        </row>
        <row r="42">
          <cell r="B42" t="str">
            <v>생물산업기계공학과</v>
          </cell>
          <cell r="C42">
            <v>13</v>
          </cell>
          <cell r="D42">
            <v>51</v>
          </cell>
          <cell r="E42">
            <v>3.9230769230769229</v>
          </cell>
          <cell r="F42">
            <v>13</v>
          </cell>
          <cell r="G42">
            <v>10</v>
          </cell>
          <cell r="H42">
            <v>505.5</v>
          </cell>
          <cell r="I42" t="str">
            <v>11.84</v>
          </cell>
          <cell r="J42" t="str">
            <v>4.62</v>
          </cell>
          <cell r="K42" t="str">
            <v>5.46</v>
          </cell>
          <cell r="L42">
            <v>4.92</v>
          </cell>
          <cell r="M42" t="str">
            <v>4.65</v>
          </cell>
          <cell r="N42">
            <v>107.31</v>
          </cell>
          <cell r="O42">
            <v>95.77</v>
          </cell>
          <cell r="P42">
            <v>100.85</v>
          </cell>
          <cell r="Q42">
            <v>50.96</v>
          </cell>
          <cell r="R42">
            <v>354.88999999999993</v>
          </cell>
        </row>
        <row r="43">
          <cell r="B43" t="str">
            <v>지역건설공학과</v>
          </cell>
          <cell r="C43">
            <v>11</v>
          </cell>
          <cell r="D43">
            <v>41</v>
          </cell>
          <cell r="E43">
            <v>3.7272727272727271</v>
          </cell>
          <cell r="F43">
            <v>11</v>
          </cell>
          <cell r="G43">
            <v>4</v>
          </cell>
          <cell r="H43">
            <v>504.82</v>
          </cell>
          <cell r="I43" t="str">
            <v>9.91</v>
          </cell>
          <cell r="J43" t="str">
            <v>4.55</v>
          </cell>
          <cell r="K43" t="str">
            <v>5.82</v>
          </cell>
          <cell r="L43">
            <v>4.7300000000000004</v>
          </cell>
          <cell r="M43" t="str">
            <v>4.73</v>
          </cell>
          <cell r="N43">
            <v>106.64</v>
          </cell>
          <cell r="O43">
            <v>90.36</v>
          </cell>
          <cell r="P43">
            <v>106.18</v>
          </cell>
          <cell r="Q43">
            <v>51.14</v>
          </cell>
          <cell r="R43">
            <v>354.32</v>
          </cell>
        </row>
        <row r="44">
          <cell r="B44" t="str">
            <v>목재응용과학과</v>
          </cell>
          <cell r="C44">
            <v>12</v>
          </cell>
          <cell r="D44">
            <v>32</v>
          </cell>
          <cell r="E44">
            <v>2.6666666666666665</v>
          </cell>
          <cell r="F44">
            <v>12</v>
          </cell>
          <cell r="G44">
            <v>5</v>
          </cell>
          <cell r="H44">
            <v>492.38</v>
          </cell>
          <cell r="I44" t="str">
            <v>16.7</v>
          </cell>
          <cell r="J44" t="str">
            <v>4.42</v>
          </cell>
          <cell r="K44" t="str">
            <v>6</v>
          </cell>
          <cell r="L44">
            <v>5.25</v>
          </cell>
          <cell r="M44" t="str">
            <v>4.38</v>
          </cell>
          <cell r="N44">
            <v>107</v>
          </cell>
          <cell r="O44">
            <v>88.42</v>
          </cell>
          <cell r="P44">
            <v>97.5</v>
          </cell>
          <cell r="Q44">
            <v>53.17</v>
          </cell>
          <cell r="R44">
            <v>346.09000000000003</v>
          </cell>
        </row>
        <row r="45">
          <cell r="B45" t="str">
            <v>영어교육과</v>
          </cell>
          <cell r="C45">
            <v>8</v>
          </cell>
          <cell r="D45">
            <v>23</v>
          </cell>
          <cell r="E45">
            <v>2.875</v>
          </cell>
          <cell r="F45">
            <v>8</v>
          </cell>
          <cell r="G45">
            <v>9</v>
          </cell>
          <cell r="H45">
            <v>641.97</v>
          </cell>
          <cell r="I45" t="str">
            <v>14.11</v>
          </cell>
          <cell r="J45" t="str">
            <v>2.13</v>
          </cell>
          <cell r="K45" t="str">
            <v>1.63</v>
          </cell>
          <cell r="L45">
            <v>1.75</v>
          </cell>
          <cell r="M45" t="str">
            <v>2.63</v>
          </cell>
          <cell r="N45">
            <v>124.75</v>
          </cell>
          <cell r="O45">
            <v>134.38</v>
          </cell>
          <cell r="P45">
            <v>129.88</v>
          </cell>
          <cell r="Q45">
            <v>61.38</v>
          </cell>
          <cell r="R45">
            <v>450.39</v>
          </cell>
        </row>
        <row r="46">
          <cell r="B46" t="str">
            <v>국어교육과</v>
          </cell>
          <cell r="C46">
            <v>7</v>
          </cell>
          <cell r="D46">
            <v>31</v>
          </cell>
          <cell r="E46">
            <v>4.4285714285714288</v>
          </cell>
          <cell r="F46">
            <v>7</v>
          </cell>
          <cell r="G46">
            <v>6</v>
          </cell>
          <cell r="H46">
            <v>638.82000000000005</v>
          </cell>
          <cell r="I46" t="str">
            <v>5.07</v>
          </cell>
          <cell r="J46" t="str">
            <v>2.14</v>
          </cell>
          <cell r="K46" t="str">
            <v>1.86</v>
          </cell>
          <cell r="L46">
            <v>2</v>
          </cell>
          <cell r="M46" t="str">
            <v>1.86</v>
          </cell>
          <cell r="N46">
            <v>123.14</v>
          </cell>
          <cell r="O46">
            <v>131.86000000000001</v>
          </cell>
          <cell r="P46">
            <v>128</v>
          </cell>
          <cell r="Q46">
            <v>64.86</v>
          </cell>
          <cell r="R46">
            <v>447.86</v>
          </cell>
        </row>
        <row r="47">
          <cell r="B47" t="str">
            <v>일반사회교육과</v>
          </cell>
          <cell r="C47">
            <v>10</v>
          </cell>
          <cell r="D47">
            <v>56</v>
          </cell>
          <cell r="E47">
            <v>5.6</v>
          </cell>
          <cell r="F47">
            <v>10</v>
          </cell>
          <cell r="G47">
            <v>7</v>
          </cell>
          <cell r="H47">
            <v>630.38</v>
          </cell>
          <cell r="I47" t="str">
            <v>6.41</v>
          </cell>
          <cell r="J47" t="str">
            <v>2.1</v>
          </cell>
          <cell r="K47" t="str">
            <v>2.2</v>
          </cell>
          <cell r="L47">
            <v>2.9</v>
          </cell>
          <cell r="M47" t="str">
            <v>1.9</v>
          </cell>
          <cell r="N47">
            <v>123.5</v>
          </cell>
          <cell r="O47">
            <v>129.30000000000001</v>
          </cell>
          <cell r="P47">
            <v>123.4</v>
          </cell>
          <cell r="Q47">
            <v>65.599999999999994</v>
          </cell>
          <cell r="R47">
            <v>441.80000000000007</v>
          </cell>
        </row>
        <row r="48">
          <cell r="B48" t="str">
            <v>교육학과</v>
          </cell>
          <cell r="C48">
            <v>7</v>
          </cell>
          <cell r="D48">
            <v>46</v>
          </cell>
          <cell r="E48">
            <v>6.5714285714285712</v>
          </cell>
          <cell r="F48">
            <v>7</v>
          </cell>
          <cell r="G48">
            <v>3</v>
          </cell>
          <cell r="H48">
            <v>620.71</v>
          </cell>
          <cell r="I48" t="str">
            <v>8.57</v>
          </cell>
          <cell r="J48" t="str">
            <v>3</v>
          </cell>
          <cell r="K48" t="str">
            <v>2.43</v>
          </cell>
          <cell r="L48">
            <v>2.4300000000000002</v>
          </cell>
          <cell r="M48" t="str">
            <v>2.29</v>
          </cell>
          <cell r="N48">
            <v>118.71</v>
          </cell>
          <cell r="O48">
            <v>127.57</v>
          </cell>
          <cell r="P48">
            <v>125.86</v>
          </cell>
          <cell r="Q48">
            <v>62.93</v>
          </cell>
          <cell r="R48">
            <v>435.07</v>
          </cell>
        </row>
        <row r="49">
          <cell r="B49" t="str">
            <v>수학교육과</v>
          </cell>
          <cell r="C49">
            <v>8</v>
          </cell>
          <cell r="D49">
            <v>25</v>
          </cell>
          <cell r="E49">
            <v>3.125</v>
          </cell>
          <cell r="F49">
            <v>8</v>
          </cell>
          <cell r="G49">
            <v>8</v>
          </cell>
          <cell r="H49">
            <v>620.5</v>
          </cell>
          <cell r="I49" t="str">
            <v>11.2</v>
          </cell>
          <cell r="J49" t="str">
            <v>2.13</v>
          </cell>
          <cell r="K49" t="str">
            <v>3</v>
          </cell>
          <cell r="L49">
            <v>2.5</v>
          </cell>
          <cell r="M49" t="str">
            <v>1.81</v>
          </cell>
          <cell r="N49">
            <v>123.88</v>
          </cell>
          <cell r="O49">
            <v>119.38</v>
          </cell>
          <cell r="P49">
            <v>125.63</v>
          </cell>
          <cell r="Q49">
            <v>65.44</v>
          </cell>
          <cell r="R49">
            <v>434.33</v>
          </cell>
        </row>
        <row r="50">
          <cell r="B50" t="str">
            <v>지리교육과</v>
          </cell>
          <cell r="C50">
            <v>4</v>
          </cell>
          <cell r="D50">
            <v>19</v>
          </cell>
          <cell r="E50">
            <v>4.75</v>
          </cell>
          <cell r="F50">
            <v>4</v>
          </cell>
          <cell r="G50">
            <v>2</v>
          </cell>
          <cell r="H50">
            <v>619.30999999999995</v>
          </cell>
          <cell r="I50" t="str">
            <v>9.23</v>
          </cell>
          <cell r="J50" t="str">
            <v>1.5</v>
          </cell>
          <cell r="K50" t="str">
            <v>3.25</v>
          </cell>
          <cell r="L50">
            <v>3.25</v>
          </cell>
          <cell r="M50" t="str">
            <v>1.75</v>
          </cell>
          <cell r="N50">
            <v>126</v>
          </cell>
          <cell r="O50">
            <v>123</v>
          </cell>
          <cell r="P50">
            <v>118.75</v>
          </cell>
          <cell r="Q50">
            <v>65.63</v>
          </cell>
          <cell r="R50">
            <v>433.38</v>
          </cell>
        </row>
        <row r="51">
          <cell r="B51" t="str">
            <v>윤리교육과</v>
          </cell>
          <cell r="C51">
            <v>6</v>
          </cell>
          <cell r="D51">
            <v>22</v>
          </cell>
          <cell r="E51">
            <v>3.6666666666666665</v>
          </cell>
          <cell r="F51">
            <v>6</v>
          </cell>
          <cell r="G51">
            <v>1</v>
          </cell>
          <cell r="H51">
            <v>618.38</v>
          </cell>
          <cell r="I51" t="str">
            <v>4.62</v>
          </cell>
          <cell r="J51" t="str">
            <v>2.17</v>
          </cell>
          <cell r="K51" t="str">
            <v>2.67</v>
          </cell>
          <cell r="L51">
            <v>3.5</v>
          </cell>
          <cell r="M51" t="str">
            <v>2.08</v>
          </cell>
          <cell r="N51">
            <v>124</v>
          </cell>
          <cell r="O51">
            <v>127</v>
          </cell>
          <cell r="P51">
            <v>117.83</v>
          </cell>
          <cell r="Q51">
            <v>64.58</v>
          </cell>
          <cell r="R51">
            <v>433.40999999999997</v>
          </cell>
        </row>
        <row r="52">
          <cell r="B52" t="str">
            <v>과학교육학부(생물교육)</v>
          </cell>
          <cell r="C52">
            <v>6</v>
          </cell>
          <cell r="D52">
            <v>16</v>
          </cell>
          <cell r="E52">
            <v>2.6666666666666665</v>
          </cell>
          <cell r="F52">
            <v>6</v>
          </cell>
          <cell r="G52">
            <v>2</v>
          </cell>
          <cell r="H52">
            <v>613</v>
          </cell>
          <cell r="I52" t="str">
            <v>5.18</v>
          </cell>
          <cell r="J52" t="str">
            <v>2</v>
          </cell>
          <cell r="K52" t="str">
            <v>3.17</v>
          </cell>
          <cell r="L52">
            <v>2.83</v>
          </cell>
          <cell r="M52" t="str">
            <v>2.17</v>
          </cell>
          <cell r="N52">
            <v>124</v>
          </cell>
          <cell r="O52">
            <v>118.67</v>
          </cell>
          <cell r="P52">
            <v>123</v>
          </cell>
          <cell r="Q52">
            <v>63.67</v>
          </cell>
          <cell r="R52">
            <v>429.34000000000003</v>
          </cell>
        </row>
        <row r="53">
          <cell r="B53" t="str">
            <v>과학교육학부(물리교육)</v>
          </cell>
          <cell r="C53">
            <v>6</v>
          </cell>
          <cell r="D53">
            <v>15</v>
          </cell>
          <cell r="E53">
            <v>2.5</v>
          </cell>
          <cell r="F53">
            <v>6</v>
          </cell>
          <cell r="G53">
            <v>3</v>
          </cell>
          <cell r="H53">
            <v>574.63</v>
          </cell>
          <cell r="I53" t="str">
            <v>14.72</v>
          </cell>
          <cell r="J53" t="str">
            <v>2.83</v>
          </cell>
          <cell r="K53" t="str">
            <v>4.33</v>
          </cell>
          <cell r="L53">
            <v>4</v>
          </cell>
          <cell r="M53" t="str">
            <v>2.42</v>
          </cell>
          <cell r="N53">
            <v>120.5</v>
          </cell>
          <cell r="O53">
            <v>107.67</v>
          </cell>
          <cell r="P53">
            <v>112.33</v>
          </cell>
          <cell r="Q53">
            <v>62.67</v>
          </cell>
          <cell r="R53">
            <v>403.17</v>
          </cell>
        </row>
        <row r="54">
          <cell r="B54" t="str">
            <v>과학교육학부(지구과학교육)</v>
          </cell>
          <cell r="C54">
            <v>6</v>
          </cell>
          <cell r="D54">
            <v>12</v>
          </cell>
          <cell r="E54">
            <v>2</v>
          </cell>
          <cell r="F54">
            <v>6</v>
          </cell>
          <cell r="G54">
            <v>1</v>
          </cell>
          <cell r="H54">
            <v>567.54</v>
          </cell>
          <cell r="I54" t="str">
            <v>25.12</v>
          </cell>
          <cell r="J54" t="str">
            <v>3.5</v>
          </cell>
          <cell r="K54" t="str">
            <v>4.67</v>
          </cell>
          <cell r="L54">
            <v>3.83</v>
          </cell>
          <cell r="M54" t="str">
            <v>2.33</v>
          </cell>
          <cell r="N54">
            <v>115.83</v>
          </cell>
          <cell r="O54">
            <v>103.83</v>
          </cell>
          <cell r="P54">
            <v>115.33</v>
          </cell>
          <cell r="Q54">
            <v>62.67</v>
          </cell>
          <cell r="R54">
            <v>397.66</v>
          </cell>
        </row>
        <row r="55">
          <cell r="B55" t="str">
            <v>과학교육학부(화학교육)</v>
          </cell>
          <cell r="C55">
            <v>6</v>
          </cell>
          <cell r="D55">
            <v>12</v>
          </cell>
          <cell r="E55">
            <v>2</v>
          </cell>
          <cell r="F55">
            <v>6</v>
          </cell>
          <cell r="G55">
            <v>6</v>
          </cell>
          <cell r="H55">
            <v>556</v>
          </cell>
          <cell r="I55" t="str">
            <v>69.28</v>
          </cell>
          <cell r="J55" t="str">
            <v>3.67</v>
          </cell>
          <cell r="K55" t="str">
            <v>4.5</v>
          </cell>
          <cell r="L55">
            <v>4</v>
          </cell>
          <cell r="M55" t="str">
            <v>3.08</v>
          </cell>
          <cell r="N55">
            <v>113</v>
          </cell>
          <cell r="O55">
            <v>104.33</v>
          </cell>
          <cell r="P55">
            <v>112.67</v>
          </cell>
          <cell r="Q55">
            <v>59.5</v>
          </cell>
          <cell r="R55">
            <v>389.5</v>
          </cell>
        </row>
        <row r="56">
          <cell r="B56" t="str">
            <v>독어교육과</v>
          </cell>
          <cell r="C56">
            <v>4</v>
          </cell>
          <cell r="D56">
            <v>15</v>
          </cell>
          <cell r="E56">
            <v>3.75</v>
          </cell>
          <cell r="F56">
            <v>4</v>
          </cell>
          <cell r="G56">
            <v>3</v>
          </cell>
          <cell r="H56">
            <v>549.44000000000005</v>
          </cell>
          <cell r="I56" t="str">
            <v>22.89</v>
          </cell>
          <cell r="J56" t="str">
            <v>5</v>
          </cell>
          <cell r="K56" t="str">
            <v>3.75</v>
          </cell>
          <cell r="L56">
            <v>3.75</v>
          </cell>
          <cell r="M56" t="str">
            <v>3.63</v>
          </cell>
          <cell r="N56">
            <v>102.5</v>
          </cell>
          <cell r="O56">
            <v>113.75</v>
          </cell>
          <cell r="P56">
            <v>111.5</v>
          </cell>
          <cell r="Q56">
            <v>57.5</v>
          </cell>
          <cell r="R56">
            <v>385.25</v>
          </cell>
        </row>
        <row r="57">
          <cell r="B57" t="str">
            <v>행정학과</v>
          </cell>
          <cell r="C57">
            <v>19</v>
          </cell>
          <cell r="D57">
            <v>53</v>
          </cell>
          <cell r="E57">
            <v>2.7894736842105261</v>
          </cell>
          <cell r="F57">
            <v>19</v>
          </cell>
          <cell r="G57">
            <v>4</v>
          </cell>
          <cell r="H57">
            <v>620.01</v>
          </cell>
          <cell r="I57" t="str">
            <v>17.16</v>
          </cell>
          <cell r="J57" t="str">
            <v>2.84</v>
          </cell>
          <cell r="K57" t="str">
            <v>2.32</v>
          </cell>
          <cell r="L57">
            <v>2.63</v>
          </cell>
          <cell r="M57" t="str">
            <v>2.18</v>
          </cell>
          <cell r="N57">
            <v>119.74</v>
          </cell>
          <cell r="O57">
            <v>127.58</v>
          </cell>
          <cell r="P57">
            <v>123.74</v>
          </cell>
          <cell r="Q57">
            <v>63.55</v>
          </cell>
          <cell r="R57">
            <v>434.61</v>
          </cell>
        </row>
        <row r="58">
          <cell r="B58" t="str">
            <v>심리학과</v>
          </cell>
          <cell r="C58">
            <v>9</v>
          </cell>
          <cell r="D58">
            <v>39</v>
          </cell>
          <cell r="E58">
            <v>4.333333333333333</v>
          </cell>
          <cell r="F58">
            <v>9</v>
          </cell>
          <cell r="G58">
            <v>5</v>
          </cell>
          <cell r="H58">
            <v>601.25</v>
          </cell>
          <cell r="I58" t="str">
            <v>10.98</v>
          </cell>
          <cell r="J58" t="str">
            <v>3</v>
          </cell>
          <cell r="K58" t="str">
            <v>3</v>
          </cell>
          <cell r="L58">
            <v>3.44</v>
          </cell>
          <cell r="M58" t="str">
            <v>2.39</v>
          </cell>
          <cell r="N58">
            <v>119.11</v>
          </cell>
          <cell r="O58">
            <v>123.33</v>
          </cell>
          <cell r="P58">
            <v>115.89</v>
          </cell>
          <cell r="Q58">
            <v>63.06</v>
          </cell>
          <cell r="R58">
            <v>421.39</v>
          </cell>
        </row>
        <row r="59">
          <cell r="B59" t="str">
            <v>신문방송학과</v>
          </cell>
          <cell r="C59">
            <v>11</v>
          </cell>
          <cell r="D59">
            <v>32</v>
          </cell>
          <cell r="E59">
            <v>2.9090909090909092</v>
          </cell>
          <cell r="F59">
            <v>11</v>
          </cell>
          <cell r="G59">
            <v>2</v>
          </cell>
          <cell r="H59">
            <v>598.95000000000005</v>
          </cell>
          <cell r="I59" t="str">
            <v>15.77</v>
          </cell>
          <cell r="J59" t="str">
            <v>3.27</v>
          </cell>
          <cell r="K59" t="str">
            <v>2.73</v>
          </cell>
          <cell r="L59">
            <v>3.64</v>
          </cell>
          <cell r="M59" t="str">
            <v>2.86</v>
          </cell>
          <cell r="N59">
            <v>116.64</v>
          </cell>
          <cell r="O59">
            <v>127.45</v>
          </cell>
          <cell r="P59">
            <v>115.64</v>
          </cell>
          <cell r="Q59">
            <v>60.82</v>
          </cell>
          <cell r="R59">
            <v>420.55</v>
          </cell>
        </row>
        <row r="60">
          <cell r="B60" t="str">
            <v>사회복지학과</v>
          </cell>
          <cell r="C60">
            <v>12</v>
          </cell>
          <cell r="D60">
            <v>57</v>
          </cell>
          <cell r="E60">
            <v>4.75</v>
          </cell>
          <cell r="F60">
            <v>12</v>
          </cell>
          <cell r="G60">
            <v>4</v>
          </cell>
          <cell r="H60">
            <v>598.29</v>
          </cell>
          <cell r="I60" t="str">
            <v>15.24</v>
          </cell>
          <cell r="J60" t="str">
            <v>2.83</v>
          </cell>
          <cell r="K60" t="str">
            <v>3.25</v>
          </cell>
          <cell r="L60">
            <v>3.25</v>
          </cell>
          <cell r="M60" t="str">
            <v>2.42</v>
          </cell>
          <cell r="N60">
            <v>119</v>
          </cell>
          <cell r="O60">
            <v>119.08</v>
          </cell>
          <cell r="P60">
            <v>117.58</v>
          </cell>
          <cell r="Q60">
            <v>63.04</v>
          </cell>
          <cell r="R60">
            <v>418.7</v>
          </cell>
        </row>
        <row r="61">
          <cell r="B61" t="str">
            <v>정치외교학과</v>
          </cell>
          <cell r="C61">
            <v>16</v>
          </cell>
          <cell r="D61">
            <v>66</v>
          </cell>
          <cell r="E61">
            <v>4.125</v>
          </cell>
          <cell r="F61">
            <v>16</v>
          </cell>
          <cell r="G61">
            <v>12</v>
          </cell>
          <cell r="H61">
            <v>596.80999999999995</v>
          </cell>
          <cell r="I61" t="str">
            <v>10.1</v>
          </cell>
          <cell r="J61" t="str">
            <v>3.13</v>
          </cell>
          <cell r="K61" t="str">
            <v>3.13</v>
          </cell>
          <cell r="L61">
            <v>3.44</v>
          </cell>
          <cell r="M61" t="str">
            <v>2.38</v>
          </cell>
          <cell r="N61">
            <v>117.88</v>
          </cell>
          <cell r="O61">
            <v>120.75</v>
          </cell>
          <cell r="P61">
            <v>116.94</v>
          </cell>
          <cell r="Q61">
            <v>62.44</v>
          </cell>
          <cell r="R61">
            <v>418.01</v>
          </cell>
        </row>
        <row r="62">
          <cell r="B62" t="str">
            <v>사회학과</v>
          </cell>
          <cell r="C62">
            <v>11</v>
          </cell>
          <cell r="D62">
            <v>37</v>
          </cell>
          <cell r="E62">
            <v>3.3636363636363638</v>
          </cell>
          <cell r="F62">
            <v>11</v>
          </cell>
          <cell r="G62">
            <v>10</v>
          </cell>
          <cell r="H62">
            <v>589.42999999999995</v>
          </cell>
          <cell r="I62" t="str">
            <v>8.17</v>
          </cell>
          <cell r="J62" t="str">
            <v>3.73</v>
          </cell>
          <cell r="K62" t="str">
            <v>3</v>
          </cell>
          <cell r="L62">
            <v>3.36</v>
          </cell>
          <cell r="M62" t="str">
            <v>2.86</v>
          </cell>
          <cell r="N62">
            <v>114.36</v>
          </cell>
          <cell r="O62">
            <v>121.64</v>
          </cell>
          <cell r="P62">
            <v>116.36</v>
          </cell>
          <cell r="Q62">
            <v>60.86</v>
          </cell>
          <cell r="R62">
            <v>413.22</v>
          </cell>
        </row>
        <row r="63">
          <cell r="B63" t="str">
            <v>경영학부</v>
          </cell>
          <cell r="C63">
            <v>77</v>
          </cell>
          <cell r="D63">
            <v>216</v>
          </cell>
          <cell r="E63">
            <v>2.8051948051948052</v>
          </cell>
          <cell r="F63">
            <v>77</v>
          </cell>
          <cell r="G63">
            <v>34</v>
          </cell>
          <cell r="H63">
            <v>609.71</v>
          </cell>
          <cell r="I63" t="str">
            <v>9.2</v>
          </cell>
          <cell r="J63" t="str">
            <v>3.01</v>
          </cell>
          <cell r="K63" t="str">
            <v>2.68</v>
          </cell>
          <cell r="L63">
            <v>3.01</v>
          </cell>
          <cell r="M63" t="str">
            <v>2.54</v>
          </cell>
          <cell r="N63">
            <v>118.53</v>
          </cell>
          <cell r="O63">
            <v>125.58</v>
          </cell>
          <cell r="P63">
            <v>120.96</v>
          </cell>
          <cell r="Q63">
            <v>62.32</v>
          </cell>
          <cell r="R63">
            <v>427.39</v>
          </cell>
        </row>
        <row r="64">
          <cell r="B64" t="str">
            <v>경제학부</v>
          </cell>
          <cell r="C64">
            <v>26</v>
          </cell>
          <cell r="D64">
            <v>80</v>
          </cell>
          <cell r="E64">
            <v>3.0769230769230771</v>
          </cell>
          <cell r="F64">
            <v>25</v>
          </cell>
          <cell r="G64">
            <v>11</v>
          </cell>
          <cell r="H64">
            <v>600.16</v>
          </cell>
          <cell r="I64" t="str">
            <v>9.03</v>
          </cell>
          <cell r="J64" t="str">
            <v>3.2</v>
          </cell>
          <cell r="K64" t="str">
            <v>2.64</v>
          </cell>
          <cell r="L64">
            <v>3.64</v>
          </cell>
          <cell r="M64" t="str">
            <v>2.54</v>
          </cell>
          <cell r="N64">
            <v>117.4</v>
          </cell>
          <cell r="O64">
            <v>126.32</v>
          </cell>
          <cell r="P64">
            <v>115.48</v>
          </cell>
          <cell r="Q64">
            <v>61.96</v>
          </cell>
          <cell r="R64">
            <v>421.15999999999997</v>
          </cell>
        </row>
        <row r="65">
          <cell r="B65" t="str">
            <v>무역학과</v>
          </cell>
          <cell r="C65">
            <v>41</v>
          </cell>
          <cell r="D65">
            <v>124</v>
          </cell>
          <cell r="E65">
            <v>3.024390243902439</v>
          </cell>
          <cell r="F65">
            <v>42</v>
          </cell>
          <cell r="G65">
            <v>24</v>
          </cell>
          <cell r="H65">
            <v>591.61</v>
          </cell>
          <cell r="I65" t="str">
            <v>8.79</v>
          </cell>
          <cell r="J65" t="str">
            <v>3.21</v>
          </cell>
          <cell r="K65" t="str">
            <v>3.21</v>
          </cell>
          <cell r="L65">
            <v>3.62</v>
          </cell>
          <cell r="M65" t="str">
            <v>2.64</v>
          </cell>
          <cell r="N65">
            <v>117.14</v>
          </cell>
          <cell r="O65">
            <v>120.29</v>
          </cell>
          <cell r="P65">
            <v>115.38</v>
          </cell>
          <cell r="Q65">
            <v>61.64</v>
          </cell>
          <cell r="R65">
            <v>414.45</v>
          </cell>
        </row>
        <row r="66">
          <cell r="B66" t="str">
            <v>아동학과</v>
          </cell>
          <cell r="C66">
            <v>6</v>
          </cell>
          <cell r="D66">
            <v>48</v>
          </cell>
          <cell r="E66">
            <v>8</v>
          </cell>
          <cell r="F66">
            <v>6</v>
          </cell>
          <cell r="G66">
            <v>10</v>
          </cell>
          <cell r="H66">
            <v>584.13</v>
          </cell>
          <cell r="I66" t="str">
            <v>3.52</v>
          </cell>
          <cell r="J66" t="str">
            <v>3.17</v>
          </cell>
          <cell r="K66" t="str">
            <v>3.5</v>
          </cell>
          <cell r="L66">
            <v>3.5</v>
          </cell>
          <cell r="M66" t="str">
            <v>3.25</v>
          </cell>
          <cell r="N66">
            <v>117.83</v>
          </cell>
          <cell r="O66">
            <v>117</v>
          </cell>
          <cell r="P66">
            <v>115.5</v>
          </cell>
          <cell r="Q66">
            <v>58.58</v>
          </cell>
          <cell r="R66">
            <v>408.90999999999997</v>
          </cell>
        </row>
        <row r="67">
          <cell r="B67" t="str">
            <v>의류학과</v>
          </cell>
          <cell r="C67">
            <v>13</v>
          </cell>
          <cell r="D67">
            <v>138</v>
          </cell>
          <cell r="E67">
            <v>10.615384615384615</v>
          </cell>
          <cell r="F67">
            <v>12</v>
          </cell>
          <cell r="G67">
            <v>3</v>
          </cell>
          <cell r="H67">
            <v>574.25</v>
          </cell>
          <cell r="I67" t="str">
            <v>6.83</v>
          </cell>
          <cell r="J67" t="str">
            <v>3.5</v>
          </cell>
          <cell r="K67" t="str">
            <v>4.17</v>
          </cell>
          <cell r="L67">
            <v>3.58</v>
          </cell>
          <cell r="M67" t="str">
            <v>3.71</v>
          </cell>
          <cell r="N67">
            <v>115</v>
          </cell>
          <cell r="O67">
            <v>110</v>
          </cell>
          <cell r="P67">
            <v>115.25</v>
          </cell>
          <cell r="Q67">
            <v>56.71</v>
          </cell>
          <cell r="R67">
            <v>396.96</v>
          </cell>
        </row>
        <row r="68">
          <cell r="B68" t="str">
            <v>주거환경학과</v>
          </cell>
          <cell r="C68">
            <v>9</v>
          </cell>
          <cell r="D68">
            <v>50</v>
          </cell>
          <cell r="E68">
            <v>5.5555555555555554</v>
          </cell>
          <cell r="F68">
            <v>9</v>
          </cell>
          <cell r="G68">
            <v>10</v>
          </cell>
          <cell r="H68">
            <v>572.04</v>
          </cell>
          <cell r="I68" t="str">
            <v>6.24</v>
          </cell>
          <cell r="J68" t="str">
            <v>4.11</v>
          </cell>
          <cell r="K68" t="str">
            <v>3.67</v>
          </cell>
          <cell r="L68">
            <v>4.1100000000000003</v>
          </cell>
          <cell r="M68" t="str">
            <v>3.06</v>
          </cell>
          <cell r="N68">
            <v>110.44</v>
          </cell>
          <cell r="O68">
            <v>115.78</v>
          </cell>
          <cell r="P68">
            <v>110.89</v>
          </cell>
          <cell r="Q68">
            <v>59.67</v>
          </cell>
          <cell r="R68">
            <v>396.78000000000003</v>
          </cell>
        </row>
        <row r="69">
          <cell r="B69" t="str">
            <v>식품영양학과</v>
          </cell>
          <cell r="C69">
            <v>12</v>
          </cell>
          <cell r="D69">
            <v>37</v>
          </cell>
          <cell r="E69">
            <v>3.0833333333333335</v>
          </cell>
          <cell r="F69">
            <v>11</v>
          </cell>
          <cell r="G69">
            <v>6</v>
          </cell>
          <cell r="H69">
            <v>534.89</v>
          </cell>
          <cell r="I69" t="str">
            <v>24.74</v>
          </cell>
          <cell r="J69" t="str">
            <v>3.73</v>
          </cell>
          <cell r="K69" t="str">
            <v>5.27</v>
          </cell>
          <cell r="L69">
            <v>4.45</v>
          </cell>
          <cell r="M69" t="str">
            <v>3.64</v>
          </cell>
          <cell r="N69">
            <v>113.18</v>
          </cell>
          <cell r="O69">
            <v>99.09</v>
          </cell>
          <cell r="P69">
            <v>106.82</v>
          </cell>
          <cell r="Q69">
            <v>56.36</v>
          </cell>
          <cell r="R69">
            <v>375.45000000000005</v>
          </cell>
        </row>
        <row r="70">
          <cell r="B70" t="str">
            <v>영어영문학과</v>
          </cell>
          <cell r="C70">
            <v>17</v>
          </cell>
          <cell r="D70">
            <v>44</v>
          </cell>
          <cell r="E70">
            <v>2.5882352941176472</v>
          </cell>
          <cell r="F70">
            <v>17</v>
          </cell>
          <cell r="G70">
            <v>9</v>
          </cell>
          <cell r="H70">
            <v>609.54</v>
          </cell>
          <cell r="I70" t="str">
            <v>14.23</v>
          </cell>
          <cell r="J70" t="str">
            <v>3.12</v>
          </cell>
          <cell r="K70" t="str">
            <v>3.12</v>
          </cell>
          <cell r="L70">
            <v>2.4700000000000002</v>
          </cell>
          <cell r="M70" t="str">
            <v>2.56</v>
          </cell>
          <cell r="N70">
            <v>118.06</v>
          </cell>
          <cell r="O70">
            <v>120.65</v>
          </cell>
          <cell r="P70">
            <v>125.59</v>
          </cell>
          <cell r="Q70">
            <v>62.18</v>
          </cell>
          <cell r="R70">
            <v>426.48</v>
          </cell>
        </row>
        <row r="71">
          <cell r="B71" t="str">
            <v>국어국문학과</v>
          </cell>
          <cell r="C71">
            <v>14</v>
          </cell>
          <cell r="D71">
            <v>44</v>
          </cell>
          <cell r="E71">
            <v>3.1428571428571428</v>
          </cell>
          <cell r="F71">
            <v>14</v>
          </cell>
          <cell r="G71">
            <v>11</v>
          </cell>
          <cell r="H71">
            <v>598.54999999999995</v>
          </cell>
          <cell r="I71" t="str">
            <v>14.8</v>
          </cell>
          <cell r="J71" t="str">
            <v>2.79</v>
          </cell>
          <cell r="K71" t="str">
            <v>2.86</v>
          </cell>
          <cell r="L71">
            <v>3.71</v>
          </cell>
          <cell r="M71" t="str">
            <v>2.79</v>
          </cell>
          <cell r="N71">
            <v>120.29</v>
          </cell>
          <cell r="O71">
            <v>122.36</v>
          </cell>
          <cell r="P71">
            <v>115.5</v>
          </cell>
          <cell r="Q71">
            <v>61.29</v>
          </cell>
          <cell r="R71">
            <v>419.44</v>
          </cell>
        </row>
        <row r="72">
          <cell r="B72" t="str">
            <v>사학과</v>
          </cell>
          <cell r="C72">
            <v>13</v>
          </cell>
          <cell r="D72">
            <v>50</v>
          </cell>
          <cell r="E72">
            <v>3.8461538461538463</v>
          </cell>
          <cell r="F72">
            <v>13</v>
          </cell>
          <cell r="G72">
            <v>6</v>
          </cell>
          <cell r="H72">
            <v>592.58000000000004</v>
          </cell>
          <cell r="I72" t="str">
            <v>12.31</v>
          </cell>
          <cell r="J72" t="str">
            <v>2.85</v>
          </cell>
          <cell r="K72" t="str">
            <v>3.46</v>
          </cell>
          <cell r="L72">
            <v>3.77</v>
          </cell>
          <cell r="M72" t="str">
            <v>2.12</v>
          </cell>
          <cell r="N72">
            <v>119.08</v>
          </cell>
          <cell r="O72">
            <v>115.54</v>
          </cell>
          <cell r="P72">
            <v>115.23</v>
          </cell>
          <cell r="Q72">
            <v>64.459999999999994</v>
          </cell>
          <cell r="R72">
            <v>414.31</v>
          </cell>
        </row>
        <row r="73">
          <cell r="B73" t="str">
            <v>일어일문학과</v>
          </cell>
          <cell r="C73">
            <v>13</v>
          </cell>
          <cell r="D73">
            <v>53</v>
          </cell>
          <cell r="E73">
            <v>4.0769230769230766</v>
          </cell>
          <cell r="F73">
            <v>13</v>
          </cell>
          <cell r="G73">
            <v>10</v>
          </cell>
          <cell r="H73">
            <v>590.12</v>
          </cell>
          <cell r="I73" t="str">
            <v>13.08</v>
          </cell>
          <cell r="J73" t="str">
            <v>3.08</v>
          </cell>
          <cell r="K73" t="str">
            <v>3.85</v>
          </cell>
          <cell r="L73">
            <v>3.15</v>
          </cell>
          <cell r="M73" t="str">
            <v>3.15</v>
          </cell>
          <cell r="N73">
            <v>117.92</v>
          </cell>
          <cell r="O73">
            <v>114.54</v>
          </cell>
          <cell r="P73">
            <v>120.69</v>
          </cell>
          <cell r="Q73">
            <v>59.35</v>
          </cell>
          <cell r="R73">
            <v>412.5</v>
          </cell>
        </row>
        <row r="74">
          <cell r="B74" t="str">
            <v>중어중문학과</v>
          </cell>
          <cell r="C74">
            <v>18</v>
          </cell>
          <cell r="D74">
            <v>70</v>
          </cell>
          <cell r="E74">
            <v>3.8888888888888888</v>
          </cell>
          <cell r="F74">
            <v>13</v>
          </cell>
          <cell r="G74">
            <v>10</v>
          </cell>
          <cell r="H74">
            <v>588.96</v>
          </cell>
          <cell r="I74" t="str">
            <v>14.53</v>
          </cell>
          <cell r="J74" t="str">
            <v>3</v>
          </cell>
          <cell r="K74" t="str">
            <v>3.38</v>
          </cell>
          <cell r="L74">
            <v>3.38</v>
          </cell>
          <cell r="M74" t="str">
            <v>3.23</v>
          </cell>
          <cell r="N74">
            <v>118.46</v>
          </cell>
          <cell r="O74">
            <v>118</v>
          </cell>
          <cell r="P74">
            <v>117.31</v>
          </cell>
          <cell r="Q74">
            <v>58.54</v>
          </cell>
          <cell r="R74">
            <v>412.31</v>
          </cell>
        </row>
        <row r="75">
          <cell r="B75" t="str">
            <v>문헌정보학과</v>
          </cell>
          <cell r="C75">
            <v>13</v>
          </cell>
          <cell r="D75">
            <v>54</v>
          </cell>
          <cell r="E75">
            <v>4.1538461538461542</v>
          </cell>
          <cell r="F75">
            <v>12</v>
          </cell>
          <cell r="G75">
            <v>18</v>
          </cell>
          <cell r="H75">
            <v>587.94000000000005</v>
          </cell>
          <cell r="I75" t="str">
            <v>6.88</v>
          </cell>
          <cell r="J75" t="str">
            <v>2.83</v>
          </cell>
          <cell r="K75" t="str">
            <v>3.58</v>
          </cell>
          <cell r="L75">
            <v>3.67</v>
          </cell>
          <cell r="M75" t="str">
            <v>2.63</v>
          </cell>
          <cell r="N75">
            <v>118.83</v>
          </cell>
          <cell r="O75">
            <v>115.75</v>
          </cell>
          <cell r="P75">
            <v>115.42</v>
          </cell>
          <cell r="Q75">
            <v>61.25</v>
          </cell>
          <cell r="R75">
            <v>411.25</v>
          </cell>
        </row>
        <row r="76">
          <cell r="B76" t="str">
            <v>스페인.중남미어문학과</v>
          </cell>
          <cell r="C76">
            <v>13</v>
          </cell>
          <cell r="D76">
            <v>52</v>
          </cell>
          <cell r="E76">
            <v>4</v>
          </cell>
          <cell r="F76">
            <v>13</v>
          </cell>
          <cell r="G76">
            <v>8</v>
          </cell>
          <cell r="H76">
            <v>583.77</v>
          </cell>
          <cell r="I76" t="str">
            <v>8.95</v>
          </cell>
          <cell r="J76" t="str">
            <v>3.54</v>
          </cell>
          <cell r="K76" t="str">
            <v>3.62</v>
          </cell>
          <cell r="L76">
            <v>3.54</v>
          </cell>
          <cell r="M76" t="str">
            <v>2.85</v>
          </cell>
          <cell r="N76">
            <v>115.08</v>
          </cell>
          <cell r="O76">
            <v>115.92</v>
          </cell>
          <cell r="P76">
            <v>116.69</v>
          </cell>
          <cell r="Q76">
            <v>60.81</v>
          </cell>
          <cell r="R76">
            <v>408.5</v>
          </cell>
        </row>
        <row r="77">
          <cell r="B77" t="str">
            <v>고고문화인류학과</v>
          </cell>
          <cell r="C77">
            <v>8</v>
          </cell>
          <cell r="D77">
            <v>66</v>
          </cell>
          <cell r="E77">
            <v>8.25</v>
          </cell>
          <cell r="F77">
            <v>8</v>
          </cell>
          <cell r="G77">
            <v>5</v>
          </cell>
          <cell r="H77">
            <v>577.97</v>
          </cell>
          <cell r="I77" t="str">
            <v>7.02</v>
          </cell>
          <cell r="J77" t="str">
            <v>3.75</v>
          </cell>
          <cell r="K77" t="str">
            <v>3.38</v>
          </cell>
          <cell r="L77">
            <v>3.75</v>
          </cell>
          <cell r="M77" t="str">
            <v>2.94</v>
          </cell>
          <cell r="N77">
            <v>114.38</v>
          </cell>
          <cell r="O77">
            <v>116.63</v>
          </cell>
          <cell r="P77">
            <v>112.88</v>
          </cell>
          <cell r="Q77">
            <v>60.88</v>
          </cell>
          <cell r="R77">
            <v>404.77</v>
          </cell>
        </row>
        <row r="78">
          <cell r="B78" t="str">
            <v>독어독문학과</v>
          </cell>
          <cell r="C78">
            <v>13</v>
          </cell>
          <cell r="D78">
            <v>45</v>
          </cell>
          <cell r="E78">
            <v>3.4615384615384617</v>
          </cell>
          <cell r="F78">
            <v>13</v>
          </cell>
          <cell r="G78">
            <v>7</v>
          </cell>
          <cell r="H78">
            <v>569.63</v>
          </cell>
          <cell r="I78" t="str">
            <v>10.95</v>
          </cell>
          <cell r="J78" t="str">
            <v>3.69</v>
          </cell>
          <cell r="K78" t="str">
            <v>3.62</v>
          </cell>
          <cell r="L78">
            <v>4</v>
          </cell>
          <cell r="M78" t="str">
            <v>3.27</v>
          </cell>
          <cell r="N78">
            <v>113.38</v>
          </cell>
          <cell r="O78">
            <v>115.23</v>
          </cell>
          <cell r="P78">
            <v>111.92</v>
          </cell>
          <cell r="Q78">
            <v>58.42</v>
          </cell>
          <cell r="R78">
            <v>398.95000000000005</v>
          </cell>
        </row>
        <row r="79">
          <cell r="B79" t="str">
            <v>철학과</v>
          </cell>
          <cell r="C79">
            <v>11</v>
          </cell>
          <cell r="D79">
            <v>44</v>
          </cell>
          <cell r="E79">
            <v>4</v>
          </cell>
          <cell r="F79">
            <v>11</v>
          </cell>
          <cell r="G79">
            <v>4</v>
          </cell>
          <cell r="H79">
            <v>569.59</v>
          </cell>
          <cell r="I79" t="str">
            <v>7.27</v>
          </cell>
          <cell r="J79" t="str">
            <v>3.73</v>
          </cell>
          <cell r="K79" t="str">
            <v>3.45</v>
          </cell>
          <cell r="L79">
            <v>4.09</v>
          </cell>
          <cell r="M79" t="str">
            <v>3.27</v>
          </cell>
          <cell r="N79">
            <v>114</v>
          </cell>
          <cell r="O79">
            <v>116.18</v>
          </cell>
          <cell r="P79">
            <v>109.91</v>
          </cell>
          <cell r="Q79">
            <v>59</v>
          </cell>
          <cell r="R79">
            <v>399.09000000000003</v>
          </cell>
        </row>
        <row r="80">
          <cell r="B80" t="str">
            <v>프랑스학과</v>
          </cell>
          <cell r="C80">
            <v>15</v>
          </cell>
          <cell r="D80">
            <v>58</v>
          </cell>
          <cell r="E80">
            <v>3.8666666666666667</v>
          </cell>
          <cell r="F80">
            <v>14</v>
          </cell>
          <cell r="G80">
            <v>15</v>
          </cell>
          <cell r="H80">
            <v>568.41</v>
          </cell>
          <cell r="I80" t="str">
            <v>11.47</v>
          </cell>
          <cell r="J80" t="str">
            <v>3.64</v>
          </cell>
          <cell r="K80" t="str">
            <v>4</v>
          </cell>
          <cell r="L80">
            <v>3.86</v>
          </cell>
          <cell r="M80" t="str">
            <v>3.25</v>
          </cell>
          <cell r="N80">
            <v>114.57</v>
          </cell>
          <cell r="O80">
            <v>110.93</v>
          </cell>
          <cell r="P80">
            <v>113.5</v>
          </cell>
          <cell r="Q80">
            <v>58.43</v>
          </cell>
          <cell r="R80">
            <v>397.43</v>
          </cell>
        </row>
        <row r="81">
          <cell r="B81" t="str">
            <v>수의예과</v>
          </cell>
          <cell r="C81">
            <v>22</v>
          </cell>
          <cell r="D81">
            <v>60</v>
          </cell>
          <cell r="E81">
            <v>2.7272727272727271</v>
          </cell>
          <cell r="F81">
            <v>21</v>
          </cell>
          <cell r="G81">
            <v>5</v>
          </cell>
          <cell r="H81">
            <v>631.07000000000005</v>
          </cell>
          <cell r="I81" t="str">
            <v>9.29</v>
          </cell>
          <cell r="J81" t="str">
            <v>2.24</v>
          </cell>
          <cell r="K81" t="str">
            <v>2.05</v>
          </cell>
          <cell r="L81">
            <v>2</v>
          </cell>
          <cell r="M81" t="str">
            <v>2.31</v>
          </cell>
          <cell r="N81">
            <v>123.14</v>
          </cell>
          <cell r="O81">
            <v>126.43</v>
          </cell>
          <cell r="P81">
            <v>128.29</v>
          </cell>
          <cell r="Q81">
            <v>63.38</v>
          </cell>
          <cell r="R81">
            <v>441.24</v>
          </cell>
        </row>
        <row r="82">
          <cell r="B82" t="str">
            <v>생명과학과</v>
          </cell>
          <cell r="C82">
            <v>32</v>
          </cell>
          <cell r="D82">
            <v>70</v>
          </cell>
          <cell r="E82">
            <v>2.1875</v>
          </cell>
          <cell r="F82">
            <v>31</v>
          </cell>
          <cell r="G82">
            <v>10</v>
          </cell>
          <cell r="H82">
            <v>576.88</v>
          </cell>
          <cell r="I82" t="str">
            <v>32.98</v>
          </cell>
          <cell r="J82" t="str">
            <v>3.13</v>
          </cell>
          <cell r="K82" t="str">
            <v>4.26</v>
          </cell>
          <cell r="L82">
            <v>3.06</v>
          </cell>
          <cell r="M82" t="str">
            <v>2.98</v>
          </cell>
          <cell r="N82">
            <v>117.45</v>
          </cell>
          <cell r="O82">
            <v>108.23</v>
          </cell>
          <cell r="P82">
            <v>118.71</v>
          </cell>
          <cell r="Q82">
            <v>59.77</v>
          </cell>
          <cell r="R82">
            <v>404.15999999999997</v>
          </cell>
        </row>
        <row r="83">
          <cell r="B83" t="str">
            <v>수학과</v>
          </cell>
          <cell r="C83">
            <v>14</v>
          </cell>
          <cell r="D83">
            <v>32</v>
          </cell>
          <cell r="E83">
            <v>2.2857142857142856</v>
          </cell>
          <cell r="F83">
            <v>13</v>
          </cell>
          <cell r="G83">
            <v>10</v>
          </cell>
          <cell r="H83">
            <v>570.75</v>
          </cell>
          <cell r="I83" t="str">
            <v>19.67</v>
          </cell>
          <cell r="J83" t="str">
            <v>3.23</v>
          </cell>
          <cell r="K83" t="str">
            <v>3.69</v>
          </cell>
          <cell r="L83">
            <v>3.85</v>
          </cell>
          <cell r="M83" t="str">
            <v>3.38</v>
          </cell>
          <cell r="N83">
            <v>115.15</v>
          </cell>
          <cell r="O83">
            <v>113.54</v>
          </cell>
          <cell r="P83">
            <v>112.77</v>
          </cell>
          <cell r="Q83">
            <v>58.23</v>
          </cell>
          <cell r="R83">
            <v>399.69</v>
          </cell>
        </row>
        <row r="84">
          <cell r="B84" t="str">
            <v>과학학과</v>
          </cell>
          <cell r="C84">
            <v>9</v>
          </cell>
          <cell r="D84">
            <v>35</v>
          </cell>
          <cell r="E84">
            <v>3.8888888888888888</v>
          </cell>
          <cell r="F84">
            <v>9</v>
          </cell>
          <cell r="G84">
            <v>7</v>
          </cell>
          <cell r="H84">
            <v>562.79</v>
          </cell>
          <cell r="I84" t="str">
            <v>8.28</v>
          </cell>
          <cell r="J84" t="str">
            <v>4.33</v>
          </cell>
          <cell r="K84" t="str">
            <v>3.33</v>
          </cell>
          <cell r="L84">
            <v>4.1100000000000003</v>
          </cell>
          <cell r="M84" t="str">
            <v>4.17</v>
          </cell>
          <cell r="N84">
            <v>108.89</v>
          </cell>
          <cell r="O84">
            <v>120.11</v>
          </cell>
          <cell r="P84">
            <v>109.67</v>
          </cell>
          <cell r="Q84">
            <v>53.44</v>
          </cell>
          <cell r="R84">
            <v>392.11</v>
          </cell>
        </row>
        <row r="85">
          <cell r="B85" t="str">
            <v>화학과</v>
          </cell>
          <cell r="C85">
            <v>27</v>
          </cell>
          <cell r="D85">
            <v>59</v>
          </cell>
          <cell r="E85">
            <v>2.1851851851851851</v>
          </cell>
          <cell r="F85">
            <v>27</v>
          </cell>
          <cell r="G85">
            <v>21</v>
          </cell>
          <cell r="H85">
            <v>560.20000000000005</v>
          </cell>
          <cell r="I85" t="str">
            <v>27.38</v>
          </cell>
          <cell r="J85" t="str">
            <v>3.59</v>
          </cell>
          <cell r="K85" t="str">
            <v>4.63</v>
          </cell>
          <cell r="L85">
            <v>3.74</v>
          </cell>
          <cell r="M85" t="str">
            <v>3.2</v>
          </cell>
          <cell r="N85">
            <v>114.96</v>
          </cell>
          <cell r="O85">
            <v>104.93</v>
          </cell>
          <cell r="P85">
            <v>113.3</v>
          </cell>
          <cell r="Q85">
            <v>59.44</v>
          </cell>
          <cell r="R85">
            <v>392.63</v>
          </cell>
        </row>
        <row r="86">
          <cell r="B86" t="str">
            <v>통계학과</v>
          </cell>
          <cell r="C86">
            <v>13</v>
          </cell>
          <cell r="D86">
            <v>34</v>
          </cell>
          <cell r="E86">
            <v>2.6153846153846154</v>
          </cell>
          <cell r="F86">
            <v>13</v>
          </cell>
          <cell r="G86">
            <v>13</v>
          </cell>
          <cell r="H86">
            <v>557.98</v>
          </cell>
          <cell r="I86" t="str">
            <v>15.81</v>
          </cell>
          <cell r="J86" t="str">
            <v>3.23</v>
          </cell>
          <cell r="K86" t="str">
            <v>4.23</v>
          </cell>
          <cell r="L86">
            <v>4.2300000000000004</v>
          </cell>
          <cell r="M86" t="str">
            <v>3.46</v>
          </cell>
          <cell r="N86">
            <v>117.08</v>
          </cell>
          <cell r="O86">
            <v>108.23</v>
          </cell>
          <cell r="P86">
            <v>108.54</v>
          </cell>
          <cell r="Q86">
            <v>57.65</v>
          </cell>
          <cell r="R86">
            <v>391.5</v>
          </cell>
        </row>
        <row r="87">
          <cell r="B87" t="str">
            <v>지구환경과학과</v>
          </cell>
          <cell r="C87">
            <v>15</v>
          </cell>
          <cell r="D87">
            <v>66</v>
          </cell>
          <cell r="E87">
            <v>4.4000000000000004</v>
          </cell>
          <cell r="F87">
            <v>15</v>
          </cell>
          <cell r="G87">
            <v>10</v>
          </cell>
          <cell r="H87">
            <v>532.03</v>
          </cell>
          <cell r="I87" t="str">
            <v>13.69</v>
          </cell>
          <cell r="J87" t="str">
            <v>3.6</v>
          </cell>
          <cell r="K87" t="str">
            <v>5.67</v>
          </cell>
          <cell r="L87">
            <v>4.4000000000000004</v>
          </cell>
          <cell r="M87" t="str">
            <v>3.17</v>
          </cell>
          <cell r="N87">
            <v>114.07</v>
          </cell>
          <cell r="O87">
            <v>93.27</v>
          </cell>
          <cell r="P87">
            <v>107.33</v>
          </cell>
          <cell r="Q87">
            <v>59.03</v>
          </cell>
          <cell r="R87">
            <v>373.69999999999993</v>
          </cell>
        </row>
        <row r="88">
          <cell r="B88" t="str">
            <v>물리학과</v>
          </cell>
          <cell r="C88">
            <v>13</v>
          </cell>
          <cell r="D88">
            <v>34</v>
          </cell>
          <cell r="E88">
            <v>2.6153846153846154</v>
          </cell>
          <cell r="F88">
            <v>13</v>
          </cell>
          <cell r="G88">
            <v>9</v>
          </cell>
          <cell r="H88">
            <v>530.63</v>
          </cell>
          <cell r="I88" t="str">
            <v>14.67</v>
          </cell>
          <cell r="J88" t="str">
            <v>3.77</v>
          </cell>
          <cell r="K88" t="str">
            <v>5.38</v>
          </cell>
          <cell r="L88">
            <v>4.46</v>
          </cell>
          <cell r="M88" t="str">
            <v>3.81</v>
          </cell>
          <cell r="N88">
            <v>112.46</v>
          </cell>
          <cell r="O88">
            <v>98.15</v>
          </cell>
          <cell r="P88">
            <v>105.85</v>
          </cell>
          <cell r="Q88">
            <v>56.04</v>
          </cell>
          <cell r="R88">
            <v>372.50000000000006</v>
          </cell>
        </row>
        <row r="89">
          <cell r="B89" t="str">
            <v>반도체과학기술학과</v>
          </cell>
          <cell r="C89">
            <v>17</v>
          </cell>
          <cell r="D89">
            <v>51</v>
          </cell>
          <cell r="E89">
            <v>3</v>
          </cell>
          <cell r="F89">
            <v>17</v>
          </cell>
          <cell r="G89">
            <v>7</v>
          </cell>
          <cell r="H89">
            <v>527.6</v>
          </cell>
          <cell r="I89" t="str">
            <v>9.53</v>
          </cell>
          <cell r="J89" t="str">
            <v>4.41</v>
          </cell>
          <cell r="K89" t="str">
            <v>4.94</v>
          </cell>
          <cell r="L89">
            <v>4.53</v>
          </cell>
          <cell r="M89" t="str">
            <v>4.09</v>
          </cell>
          <cell r="N89">
            <v>108.71</v>
          </cell>
          <cell r="O89">
            <v>100.94</v>
          </cell>
          <cell r="P89">
            <v>105.88</v>
          </cell>
          <cell r="Q89">
            <v>54.32</v>
          </cell>
          <cell r="R89">
            <v>369.84999999999997</v>
          </cell>
        </row>
        <row r="90">
          <cell r="B90" t="str">
            <v>생명자원유통경제학과</v>
          </cell>
          <cell r="C90">
            <v>11</v>
          </cell>
          <cell r="D90">
            <v>43</v>
          </cell>
          <cell r="E90">
            <v>3.9090909090909092</v>
          </cell>
          <cell r="F90">
            <v>10</v>
          </cell>
          <cell r="G90">
            <v>5</v>
          </cell>
          <cell r="H90">
            <v>563.78</v>
          </cell>
          <cell r="I90" t="str">
            <v>10.98</v>
          </cell>
          <cell r="J90" t="str">
            <v>3.8</v>
          </cell>
          <cell r="K90" t="str">
            <v>3.7</v>
          </cell>
          <cell r="L90">
            <v>4.4000000000000004</v>
          </cell>
          <cell r="M90" t="str">
            <v>3.2</v>
          </cell>
          <cell r="N90">
            <v>113.1</v>
          </cell>
          <cell r="O90">
            <v>113.7</v>
          </cell>
          <cell r="P90">
            <v>108.6</v>
          </cell>
          <cell r="Q90">
            <v>59.4</v>
          </cell>
          <cell r="R90">
            <v>394.79999999999995</v>
          </cell>
        </row>
        <row r="91">
          <cell r="B91" t="str">
            <v>생명공학부</v>
          </cell>
          <cell r="C91">
            <v>25</v>
          </cell>
          <cell r="D91">
            <v>155</v>
          </cell>
          <cell r="E91">
            <v>6.2</v>
          </cell>
          <cell r="F91">
            <v>25</v>
          </cell>
          <cell r="G91">
            <v>19</v>
          </cell>
          <cell r="H91">
            <v>559.21</v>
          </cell>
          <cell r="I91" t="str">
            <v>19.42</v>
          </cell>
          <cell r="J91" t="str">
            <v>4</v>
          </cell>
          <cell r="K91" t="str">
            <v>4.08</v>
          </cell>
          <cell r="L91">
            <v>4.32</v>
          </cell>
          <cell r="M91" t="str">
            <v>3.86</v>
          </cell>
          <cell r="N91">
            <v>110.8</v>
          </cell>
          <cell r="O91">
            <v>111.24</v>
          </cell>
          <cell r="P91">
            <v>107.52</v>
          </cell>
          <cell r="Q91">
            <v>55.92</v>
          </cell>
          <cell r="R91">
            <v>385.48</v>
          </cell>
        </row>
        <row r="92">
          <cell r="B92" t="str">
            <v>한약자원학과</v>
          </cell>
          <cell r="C92">
            <v>11</v>
          </cell>
          <cell r="D92">
            <v>60</v>
          </cell>
          <cell r="E92">
            <v>5.4545454545454541</v>
          </cell>
          <cell r="F92">
            <v>11</v>
          </cell>
          <cell r="G92">
            <v>6</v>
          </cell>
          <cell r="H92">
            <v>552.61</v>
          </cell>
          <cell r="I92" t="str">
            <v>13.16</v>
          </cell>
          <cell r="J92" t="str">
            <v>3.73</v>
          </cell>
          <cell r="K92" t="str">
            <v>4.36</v>
          </cell>
          <cell r="L92">
            <v>4.2699999999999996</v>
          </cell>
          <cell r="M92" t="str">
            <v>3.55</v>
          </cell>
          <cell r="N92">
            <v>113.18</v>
          </cell>
          <cell r="O92">
            <v>106.73</v>
          </cell>
          <cell r="P92">
            <v>108.45</v>
          </cell>
          <cell r="Q92">
            <v>57.18</v>
          </cell>
          <cell r="R92">
            <v>385.54</v>
          </cell>
        </row>
        <row r="93">
          <cell r="B93" t="str">
            <v>환경조경디자인학과</v>
          </cell>
          <cell r="C93">
            <v>12</v>
          </cell>
          <cell r="D93">
            <v>76</v>
          </cell>
          <cell r="E93">
            <v>6.333333333333333</v>
          </cell>
          <cell r="F93">
            <v>12</v>
          </cell>
          <cell r="G93">
            <v>11</v>
          </cell>
          <cell r="H93">
            <v>548.9</v>
          </cell>
          <cell r="I93" t="str">
            <v>11.86</v>
          </cell>
          <cell r="J93" t="str">
            <v>4.42</v>
          </cell>
          <cell r="K93" t="str">
            <v>4.33</v>
          </cell>
          <cell r="L93">
            <v>4.67</v>
          </cell>
          <cell r="M93" t="str">
            <v>4.08</v>
          </cell>
          <cell r="N93">
            <v>108.33</v>
          </cell>
          <cell r="O93">
            <v>108.58</v>
          </cell>
          <cell r="P93">
            <v>104.25</v>
          </cell>
          <cell r="Q93">
            <v>55.04</v>
          </cell>
          <cell r="R93">
            <v>376.2</v>
          </cell>
        </row>
        <row r="94">
          <cell r="B94" t="str">
            <v>바이오식품공학과</v>
          </cell>
          <cell r="C94">
            <v>11</v>
          </cell>
          <cell r="D94">
            <v>68</v>
          </cell>
          <cell r="E94">
            <v>6.1818181818181817</v>
          </cell>
          <cell r="F94">
            <v>11</v>
          </cell>
          <cell r="G94">
            <v>4</v>
          </cell>
          <cell r="H94">
            <v>499.11</v>
          </cell>
          <cell r="I94" t="str">
            <v>8.49</v>
          </cell>
          <cell r="J94" t="str">
            <v>4.91</v>
          </cell>
          <cell r="K94" t="str">
            <v>6</v>
          </cell>
          <cell r="L94">
            <v>4.55</v>
          </cell>
          <cell r="M94" t="str">
            <v>4.73</v>
          </cell>
          <cell r="N94">
            <v>104.64</v>
          </cell>
          <cell r="O94">
            <v>89.91</v>
          </cell>
          <cell r="P94">
            <v>104.91</v>
          </cell>
          <cell r="Q94">
            <v>50.73</v>
          </cell>
          <cell r="R94">
            <v>350.19000000000005</v>
          </cell>
        </row>
      </sheetData>
      <sheetData sheetId="6">
        <row r="5">
          <cell r="B5" t="str">
            <v>간호학과</v>
          </cell>
          <cell r="C5">
            <v>26</v>
          </cell>
          <cell r="D5">
            <v>95</v>
          </cell>
          <cell r="E5">
            <v>3.6538461538461537</v>
          </cell>
          <cell r="F5">
            <v>12</v>
          </cell>
          <cell r="G5">
            <v>314.08999999999997</v>
          </cell>
          <cell r="H5" t="str">
            <v>5.89</v>
          </cell>
          <cell r="I5" t="str">
            <v>2.38</v>
          </cell>
          <cell r="J5" t="str">
            <v>2.77</v>
          </cell>
          <cell r="K5">
            <v>2.65</v>
          </cell>
          <cell r="L5" t="str">
            <v>2.42</v>
          </cell>
          <cell r="M5">
            <v>122.42</v>
          </cell>
          <cell r="N5">
            <v>123.42</v>
          </cell>
          <cell r="O5">
            <v>123.15</v>
          </cell>
          <cell r="P5">
            <v>62.5</v>
          </cell>
          <cell r="Q5">
            <v>431.49</v>
          </cell>
          <cell r="R5">
            <v>490.38</v>
          </cell>
          <cell r="S5">
            <v>6.02</v>
          </cell>
          <cell r="T5" t="str">
            <v>2.75</v>
          </cell>
          <cell r="U5" t="str">
            <v>0.8</v>
          </cell>
        </row>
        <row r="6">
          <cell r="B6" t="str">
            <v>고분자.나노공학과</v>
          </cell>
          <cell r="C6">
            <v>15</v>
          </cell>
          <cell r="D6">
            <v>73</v>
          </cell>
          <cell r="E6">
            <v>4.8666666666666663</v>
          </cell>
          <cell r="F6">
            <v>14</v>
          </cell>
          <cell r="G6">
            <v>297.05</v>
          </cell>
          <cell r="H6" t="str">
            <v>11.95</v>
          </cell>
          <cell r="I6" t="str">
            <v>3.93</v>
          </cell>
          <cell r="J6" t="str">
            <v>3.6</v>
          </cell>
          <cell r="K6">
            <v>3.4</v>
          </cell>
          <cell r="L6" t="str">
            <v>3.33</v>
          </cell>
          <cell r="M6">
            <v>113.13</v>
          </cell>
          <cell r="N6">
            <v>114.67</v>
          </cell>
          <cell r="O6">
            <v>117.67</v>
          </cell>
          <cell r="P6">
            <v>58.13</v>
          </cell>
          <cell r="Q6">
            <v>403.6</v>
          </cell>
          <cell r="R6">
            <v>483.32</v>
          </cell>
          <cell r="S6">
            <v>6.83</v>
          </cell>
          <cell r="T6" t="str">
            <v>3.66</v>
          </cell>
          <cell r="U6" t="str">
            <v>0.74</v>
          </cell>
        </row>
        <row r="7">
          <cell r="B7" t="str">
            <v>환경공학과</v>
          </cell>
          <cell r="C7">
            <v>16</v>
          </cell>
          <cell r="D7">
            <v>59</v>
          </cell>
          <cell r="E7">
            <v>3.6875</v>
          </cell>
          <cell r="F7">
            <v>10</v>
          </cell>
          <cell r="G7">
            <v>266.27999999999997</v>
          </cell>
          <cell r="H7" t="str">
            <v>8.29</v>
          </cell>
          <cell r="I7" t="str">
            <v>4</v>
          </cell>
          <cell r="J7" t="str">
            <v>5.47</v>
          </cell>
          <cell r="K7">
            <v>4.53</v>
          </cell>
          <cell r="L7" t="str">
            <v>3.2</v>
          </cell>
          <cell r="M7">
            <v>111.8</v>
          </cell>
          <cell r="N7">
            <v>95.93</v>
          </cell>
          <cell r="O7">
            <v>107.2</v>
          </cell>
          <cell r="P7">
            <v>58.73</v>
          </cell>
          <cell r="Q7">
            <v>373.66</v>
          </cell>
          <cell r="R7">
            <v>480.03</v>
          </cell>
          <cell r="S7">
            <v>5.12</v>
          </cell>
          <cell r="T7" t="str">
            <v>4.07</v>
          </cell>
          <cell r="U7" t="str">
            <v>0.54</v>
          </cell>
        </row>
        <row r="8">
          <cell r="B8" t="str">
            <v>기계공학과</v>
          </cell>
          <cell r="C8">
            <v>23</v>
          </cell>
          <cell r="D8">
            <v>66</v>
          </cell>
          <cell r="E8">
            <v>2.8695652173913042</v>
          </cell>
          <cell r="F8">
            <v>19</v>
          </cell>
          <cell r="G8">
            <v>276.29000000000002</v>
          </cell>
          <cell r="H8" t="str">
            <v>8.43</v>
          </cell>
          <cell r="I8" t="str">
            <v>3.74</v>
          </cell>
          <cell r="J8" t="str">
            <v>4.7</v>
          </cell>
          <cell r="K8">
            <v>4.04</v>
          </cell>
          <cell r="L8" t="str">
            <v>3.09</v>
          </cell>
          <cell r="M8">
            <v>113.26</v>
          </cell>
          <cell r="N8">
            <v>103.26</v>
          </cell>
          <cell r="O8">
            <v>111.3</v>
          </cell>
          <cell r="P8">
            <v>59.43</v>
          </cell>
          <cell r="Q8">
            <v>387.25</v>
          </cell>
          <cell r="R8">
            <v>479.95</v>
          </cell>
          <cell r="S8">
            <v>6.37</v>
          </cell>
          <cell r="T8" t="str">
            <v>4.04</v>
          </cell>
          <cell r="U8" t="str">
            <v>0.7</v>
          </cell>
        </row>
        <row r="9">
          <cell r="B9" t="str">
            <v>전기공학과</v>
          </cell>
          <cell r="C9">
            <v>18</v>
          </cell>
          <cell r="D9">
            <v>51</v>
          </cell>
          <cell r="E9">
            <v>2.8333333333333335</v>
          </cell>
          <cell r="F9">
            <v>8</v>
          </cell>
          <cell r="G9">
            <v>274.45999999999998</v>
          </cell>
          <cell r="H9" t="str">
            <v>9.96</v>
          </cell>
          <cell r="I9" t="str">
            <v>4.06</v>
          </cell>
          <cell r="J9" t="str">
            <v>4.44</v>
          </cell>
          <cell r="K9">
            <v>4.38</v>
          </cell>
          <cell r="L9" t="str">
            <v>3.28</v>
          </cell>
          <cell r="M9">
            <v>112.06</v>
          </cell>
          <cell r="N9">
            <v>106.19</v>
          </cell>
          <cell r="O9">
            <v>108.13</v>
          </cell>
          <cell r="P9">
            <v>58.25</v>
          </cell>
          <cell r="Q9">
            <v>384.63</v>
          </cell>
          <cell r="R9">
            <v>479.25</v>
          </cell>
          <cell r="S9">
            <v>7.71</v>
          </cell>
          <cell r="T9" t="str">
            <v>4.11</v>
          </cell>
          <cell r="U9" t="str">
            <v>0.82</v>
          </cell>
        </row>
        <row r="10">
          <cell r="B10" t="str">
            <v>화학공학부</v>
          </cell>
          <cell r="C10">
            <v>37</v>
          </cell>
          <cell r="D10">
            <v>94</v>
          </cell>
          <cell r="E10">
            <v>2.5405405405405403</v>
          </cell>
          <cell r="F10">
            <v>26</v>
          </cell>
          <cell r="G10">
            <v>276.91000000000003</v>
          </cell>
          <cell r="H10" t="str">
            <v>11.17</v>
          </cell>
          <cell r="I10" t="str">
            <v>3.7</v>
          </cell>
          <cell r="J10" t="str">
            <v>4.62</v>
          </cell>
          <cell r="K10">
            <v>3.89</v>
          </cell>
          <cell r="L10" t="str">
            <v>3.24</v>
          </cell>
          <cell r="M10">
            <v>113.78</v>
          </cell>
          <cell r="N10">
            <v>104.22</v>
          </cell>
          <cell r="O10">
            <v>111.43</v>
          </cell>
          <cell r="P10">
            <v>58.74</v>
          </cell>
          <cell r="Q10">
            <v>388.17</v>
          </cell>
          <cell r="R10">
            <v>479.14</v>
          </cell>
          <cell r="S10">
            <v>6.82</v>
          </cell>
          <cell r="T10" t="str">
            <v>4.14</v>
          </cell>
          <cell r="U10" t="str">
            <v>0.71</v>
          </cell>
        </row>
        <row r="11">
          <cell r="B11" t="str">
            <v>건축공학과</v>
          </cell>
          <cell r="C11">
            <v>18</v>
          </cell>
          <cell r="D11">
            <v>59</v>
          </cell>
          <cell r="E11">
            <v>3.2777777777777777</v>
          </cell>
          <cell r="F11">
            <v>6</v>
          </cell>
          <cell r="G11">
            <v>275.04000000000002</v>
          </cell>
          <cell r="H11" t="str">
            <v>10.49</v>
          </cell>
          <cell r="I11" t="str">
            <v>3.41</v>
          </cell>
          <cell r="J11" t="str">
            <v>4.88</v>
          </cell>
          <cell r="K11">
            <v>4.29</v>
          </cell>
          <cell r="L11" t="str">
            <v>3.35</v>
          </cell>
          <cell r="M11">
            <v>115.88</v>
          </cell>
          <cell r="N11">
            <v>102.76</v>
          </cell>
          <cell r="O11">
            <v>109.12</v>
          </cell>
          <cell r="P11">
            <v>58.26</v>
          </cell>
          <cell r="Q11">
            <v>386.02</v>
          </cell>
          <cell r="R11">
            <v>478.26</v>
          </cell>
          <cell r="S11">
            <v>6.93</v>
          </cell>
          <cell r="T11" t="str">
            <v>4.22</v>
          </cell>
          <cell r="U11" t="str">
            <v>0.78</v>
          </cell>
        </row>
        <row r="12">
          <cell r="B12" t="str">
            <v>토목공학과</v>
          </cell>
          <cell r="C12">
            <v>20</v>
          </cell>
          <cell r="D12">
            <v>74</v>
          </cell>
          <cell r="E12">
            <v>3.7</v>
          </cell>
          <cell r="F12">
            <v>18</v>
          </cell>
          <cell r="G12">
            <v>272.7</v>
          </cell>
          <cell r="H12" t="str">
            <v>8.2</v>
          </cell>
          <cell r="I12" t="str">
            <v>3.6</v>
          </cell>
          <cell r="J12" t="str">
            <v>5.1</v>
          </cell>
          <cell r="K12">
            <v>4.0999999999999996</v>
          </cell>
          <cell r="L12" t="str">
            <v>3.35</v>
          </cell>
          <cell r="M12">
            <v>114</v>
          </cell>
          <cell r="N12">
            <v>99.8</v>
          </cell>
          <cell r="O12">
            <v>110.5</v>
          </cell>
          <cell r="P12">
            <v>58.3</v>
          </cell>
          <cell r="Q12">
            <v>382.6</v>
          </cell>
          <cell r="R12">
            <v>477.4</v>
          </cell>
          <cell r="S12">
            <v>6.98</v>
          </cell>
          <cell r="T12" t="str">
            <v>4.33</v>
          </cell>
          <cell r="U12" t="str">
            <v>0.71</v>
          </cell>
        </row>
        <row r="13">
          <cell r="B13" t="str">
            <v>유기소재파이버공학과</v>
          </cell>
          <cell r="C13">
            <v>13</v>
          </cell>
          <cell r="D13">
            <v>71</v>
          </cell>
          <cell r="E13">
            <v>5.4615384615384617</v>
          </cell>
          <cell r="F13">
            <v>8</v>
          </cell>
          <cell r="G13">
            <v>259.10000000000002</v>
          </cell>
          <cell r="H13" t="str">
            <v>10.09</v>
          </cell>
          <cell r="I13" t="str">
            <v>4.31</v>
          </cell>
          <cell r="J13" t="str">
            <v>5.38</v>
          </cell>
          <cell r="K13">
            <v>4.8499999999999996</v>
          </cell>
          <cell r="L13" t="str">
            <v>3.62</v>
          </cell>
          <cell r="M13">
            <v>108</v>
          </cell>
          <cell r="N13">
            <v>95.77</v>
          </cell>
          <cell r="O13">
            <v>102.23</v>
          </cell>
          <cell r="P13">
            <v>57.46</v>
          </cell>
          <cell r="Q13">
            <v>363.46</v>
          </cell>
          <cell r="R13">
            <v>477.3</v>
          </cell>
          <cell r="S13">
            <v>3.78</v>
          </cell>
          <cell r="T13" t="str">
            <v>4.35</v>
          </cell>
          <cell r="U13" t="str">
            <v>0.39</v>
          </cell>
        </row>
        <row r="14">
          <cell r="B14" t="str">
            <v>도시공학과</v>
          </cell>
          <cell r="C14">
            <v>10</v>
          </cell>
          <cell r="D14">
            <v>61</v>
          </cell>
          <cell r="E14">
            <v>6.1</v>
          </cell>
          <cell r="F14">
            <v>10</v>
          </cell>
          <cell r="G14">
            <v>269.82</v>
          </cell>
          <cell r="H14" t="str">
            <v>7.17</v>
          </cell>
          <cell r="I14" t="str">
            <v>3.5</v>
          </cell>
          <cell r="J14" t="str">
            <v>5.1</v>
          </cell>
          <cell r="K14">
            <v>4.2</v>
          </cell>
          <cell r="L14" t="str">
            <v>3.9</v>
          </cell>
          <cell r="M14">
            <v>115.5</v>
          </cell>
          <cell r="N14">
            <v>98.9</v>
          </cell>
          <cell r="O14">
            <v>109.1</v>
          </cell>
          <cell r="P14">
            <v>55.5</v>
          </cell>
          <cell r="Q14">
            <v>379</v>
          </cell>
          <cell r="R14">
            <v>476.57</v>
          </cell>
          <cell r="S14">
            <v>5.4</v>
          </cell>
          <cell r="T14" t="str">
            <v>4.42</v>
          </cell>
          <cell r="U14" t="str">
            <v>0.55</v>
          </cell>
        </row>
        <row r="15">
          <cell r="B15" t="str">
            <v>항공우주공학과</v>
          </cell>
          <cell r="C15">
            <v>16</v>
          </cell>
          <cell r="D15">
            <v>44</v>
          </cell>
          <cell r="E15">
            <v>2.75</v>
          </cell>
          <cell r="F15">
            <v>15</v>
          </cell>
          <cell r="G15">
            <v>261.39999999999998</v>
          </cell>
          <cell r="H15" t="str">
            <v>9.21</v>
          </cell>
          <cell r="I15" t="str">
            <v>4.56</v>
          </cell>
          <cell r="J15" t="str">
            <v>5.06</v>
          </cell>
          <cell r="K15">
            <v>4.8099999999999996</v>
          </cell>
          <cell r="L15" t="str">
            <v>3.38</v>
          </cell>
          <cell r="M15">
            <v>107.06</v>
          </cell>
          <cell r="N15">
            <v>97.69</v>
          </cell>
          <cell r="O15">
            <v>103</v>
          </cell>
          <cell r="P15">
            <v>58.63</v>
          </cell>
          <cell r="Q15">
            <v>366.38</v>
          </cell>
          <cell r="R15">
            <v>476.49</v>
          </cell>
          <cell r="S15">
            <v>8.31</v>
          </cell>
          <cell r="T15" t="str">
            <v>4.4</v>
          </cell>
          <cell r="U15" t="str">
            <v>0.86</v>
          </cell>
        </row>
        <row r="16">
          <cell r="B16" t="str">
            <v>신소재공학부(금속시스템공학)</v>
          </cell>
          <cell r="C16">
            <v>13</v>
          </cell>
          <cell r="D16">
            <v>43</v>
          </cell>
          <cell r="E16">
            <v>3.3076923076923075</v>
          </cell>
          <cell r="F16">
            <v>9</v>
          </cell>
          <cell r="G16">
            <v>263.17</v>
          </cell>
          <cell r="H16" t="str">
            <v>9.01</v>
          </cell>
          <cell r="I16" t="str">
            <v>4.23</v>
          </cell>
          <cell r="J16" t="str">
            <v>5.15</v>
          </cell>
          <cell r="K16">
            <v>4.54</v>
          </cell>
          <cell r="L16" t="str">
            <v>3.81</v>
          </cell>
          <cell r="M16">
            <v>110.31</v>
          </cell>
          <cell r="N16">
            <v>98.85</v>
          </cell>
          <cell r="O16">
            <v>104.92</v>
          </cell>
          <cell r="P16">
            <v>55.19</v>
          </cell>
          <cell r="Q16">
            <v>369.27</v>
          </cell>
          <cell r="R16">
            <v>476.08</v>
          </cell>
          <cell r="S16">
            <v>7.38</v>
          </cell>
          <cell r="T16" t="str">
            <v>4.45</v>
          </cell>
          <cell r="U16" t="str">
            <v>0.76</v>
          </cell>
        </row>
        <row r="17">
          <cell r="B17" t="str">
            <v>신소재공학부(전자재료공학)</v>
          </cell>
          <cell r="C17">
            <v>15</v>
          </cell>
          <cell r="D17">
            <v>49</v>
          </cell>
          <cell r="E17">
            <v>3.2666666666666666</v>
          </cell>
          <cell r="F17">
            <v>13</v>
          </cell>
          <cell r="G17">
            <v>267.68</v>
          </cell>
          <cell r="H17" t="str">
            <v>7.51</v>
          </cell>
          <cell r="I17" t="str">
            <v>4.08</v>
          </cell>
          <cell r="J17" t="str">
            <v>5.08</v>
          </cell>
          <cell r="K17">
            <v>4.54</v>
          </cell>
          <cell r="L17" t="str">
            <v>3.42</v>
          </cell>
          <cell r="M17">
            <v>111.62</v>
          </cell>
          <cell r="N17">
            <v>99.31</v>
          </cell>
          <cell r="O17">
            <v>106.77</v>
          </cell>
          <cell r="P17">
            <v>57.81</v>
          </cell>
          <cell r="Q17">
            <v>375.51</v>
          </cell>
          <cell r="R17">
            <v>475.82</v>
          </cell>
          <cell r="S17">
            <v>7.92</v>
          </cell>
          <cell r="T17" t="str">
            <v>4.47</v>
          </cell>
          <cell r="U17" t="str">
            <v>0.82</v>
          </cell>
        </row>
        <row r="18">
          <cell r="B18" t="str">
            <v>산업정보시스템공학과</v>
          </cell>
          <cell r="C18">
            <v>12</v>
          </cell>
          <cell r="D18">
            <v>58</v>
          </cell>
          <cell r="E18">
            <v>4.833333333333333</v>
          </cell>
          <cell r="F18">
            <v>10</v>
          </cell>
          <cell r="G18">
            <v>281.60000000000002</v>
          </cell>
          <cell r="H18" t="str">
            <v>9.27</v>
          </cell>
          <cell r="I18" t="str">
            <v>4</v>
          </cell>
          <cell r="J18" t="str">
            <v>3.54</v>
          </cell>
          <cell r="K18">
            <v>4.2300000000000004</v>
          </cell>
          <cell r="L18" t="str">
            <v>4</v>
          </cell>
          <cell r="M18">
            <v>111.23</v>
          </cell>
          <cell r="N18">
            <v>116.85</v>
          </cell>
          <cell r="O18">
            <v>108.46</v>
          </cell>
          <cell r="P18">
            <v>55.15</v>
          </cell>
          <cell r="Q18">
            <v>391.68999999999994</v>
          </cell>
          <cell r="R18">
            <v>475.75</v>
          </cell>
          <cell r="S18">
            <v>6.67</v>
          </cell>
          <cell r="T18" t="str">
            <v>4.49</v>
          </cell>
          <cell r="U18" t="str">
            <v>0.7</v>
          </cell>
        </row>
        <row r="19">
          <cell r="B19" t="str">
            <v>기계시스템공학부</v>
          </cell>
          <cell r="C19">
            <v>28</v>
          </cell>
          <cell r="D19">
            <v>94</v>
          </cell>
          <cell r="E19">
            <v>3.3571428571428572</v>
          </cell>
          <cell r="F19">
            <v>15</v>
          </cell>
          <cell r="G19">
            <v>258.32</v>
          </cell>
          <cell r="H19" t="str">
            <v>8.21</v>
          </cell>
          <cell r="I19" t="str">
            <v>4.61</v>
          </cell>
          <cell r="J19" t="str">
            <v>5.21</v>
          </cell>
          <cell r="K19">
            <v>4.82</v>
          </cell>
          <cell r="L19" t="str">
            <v>4.02</v>
          </cell>
          <cell r="M19">
            <v>106.39</v>
          </cell>
          <cell r="N19">
            <v>98.61</v>
          </cell>
          <cell r="O19">
            <v>102.57</v>
          </cell>
          <cell r="P19">
            <v>54.59</v>
          </cell>
          <cell r="Q19">
            <v>362.15999999999997</v>
          </cell>
          <cell r="R19">
            <v>475.54</v>
          </cell>
          <cell r="S19">
            <v>7.1</v>
          </cell>
          <cell r="T19" t="str">
            <v>4.54</v>
          </cell>
          <cell r="U19" t="str">
            <v>0.71</v>
          </cell>
        </row>
        <row r="20">
          <cell r="B20" t="str">
            <v>전자공학부</v>
          </cell>
          <cell r="C20">
            <v>54</v>
          </cell>
          <cell r="D20">
            <v>167</v>
          </cell>
          <cell r="E20">
            <v>3.0925925925925926</v>
          </cell>
          <cell r="F20">
            <v>60</v>
          </cell>
          <cell r="G20">
            <v>263.39</v>
          </cell>
          <cell r="H20" t="str">
            <v>10.47</v>
          </cell>
          <cell r="I20" t="str">
            <v>4.15</v>
          </cell>
          <cell r="J20" t="str">
            <v>5.17</v>
          </cell>
          <cell r="K20">
            <v>4.58</v>
          </cell>
          <cell r="L20" t="str">
            <v>3.76</v>
          </cell>
          <cell r="M20">
            <v>109.9</v>
          </cell>
          <cell r="N20">
            <v>98.27</v>
          </cell>
          <cell r="O20">
            <v>105.19</v>
          </cell>
          <cell r="P20">
            <v>56.13</v>
          </cell>
          <cell r="Q20">
            <v>369.49</v>
          </cell>
          <cell r="R20">
            <v>475.1</v>
          </cell>
          <cell r="S20">
            <v>7.55</v>
          </cell>
          <cell r="T20" t="str">
            <v>4.53</v>
          </cell>
          <cell r="U20" t="str">
            <v>0.76</v>
          </cell>
        </row>
        <row r="21">
          <cell r="B21" t="str">
            <v>바이오메디컬공학부</v>
          </cell>
          <cell r="C21">
            <v>13</v>
          </cell>
          <cell r="D21">
            <v>37</v>
          </cell>
          <cell r="E21">
            <v>2.8461538461538463</v>
          </cell>
          <cell r="F21">
            <v>11</v>
          </cell>
          <cell r="G21">
            <v>261.94</v>
          </cell>
          <cell r="H21" t="str">
            <v>10.88</v>
          </cell>
          <cell r="I21" t="str">
            <v>3.86</v>
          </cell>
          <cell r="J21" t="str">
            <v>5.57</v>
          </cell>
          <cell r="K21">
            <v>4.43</v>
          </cell>
          <cell r="L21" t="str">
            <v>3.71</v>
          </cell>
          <cell r="M21">
            <v>110.57</v>
          </cell>
          <cell r="N21">
            <v>93.21</v>
          </cell>
          <cell r="O21">
            <v>107.93</v>
          </cell>
          <cell r="P21">
            <v>55.96</v>
          </cell>
          <cell r="Q21">
            <v>367.66999999999996</v>
          </cell>
          <cell r="R21">
            <v>474.95</v>
          </cell>
          <cell r="S21">
            <v>6.08</v>
          </cell>
          <cell r="T21" t="str">
            <v>4.58</v>
          </cell>
          <cell r="U21" t="str">
            <v>0.62</v>
          </cell>
        </row>
        <row r="22">
          <cell r="B22" t="str">
            <v>자원.에너지공학과</v>
          </cell>
          <cell r="C22">
            <v>16</v>
          </cell>
          <cell r="D22">
            <v>49</v>
          </cell>
          <cell r="E22">
            <v>3.0625</v>
          </cell>
          <cell r="F22">
            <v>8</v>
          </cell>
          <cell r="G22">
            <v>262.8</v>
          </cell>
          <cell r="H22" t="str">
            <v>10.63</v>
          </cell>
          <cell r="I22" t="str">
            <v>4.33</v>
          </cell>
          <cell r="J22" t="str">
            <v>5.2</v>
          </cell>
          <cell r="K22">
            <v>4.47</v>
          </cell>
          <cell r="L22" t="str">
            <v>4</v>
          </cell>
          <cell r="M22">
            <v>108.6</v>
          </cell>
          <cell r="N22">
            <v>97.8</v>
          </cell>
          <cell r="O22">
            <v>107.07</v>
          </cell>
          <cell r="P22">
            <v>55.03</v>
          </cell>
          <cell r="Q22">
            <v>368.5</v>
          </cell>
          <cell r="R22">
            <v>474.9</v>
          </cell>
          <cell r="S22">
            <v>8.49</v>
          </cell>
          <cell r="T22" t="str">
            <v>4.6</v>
          </cell>
          <cell r="U22" t="str">
            <v>0.9</v>
          </cell>
        </row>
        <row r="23">
          <cell r="B23" t="str">
            <v>신소재공학부(정보소재공학)</v>
          </cell>
          <cell r="C23">
            <v>16</v>
          </cell>
          <cell r="D23">
            <v>54</v>
          </cell>
          <cell r="E23">
            <v>3.375</v>
          </cell>
          <cell r="F23">
            <v>13</v>
          </cell>
          <cell r="G23">
            <v>257.66000000000003</v>
          </cell>
          <cell r="H23" t="str">
            <v>9.91</v>
          </cell>
          <cell r="I23" t="str">
            <v>4.44</v>
          </cell>
          <cell r="J23" t="str">
            <v>5.63</v>
          </cell>
          <cell r="K23">
            <v>4.6900000000000004</v>
          </cell>
          <cell r="L23" t="str">
            <v>3.91</v>
          </cell>
          <cell r="M23">
            <v>108.13</v>
          </cell>
          <cell r="N23">
            <v>94</v>
          </cell>
          <cell r="O23">
            <v>104.19</v>
          </cell>
          <cell r="P23">
            <v>55.25</v>
          </cell>
          <cell r="Q23">
            <v>361.57</v>
          </cell>
          <cell r="R23">
            <v>474.83</v>
          </cell>
          <cell r="S23">
            <v>6.58</v>
          </cell>
          <cell r="T23" t="str">
            <v>4.59</v>
          </cell>
          <cell r="U23" t="str">
            <v>0.64</v>
          </cell>
        </row>
        <row r="24">
          <cell r="B24" t="str">
            <v>컴퓨터공학부</v>
          </cell>
          <cell r="C24">
            <v>35</v>
          </cell>
          <cell r="D24">
            <v>140</v>
          </cell>
          <cell r="E24">
            <v>4</v>
          </cell>
          <cell r="F24">
            <v>27</v>
          </cell>
          <cell r="G24">
            <v>259.19</v>
          </cell>
          <cell r="H24" t="str">
            <v>10.72</v>
          </cell>
          <cell r="I24" t="str">
            <v>4.23</v>
          </cell>
          <cell r="J24" t="str">
            <v>5.49</v>
          </cell>
          <cell r="K24">
            <v>4.63</v>
          </cell>
          <cell r="L24" t="str">
            <v>3.84</v>
          </cell>
          <cell r="M24">
            <v>108.46</v>
          </cell>
          <cell r="N24">
            <v>94.86</v>
          </cell>
          <cell r="O24">
            <v>104.46</v>
          </cell>
          <cell r="P24">
            <v>55.89</v>
          </cell>
          <cell r="Q24">
            <v>363.66999999999996</v>
          </cell>
          <cell r="R24">
            <v>474.2</v>
          </cell>
          <cell r="S24">
            <v>7.12</v>
          </cell>
          <cell r="T24" t="str">
            <v>4.64</v>
          </cell>
          <cell r="U24" t="str">
            <v>0.71</v>
          </cell>
        </row>
        <row r="25">
          <cell r="B25" t="str">
            <v>IT정보공학부(컴퓨터시스템공학)</v>
          </cell>
          <cell r="C25">
            <v>17</v>
          </cell>
          <cell r="D25">
            <v>79</v>
          </cell>
          <cell r="E25">
            <v>4.6470588235294121</v>
          </cell>
          <cell r="F25">
            <v>9</v>
          </cell>
          <cell r="G25">
            <v>254.52</v>
          </cell>
          <cell r="H25" t="str">
            <v>7.98</v>
          </cell>
          <cell r="I25" t="str">
            <v>4.53</v>
          </cell>
          <cell r="J25" t="str">
            <v>5.65</v>
          </cell>
          <cell r="K25">
            <v>5</v>
          </cell>
          <cell r="L25" t="str">
            <v>3.91</v>
          </cell>
          <cell r="M25">
            <v>106</v>
          </cell>
          <cell r="N25">
            <v>93.82</v>
          </cell>
          <cell r="O25">
            <v>101.53</v>
          </cell>
          <cell r="P25">
            <v>55.68</v>
          </cell>
          <cell r="Q25">
            <v>357.03000000000003</v>
          </cell>
          <cell r="R25">
            <v>474.16</v>
          </cell>
          <cell r="S25">
            <v>4.26</v>
          </cell>
          <cell r="T25" t="str">
            <v>4.67</v>
          </cell>
          <cell r="U25" t="str">
            <v>0.4</v>
          </cell>
        </row>
        <row r="26">
          <cell r="B26" t="str">
            <v>IT응용시스템공학과</v>
          </cell>
          <cell r="C26">
            <v>11</v>
          </cell>
          <cell r="D26">
            <v>43</v>
          </cell>
          <cell r="E26">
            <v>3.9090909090909092</v>
          </cell>
          <cell r="F26">
            <v>9</v>
          </cell>
          <cell r="G26">
            <v>261.14999999999998</v>
          </cell>
          <cell r="H26" t="str">
            <v>8.91</v>
          </cell>
          <cell r="I26" t="str">
            <v>4.73</v>
          </cell>
          <cell r="J26" t="str">
            <v>5</v>
          </cell>
          <cell r="K26">
            <v>4.55</v>
          </cell>
          <cell r="L26" t="str">
            <v>3.77</v>
          </cell>
          <cell r="M26">
            <v>106</v>
          </cell>
          <cell r="N26">
            <v>98.55</v>
          </cell>
          <cell r="O26">
            <v>105.45</v>
          </cell>
          <cell r="P26">
            <v>55.86</v>
          </cell>
          <cell r="Q26">
            <v>365.86</v>
          </cell>
          <cell r="R26">
            <v>473.74</v>
          </cell>
          <cell r="S26">
            <v>4.97</v>
          </cell>
          <cell r="T26" t="str">
            <v>4.7</v>
          </cell>
          <cell r="U26" t="str">
            <v>0.49</v>
          </cell>
        </row>
        <row r="27">
          <cell r="B27" t="str">
            <v>기계설계공학부(기계설계공학)</v>
          </cell>
          <cell r="C27">
            <v>34</v>
          </cell>
          <cell r="D27">
            <v>102</v>
          </cell>
          <cell r="E27">
            <v>3</v>
          </cell>
          <cell r="F27">
            <v>11</v>
          </cell>
          <cell r="G27">
            <v>258.49</v>
          </cell>
          <cell r="H27" t="str">
            <v>11.48</v>
          </cell>
          <cell r="I27" t="str">
            <v>4.38</v>
          </cell>
          <cell r="J27" t="str">
            <v>5.44</v>
          </cell>
          <cell r="K27">
            <v>4.71</v>
          </cell>
          <cell r="L27" t="str">
            <v>3.68</v>
          </cell>
          <cell r="M27">
            <v>107.21</v>
          </cell>
          <cell r="N27">
            <v>95.12</v>
          </cell>
          <cell r="O27">
            <v>104.06</v>
          </cell>
          <cell r="P27">
            <v>56.13</v>
          </cell>
          <cell r="Q27">
            <v>362.52</v>
          </cell>
          <cell r="R27">
            <v>470.98</v>
          </cell>
          <cell r="S27">
            <v>6.95</v>
          </cell>
          <cell r="T27" t="str">
            <v>4.96</v>
          </cell>
          <cell r="U27" t="str">
            <v>0.68</v>
          </cell>
        </row>
        <row r="28">
          <cell r="B28" t="str">
            <v>사회기반공학과</v>
          </cell>
          <cell r="C28">
            <v>7</v>
          </cell>
          <cell r="D28">
            <v>23</v>
          </cell>
          <cell r="E28">
            <v>3.2857142857142856</v>
          </cell>
          <cell r="F28">
            <v>2</v>
          </cell>
          <cell r="G28">
            <v>253.64</v>
          </cell>
          <cell r="H28" t="str">
            <v>6.66</v>
          </cell>
          <cell r="I28" t="str">
            <v>5.14</v>
          </cell>
          <cell r="J28" t="str">
            <v>5.57</v>
          </cell>
          <cell r="K28">
            <v>4.71</v>
          </cell>
          <cell r="L28" t="str">
            <v>3.93</v>
          </cell>
          <cell r="M28">
            <v>100.86</v>
          </cell>
          <cell r="N28">
            <v>95</v>
          </cell>
          <cell r="O28">
            <v>104.14</v>
          </cell>
          <cell r="P28">
            <v>55</v>
          </cell>
          <cell r="Q28">
            <v>355</v>
          </cell>
          <cell r="R28">
            <v>470.92</v>
          </cell>
          <cell r="S28">
            <v>6.27</v>
          </cell>
          <cell r="T28" t="str">
            <v>4.97</v>
          </cell>
          <cell r="U28" t="str">
            <v>0.62</v>
          </cell>
        </row>
        <row r="29">
          <cell r="B29" t="str">
            <v>IT정보공학부(소프트웨어공학)</v>
          </cell>
          <cell r="C29">
            <v>13</v>
          </cell>
          <cell r="D29">
            <v>41</v>
          </cell>
          <cell r="E29">
            <v>3.1538461538461537</v>
          </cell>
          <cell r="F29">
            <v>7</v>
          </cell>
          <cell r="G29">
            <v>249.67</v>
          </cell>
          <cell r="H29" t="str">
            <v>6.53</v>
          </cell>
          <cell r="I29" t="str">
            <v>4.62</v>
          </cell>
          <cell r="J29" t="str">
            <v>6</v>
          </cell>
          <cell r="K29">
            <v>5</v>
          </cell>
          <cell r="L29" t="str">
            <v>3.92</v>
          </cell>
          <cell r="M29">
            <v>105.46</v>
          </cell>
          <cell r="N29">
            <v>91.08</v>
          </cell>
          <cell r="O29">
            <v>98.77</v>
          </cell>
          <cell r="P29">
            <v>55.15</v>
          </cell>
          <cell r="Q29">
            <v>350.46</v>
          </cell>
          <cell r="R29">
            <v>470.66</v>
          </cell>
          <cell r="S29">
            <v>5.87</v>
          </cell>
          <cell r="T29" t="str">
            <v>4.98</v>
          </cell>
          <cell r="U29" t="str">
            <v>0.6</v>
          </cell>
        </row>
        <row r="30">
          <cell r="B30" t="str">
            <v>원예학과</v>
          </cell>
          <cell r="C30">
            <v>12</v>
          </cell>
          <cell r="D30">
            <v>175</v>
          </cell>
          <cell r="E30">
            <v>14.583333333333334</v>
          </cell>
          <cell r="F30">
            <v>12</v>
          </cell>
          <cell r="G30">
            <v>274.79000000000002</v>
          </cell>
          <cell r="H30" t="str">
            <v>5.95</v>
          </cell>
          <cell r="I30" t="str">
            <v>4.5</v>
          </cell>
          <cell r="J30" t="str">
            <v>4.08</v>
          </cell>
          <cell r="K30">
            <v>4.5</v>
          </cell>
          <cell r="L30" t="str">
            <v>3.38</v>
          </cell>
          <cell r="M30">
            <v>107.42</v>
          </cell>
          <cell r="N30">
            <v>109.08</v>
          </cell>
          <cell r="O30">
            <v>107.25</v>
          </cell>
          <cell r="P30">
            <v>58</v>
          </cell>
          <cell r="Q30">
            <v>381.75</v>
          </cell>
          <cell r="R30">
            <v>482.2</v>
          </cell>
          <cell r="S30">
            <v>6.47</v>
          </cell>
          <cell r="T30" t="str">
            <v>3.78</v>
          </cell>
          <cell r="U30" t="str">
            <v>0.71</v>
          </cell>
        </row>
        <row r="31">
          <cell r="B31" t="str">
            <v>농업경제학과</v>
          </cell>
          <cell r="C31">
            <v>12</v>
          </cell>
          <cell r="D31">
            <v>67</v>
          </cell>
          <cell r="E31">
            <v>5.583333333333333</v>
          </cell>
          <cell r="F31">
            <v>7</v>
          </cell>
          <cell r="G31">
            <v>287.23</v>
          </cell>
          <cell r="H31" t="str">
            <v>5.86</v>
          </cell>
          <cell r="I31" t="str">
            <v>4.08</v>
          </cell>
          <cell r="J31" t="str">
            <v>3.17</v>
          </cell>
          <cell r="K31">
            <v>4</v>
          </cell>
          <cell r="L31" t="str">
            <v>2.96</v>
          </cell>
          <cell r="M31">
            <v>111.5</v>
          </cell>
          <cell r="N31">
            <v>119.67</v>
          </cell>
          <cell r="O31">
            <v>111.42</v>
          </cell>
          <cell r="P31">
            <v>60.33</v>
          </cell>
          <cell r="Q31">
            <v>402.92</v>
          </cell>
          <cell r="R31">
            <v>481.6</v>
          </cell>
          <cell r="S31">
            <v>6.17</v>
          </cell>
          <cell r="T31" t="str">
            <v>3.88</v>
          </cell>
          <cell r="U31" t="str">
            <v>0.67</v>
          </cell>
        </row>
        <row r="32">
          <cell r="B32" t="str">
            <v>식품공학과</v>
          </cell>
          <cell r="C32">
            <v>12</v>
          </cell>
          <cell r="D32">
            <v>131</v>
          </cell>
          <cell r="E32">
            <v>10.916666666666666</v>
          </cell>
          <cell r="F32">
            <v>12</v>
          </cell>
          <cell r="G32">
            <v>287.11</v>
          </cell>
          <cell r="H32" t="str">
            <v>8.14</v>
          </cell>
          <cell r="I32" t="str">
            <v>3.55</v>
          </cell>
          <cell r="J32" t="str">
            <v>3.91</v>
          </cell>
          <cell r="K32">
            <v>4.3600000000000003</v>
          </cell>
          <cell r="L32" t="str">
            <v>3</v>
          </cell>
          <cell r="M32">
            <v>114.18</v>
          </cell>
          <cell r="N32">
            <v>112.91</v>
          </cell>
          <cell r="O32">
            <v>108.27</v>
          </cell>
          <cell r="P32">
            <v>59.64</v>
          </cell>
          <cell r="Q32">
            <v>395</v>
          </cell>
          <cell r="R32">
            <v>481.48</v>
          </cell>
          <cell r="S32">
            <v>7.68</v>
          </cell>
          <cell r="T32" t="str">
            <v>3.9</v>
          </cell>
          <cell r="U32" t="str">
            <v>0.82</v>
          </cell>
        </row>
        <row r="33">
          <cell r="B33" t="str">
            <v>조경학과</v>
          </cell>
          <cell r="C33">
            <v>9</v>
          </cell>
          <cell r="D33">
            <v>63</v>
          </cell>
          <cell r="E33">
            <v>7</v>
          </cell>
          <cell r="F33">
            <v>7</v>
          </cell>
          <cell r="G33">
            <v>283.3</v>
          </cell>
          <cell r="H33" t="str">
            <v>8.27</v>
          </cell>
          <cell r="I33" t="str">
            <v>4</v>
          </cell>
          <cell r="J33" t="str">
            <v>3.56</v>
          </cell>
          <cell r="K33">
            <v>4.22</v>
          </cell>
          <cell r="L33" t="str">
            <v>3.72</v>
          </cell>
          <cell r="M33">
            <v>111.78</v>
          </cell>
          <cell r="N33">
            <v>117.22</v>
          </cell>
          <cell r="O33">
            <v>109.11</v>
          </cell>
          <cell r="P33">
            <v>56</v>
          </cell>
          <cell r="Q33">
            <v>394.11</v>
          </cell>
          <cell r="R33">
            <v>481.21</v>
          </cell>
          <cell r="S33">
            <v>8.2899999999999991</v>
          </cell>
          <cell r="T33" t="str">
            <v>3.92</v>
          </cell>
          <cell r="U33" t="str">
            <v>0.88</v>
          </cell>
        </row>
        <row r="34">
          <cell r="B34" t="str">
            <v>생물환경화학과</v>
          </cell>
          <cell r="C34">
            <v>11</v>
          </cell>
          <cell r="D34">
            <v>86</v>
          </cell>
          <cell r="E34">
            <v>7.8181818181818183</v>
          </cell>
          <cell r="F34">
            <v>21</v>
          </cell>
          <cell r="G34">
            <v>275.27999999999997</v>
          </cell>
          <cell r="H34" t="str">
            <v>8.97</v>
          </cell>
          <cell r="I34" t="str">
            <v>4.3</v>
          </cell>
          <cell r="J34" t="str">
            <v>4.2</v>
          </cell>
          <cell r="K34">
            <v>4.7</v>
          </cell>
          <cell r="L34" t="str">
            <v>4</v>
          </cell>
          <cell r="M34">
            <v>109.1</v>
          </cell>
          <cell r="N34">
            <v>110.4</v>
          </cell>
          <cell r="O34">
            <v>104.6</v>
          </cell>
          <cell r="P34">
            <v>55.15</v>
          </cell>
          <cell r="Q34">
            <v>379.25</v>
          </cell>
          <cell r="R34">
            <v>477.36</v>
          </cell>
          <cell r="S34">
            <v>7.28</v>
          </cell>
          <cell r="T34" t="str">
            <v>4.24</v>
          </cell>
          <cell r="U34" t="str">
            <v>0.79</v>
          </cell>
        </row>
        <row r="35">
          <cell r="B35" t="str">
            <v>농생물학과</v>
          </cell>
          <cell r="C35">
            <v>12</v>
          </cell>
          <cell r="D35">
            <v>61</v>
          </cell>
          <cell r="E35">
            <v>5.083333333333333</v>
          </cell>
          <cell r="F35">
            <v>6</v>
          </cell>
          <cell r="G35">
            <v>261.95</v>
          </cell>
          <cell r="H35" t="str">
            <v>5.67</v>
          </cell>
          <cell r="I35" t="str">
            <v>4.33</v>
          </cell>
          <cell r="J35" t="str">
            <v>5.67</v>
          </cell>
          <cell r="K35">
            <v>4.33</v>
          </cell>
          <cell r="L35" t="str">
            <v>3.67</v>
          </cell>
          <cell r="M35">
            <v>108.92</v>
          </cell>
          <cell r="N35">
            <v>93.42</v>
          </cell>
          <cell r="O35">
            <v>108.17</v>
          </cell>
          <cell r="P35">
            <v>56.92</v>
          </cell>
          <cell r="Q35">
            <v>367.43</v>
          </cell>
          <cell r="R35">
            <v>475.43</v>
          </cell>
          <cell r="S35">
            <v>6.33</v>
          </cell>
          <cell r="T35" t="str">
            <v>4.53</v>
          </cell>
          <cell r="U35" t="str">
            <v>0.61</v>
          </cell>
        </row>
        <row r="36">
          <cell r="B36" t="str">
            <v>산림환경과학과</v>
          </cell>
          <cell r="C36">
            <v>14</v>
          </cell>
          <cell r="D36">
            <v>123</v>
          </cell>
          <cell r="E36">
            <v>8.7857142857142865</v>
          </cell>
          <cell r="F36">
            <v>11</v>
          </cell>
          <cell r="G36">
            <v>278.93</v>
          </cell>
          <cell r="H36" t="str">
            <v>4.15</v>
          </cell>
          <cell r="I36" t="str">
            <v>4.07</v>
          </cell>
          <cell r="J36" t="str">
            <v>3.93</v>
          </cell>
          <cell r="K36">
            <v>4.43</v>
          </cell>
          <cell r="L36" t="str">
            <v>3.32</v>
          </cell>
          <cell r="M36">
            <v>111.14</v>
          </cell>
          <cell r="N36">
            <v>112.93</v>
          </cell>
          <cell r="O36">
            <v>106.64</v>
          </cell>
          <cell r="P36">
            <v>58.21</v>
          </cell>
          <cell r="Q36">
            <v>388.91999999999996</v>
          </cell>
          <cell r="R36">
            <v>475.39</v>
          </cell>
          <cell r="S36">
            <v>3.85</v>
          </cell>
          <cell r="T36" t="str">
            <v>4.56</v>
          </cell>
          <cell r="U36" t="str">
            <v>0.39</v>
          </cell>
        </row>
        <row r="37">
          <cell r="B37" t="str">
            <v>동물생명공학과</v>
          </cell>
          <cell r="C37">
            <v>13</v>
          </cell>
          <cell r="D37">
            <v>91</v>
          </cell>
          <cell r="E37">
            <v>7</v>
          </cell>
          <cell r="F37">
            <v>22</v>
          </cell>
          <cell r="G37">
            <v>275.23</v>
          </cell>
          <cell r="H37" t="str">
            <v>7.67</v>
          </cell>
          <cell r="I37" t="str">
            <v>4.62</v>
          </cell>
          <cell r="J37" t="str">
            <v>4</v>
          </cell>
          <cell r="K37">
            <v>4.46</v>
          </cell>
          <cell r="L37" t="str">
            <v>3.96</v>
          </cell>
          <cell r="M37">
            <v>107.23</v>
          </cell>
          <cell r="N37">
            <v>112.15</v>
          </cell>
          <cell r="O37">
            <v>106.23</v>
          </cell>
          <cell r="P37">
            <v>55.15</v>
          </cell>
          <cell r="Q37">
            <v>380.76</v>
          </cell>
          <cell r="R37">
            <v>475.03</v>
          </cell>
          <cell r="S37">
            <v>8.86</v>
          </cell>
          <cell r="T37" t="str">
            <v>4.54</v>
          </cell>
          <cell r="U37" t="str">
            <v>0.94</v>
          </cell>
        </row>
        <row r="38">
          <cell r="B38" t="str">
            <v>작물생명과학과</v>
          </cell>
          <cell r="C38">
            <v>12</v>
          </cell>
          <cell r="D38">
            <v>56</v>
          </cell>
          <cell r="E38">
            <v>4.666666666666667</v>
          </cell>
          <cell r="F38">
            <v>4</v>
          </cell>
          <cell r="G38">
            <v>253.19</v>
          </cell>
          <cell r="H38" t="str">
            <v>6.97</v>
          </cell>
          <cell r="I38" t="str">
            <v>4.7</v>
          </cell>
          <cell r="J38" t="str">
            <v>5.7</v>
          </cell>
          <cell r="K38">
            <v>5.0999999999999996</v>
          </cell>
          <cell r="L38" t="str">
            <v>3.9</v>
          </cell>
          <cell r="M38">
            <v>105.1</v>
          </cell>
          <cell r="N38">
            <v>93.3</v>
          </cell>
          <cell r="O38">
            <v>100.7</v>
          </cell>
          <cell r="P38">
            <v>56</v>
          </cell>
          <cell r="Q38">
            <v>355.09999999999997</v>
          </cell>
          <cell r="R38">
            <v>474.16</v>
          </cell>
          <cell r="S38">
            <v>7.33</v>
          </cell>
          <cell r="T38" t="str">
            <v>4.63</v>
          </cell>
          <cell r="U38" t="str">
            <v>0.74</v>
          </cell>
        </row>
        <row r="39">
          <cell r="B39" t="str">
            <v>동물소재공학과</v>
          </cell>
          <cell r="C39">
            <v>12</v>
          </cell>
          <cell r="D39">
            <v>91</v>
          </cell>
          <cell r="E39">
            <v>7.583333333333333</v>
          </cell>
          <cell r="F39">
            <v>9</v>
          </cell>
          <cell r="G39">
            <v>275.26</v>
          </cell>
          <cell r="H39" t="str">
            <v>6.13</v>
          </cell>
          <cell r="I39" t="str">
            <v>4.5</v>
          </cell>
          <cell r="J39" t="str">
            <v>3.92</v>
          </cell>
          <cell r="K39">
            <v>4.83</v>
          </cell>
          <cell r="L39" t="str">
            <v>3.25</v>
          </cell>
          <cell r="M39">
            <v>107.75</v>
          </cell>
          <cell r="N39">
            <v>112.67</v>
          </cell>
          <cell r="O39">
            <v>102.92</v>
          </cell>
          <cell r="P39">
            <v>59</v>
          </cell>
          <cell r="Q39">
            <v>382.34000000000003</v>
          </cell>
          <cell r="R39">
            <v>472.73</v>
          </cell>
          <cell r="S39">
            <v>9.9499999999999993</v>
          </cell>
          <cell r="T39" t="str">
            <v>4.77</v>
          </cell>
          <cell r="U39" t="str">
            <v>1.06</v>
          </cell>
        </row>
        <row r="40">
          <cell r="B40" t="str">
            <v>생물산업기계공학과</v>
          </cell>
          <cell r="C40">
            <v>13</v>
          </cell>
          <cell r="D40">
            <v>58</v>
          </cell>
          <cell r="E40">
            <v>4.4615384615384617</v>
          </cell>
          <cell r="F40">
            <v>6</v>
          </cell>
          <cell r="G40">
            <v>252.77</v>
          </cell>
          <cell r="H40" t="str">
            <v>9.19</v>
          </cell>
          <cell r="I40" t="str">
            <v>4.69</v>
          </cell>
          <cell r="J40" t="str">
            <v>5.69</v>
          </cell>
          <cell r="K40">
            <v>4.92</v>
          </cell>
          <cell r="L40" t="str">
            <v>4.08</v>
          </cell>
          <cell r="M40">
            <v>104.62</v>
          </cell>
          <cell r="N40">
            <v>93.92</v>
          </cell>
          <cell r="O40">
            <v>101.92</v>
          </cell>
          <cell r="P40">
            <v>54</v>
          </cell>
          <cell r="Q40">
            <v>354.46000000000004</v>
          </cell>
          <cell r="R40">
            <v>471.97</v>
          </cell>
          <cell r="S40">
            <v>7.66</v>
          </cell>
          <cell r="T40" t="str">
            <v>4.86</v>
          </cell>
          <cell r="U40" t="str">
            <v>0.76</v>
          </cell>
        </row>
        <row r="41">
          <cell r="B41" t="str">
            <v>지역건설공학과</v>
          </cell>
          <cell r="C41">
            <v>12</v>
          </cell>
          <cell r="D41">
            <v>45</v>
          </cell>
          <cell r="E41">
            <v>3.75</v>
          </cell>
          <cell r="F41">
            <v>3</v>
          </cell>
          <cell r="G41">
            <v>253.78</v>
          </cell>
          <cell r="H41" t="str">
            <v>5.48</v>
          </cell>
          <cell r="I41" t="str">
            <v>4.83</v>
          </cell>
          <cell r="J41" t="str">
            <v>5.58</v>
          </cell>
          <cell r="K41">
            <v>4.83</v>
          </cell>
          <cell r="L41" t="str">
            <v>4.25</v>
          </cell>
          <cell r="M41">
            <v>104.5</v>
          </cell>
          <cell r="N41">
            <v>95</v>
          </cell>
          <cell r="O41">
            <v>102</v>
          </cell>
          <cell r="P41">
            <v>54.29</v>
          </cell>
          <cell r="Q41">
            <v>355.79</v>
          </cell>
          <cell r="R41">
            <v>469.5</v>
          </cell>
          <cell r="S41">
            <v>5.15</v>
          </cell>
          <cell r="T41" t="str">
            <v>5.11</v>
          </cell>
          <cell r="U41" t="str">
            <v>0.49</v>
          </cell>
        </row>
        <row r="42">
          <cell r="B42" t="str">
            <v>목재응용과학과</v>
          </cell>
          <cell r="C42">
            <v>13</v>
          </cell>
          <cell r="D42">
            <v>41</v>
          </cell>
          <cell r="E42">
            <v>3.1538461538461537</v>
          </cell>
          <cell r="F42">
            <v>5</v>
          </cell>
          <cell r="G42">
            <v>240.14</v>
          </cell>
          <cell r="H42" t="str">
            <v>11.67</v>
          </cell>
          <cell r="I42" t="str">
            <v>5.15</v>
          </cell>
          <cell r="J42" t="str">
            <v>6</v>
          </cell>
          <cell r="K42">
            <v>5.62</v>
          </cell>
          <cell r="L42" t="str">
            <v>4.42</v>
          </cell>
          <cell r="M42">
            <v>100.46</v>
          </cell>
          <cell r="N42">
            <v>89.23</v>
          </cell>
          <cell r="O42">
            <v>94</v>
          </cell>
          <cell r="P42">
            <v>53.23</v>
          </cell>
          <cell r="Q42">
            <v>336.92</v>
          </cell>
          <cell r="R42">
            <v>468.3</v>
          </cell>
          <cell r="S42">
            <v>8.6999999999999993</v>
          </cell>
          <cell r="T42" t="str">
            <v>5.24</v>
          </cell>
          <cell r="U42" t="str">
            <v>0.94</v>
          </cell>
        </row>
        <row r="43">
          <cell r="B43" t="str">
            <v>영어교육과</v>
          </cell>
          <cell r="C43">
            <v>7</v>
          </cell>
          <cell r="D43">
            <v>29</v>
          </cell>
          <cell r="E43">
            <v>4.1428571428571432</v>
          </cell>
          <cell r="F43">
            <v>3</v>
          </cell>
          <cell r="G43">
            <v>321.73</v>
          </cell>
          <cell r="H43" t="str">
            <v>4.31</v>
          </cell>
          <cell r="I43" t="str">
            <v>1.86</v>
          </cell>
          <cell r="J43" t="str">
            <v>2.29</v>
          </cell>
          <cell r="K43">
            <v>1.29</v>
          </cell>
          <cell r="L43" t="str">
            <v>1.79</v>
          </cell>
          <cell r="M43">
            <v>124.71</v>
          </cell>
          <cell r="N43">
            <v>127.86</v>
          </cell>
          <cell r="O43">
            <v>133</v>
          </cell>
          <cell r="P43">
            <v>64.709999999999994</v>
          </cell>
          <cell r="Q43">
            <v>450.28</v>
          </cell>
          <cell r="R43">
            <v>492.04</v>
          </cell>
          <cell r="S43">
            <v>2.4900000000000002</v>
          </cell>
          <cell r="T43" t="str">
            <v>2.56</v>
          </cell>
          <cell r="U43" t="str">
            <v>0.36</v>
          </cell>
        </row>
        <row r="44">
          <cell r="B44" t="str">
            <v>과학교육학부(화학교육)</v>
          </cell>
          <cell r="C44">
            <v>5</v>
          </cell>
          <cell r="D44">
            <v>13</v>
          </cell>
          <cell r="E44">
            <v>2.6</v>
          </cell>
          <cell r="F44">
            <v>1</v>
          </cell>
          <cell r="G44">
            <v>295.35000000000002</v>
          </cell>
          <cell r="H44" t="str">
            <v>4.16</v>
          </cell>
          <cell r="I44" t="str">
            <v>2.6</v>
          </cell>
          <cell r="J44" t="str">
            <v>4.4</v>
          </cell>
          <cell r="K44">
            <v>3</v>
          </cell>
          <cell r="L44" t="str">
            <v>2.8</v>
          </cell>
          <cell r="M44">
            <v>122.4</v>
          </cell>
          <cell r="N44">
            <v>108.4</v>
          </cell>
          <cell r="O44">
            <v>121.8</v>
          </cell>
          <cell r="P44">
            <v>61.6</v>
          </cell>
          <cell r="Q44">
            <v>414.20000000000005</v>
          </cell>
          <cell r="R44">
            <v>491.74</v>
          </cell>
          <cell r="S44">
            <v>1.28</v>
          </cell>
          <cell r="T44" t="str">
            <v>2.63</v>
          </cell>
          <cell r="U44" t="str">
            <v>0.2</v>
          </cell>
        </row>
        <row r="45">
          <cell r="B45" t="str">
            <v>일반사회교육과</v>
          </cell>
          <cell r="C45">
            <v>10</v>
          </cell>
          <cell r="D45">
            <v>34</v>
          </cell>
          <cell r="E45">
            <v>3.4</v>
          </cell>
          <cell r="F45">
            <v>2</v>
          </cell>
          <cell r="G45">
            <v>309.72000000000003</v>
          </cell>
          <cell r="H45" t="str">
            <v>4.86</v>
          </cell>
          <cell r="I45" t="str">
            <v>2.7</v>
          </cell>
          <cell r="J45" t="str">
            <v>3.1</v>
          </cell>
          <cell r="K45">
            <v>2.6</v>
          </cell>
          <cell r="L45" t="str">
            <v>1.9</v>
          </cell>
          <cell r="M45">
            <v>121</v>
          </cell>
          <cell r="N45">
            <v>123.9</v>
          </cell>
          <cell r="O45">
            <v>123.5</v>
          </cell>
          <cell r="P45">
            <v>65.2</v>
          </cell>
          <cell r="Q45">
            <v>433.59999999999997</v>
          </cell>
          <cell r="R45">
            <v>491.36</v>
          </cell>
          <cell r="S45">
            <v>3.61</v>
          </cell>
          <cell r="T45" t="str">
            <v>2.6</v>
          </cell>
          <cell r="U45" t="str">
            <v>0.45</v>
          </cell>
        </row>
        <row r="46">
          <cell r="B46" t="str">
            <v>수학교육과</v>
          </cell>
          <cell r="C46">
            <v>8</v>
          </cell>
          <cell r="D46">
            <v>23</v>
          </cell>
          <cell r="E46">
            <v>2.875</v>
          </cell>
          <cell r="F46">
            <v>5</v>
          </cell>
          <cell r="G46">
            <v>306.20999999999998</v>
          </cell>
          <cell r="H46" t="str">
            <v>4.9</v>
          </cell>
          <cell r="I46" t="str">
            <v>3</v>
          </cell>
          <cell r="J46" t="str">
            <v>2.63</v>
          </cell>
          <cell r="K46">
            <v>2.63</v>
          </cell>
          <cell r="L46" t="str">
            <v>2.25</v>
          </cell>
          <cell r="M46">
            <v>118.75</v>
          </cell>
          <cell r="N46">
            <v>121.88</v>
          </cell>
          <cell r="O46">
            <v>124</v>
          </cell>
          <cell r="P46">
            <v>63.44</v>
          </cell>
          <cell r="Q46">
            <v>428.07</v>
          </cell>
          <cell r="R46">
            <v>490.95</v>
          </cell>
          <cell r="S46">
            <v>3</v>
          </cell>
          <cell r="T46" t="str">
            <v>2.75</v>
          </cell>
          <cell r="U46" t="str">
            <v>0.45</v>
          </cell>
        </row>
        <row r="47">
          <cell r="B47" t="str">
            <v>교육학과</v>
          </cell>
          <cell r="C47">
            <v>7</v>
          </cell>
          <cell r="D47">
            <v>32</v>
          </cell>
          <cell r="E47">
            <v>4.5714285714285712</v>
          </cell>
          <cell r="F47">
            <v>0</v>
          </cell>
          <cell r="G47">
            <v>309.3</v>
          </cell>
          <cell r="H47" t="str">
            <v>7.47</v>
          </cell>
          <cell r="I47" t="str">
            <v>2.57</v>
          </cell>
          <cell r="J47" t="str">
            <v>2</v>
          </cell>
          <cell r="K47">
            <v>3.29</v>
          </cell>
          <cell r="L47" t="str">
            <v>2.29</v>
          </cell>
          <cell r="M47">
            <v>120.57</v>
          </cell>
          <cell r="N47">
            <v>132.13999999999999</v>
          </cell>
          <cell r="O47">
            <v>118.71</v>
          </cell>
          <cell r="P47">
            <v>63</v>
          </cell>
          <cell r="Q47">
            <v>434.41999999999996</v>
          </cell>
          <cell r="R47">
            <v>490.09</v>
          </cell>
          <cell r="S47">
            <v>1.33</v>
          </cell>
          <cell r="T47" t="str">
            <v>2.9</v>
          </cell>
          <cell r="U47" t="str">
            <v>0.2</v>
          </cell>
        </row>
        <row r="48">
          <cell r="B48" t="str">
            <v>국어교육과</v>
          </cell>
          <cell r="C48">
            <v>8</v>
          </cell>
          <cell r="D48">
            <v>20</v>
          </cell>
          <cell r="E48">
            <v>2.5</v>
          </cell>
          <cell r="F48">
            <v>6</v>
          </cell>
          <cell r="G48">
            <v>314.72000000000003</v>
          </cell>
          <cell r="H48" t="str">
            <v>7.83</v>
          </cell>
          <cell r="I48" t="str">
            <v>2.25</v>
          </cell>
          <cell r="J48" t="str">
            <v>2.13</v>
          </cell>
          <cell r="K48">
            <v>3.25</v>
          </cell>
          <cell r="L48" t="str">
            <v>1.56</v>
          </cell>
          <cell r="M48">
            <v>123.5</v>
          </cell>
          <cell r="N48">
            <v>130.88</v>
          </cell>
          <cell r="O48">
            <v>120.63</v>
          </cell>
          <cell r="P48">
            <v>66.44</v>
          </cell>
          <cell r="Q48">
            <v>441.45</v>
          </cell>
          <cell r="R48">
            <v>489.65</v>
          </cell>
          <cell r="S48">
            <v>4.68</v>
          </cell>
          <cell r="T48" t="str">
            <v>2.89</v>
          </cell>
          <cell r="U48" t="str">
            <v>0.64</v>
          </cell>
        </row>
        <row r="49">
          <cell r="B49" t="str">
            <v>윤리교육과</v>
          </cell>
          <cell r="C49">
            <v>5</v>
          </cell>
          <cell r="D49">
            <v>17</v>
          </cell>
          <cell r="E49">
            <v>3.4</v>
          </cell>
          <cell r="F49">
            <v>5</v>
          </cell>
          <cell r="G49">
            <v>298.77999999999997</v>
          </cell>
          <cell r="H49" t="str">
            <v>5.12</v>
          </cell>
          <cell r="I49" t="str">
            <v>2.6</v>
          </cell>
          <cell r="J49" t="str">
            <v>3.4</v>
          </cell>
          <cell r="K49">
            <v>3.6</v>
          </cell>
          <cell r="L49" t="str">
            <v>2.3</v>
          </cell>
          <cell r="M49">
            <v>121.8</v>
          </cell>
          <cell r="N49">
            <v>118.4</v>
          </cell>
          <cell r="O49">
            <v>114.2</v>
          </cell>
          <cell r="P49">
            <v>63.7</v>
          </cell>
          <cell r="Q49">
            <v>418.09999999999997</v>
          </cell>
          <cell r="R49">
            <v>487.45</v>
          </cell>
          <cell r="S49">
            <v>7.14</v>
          </cell>
          <cell r="T49" t="str">
            <v>3.17</v>
          </cell>
          <cell r="U49" t="str">
            <v>0.84</v>
          </cell>
        </row>
        <row r="50">
          <cell r="B50" t="str">
            <v>독어교육과</v>
          </cell>
          <cell r="C50">
            <v>3</v>
          </cell>
          <cell r="D50">
            <v>15</v>
          </cell>
          <cell r="E50">
            <v>5</v>
          </cell>
          <cell r="F50">
            <v>0</v>
          </cell>
          <cell r="G50">
            <v>291.75</v>
          </cell>
          <cell r="H50" t="str">
            <v>4.04</v>
          </cell>
          <cell r="I50" t="str">
            <v>4</v>
          </cell>
          <cell r="J50" t="str">
            <v>3.67</v>
          </cell>
          <cell r="K50">
            <v>3.33</v>
          </cell>
          <cell r="L50" t="str">
            <v>3.17</v>
          </cell>
          <cell r="M50">
            <v>112</v>
          </cell>
          <cell r="N50">
            <v>120</v>
          </cell>
          <cell r="O50">
            <v>117.67</v>
          </cell>
          <cell r="P50">
            <v>59.33</v>
          </cell>
          <cell r="Q50">
            <v>409</v>
          </cell>
          <cell r="R50">
            <v>485.7</v>
          </cell>
          <cell r="S50">
            <v>5.24</v>
          </cell>
          <cell r="T50" t="str">
            <v>3.44</v>
          </cell>
          <cell r="U50" t="str">
            <v>0.58</v>
          </cell>
        </row>
        <row r="51">
          <cell r="B51" t="str">
            <v>과학교육학부(생물교육)</v>
          </cell>
          <cell r="C51">
            <v>6</v>
          </cell>
          <cell r="D51">
            <v>14</v>
          </cell>
          <cell r="E51">
            <v>2.3333333333333335</v>
          </cell>
          <cell r="F51">
            <v>6</v>
          </cell>
          <cell r="G51">
            <v>291.81</v>
          </cell>
          <cell r="H51" t="str">
            <v>16.08</v>
          </cell>
          <cell r="I51" t="str">
            <v>2.43</v>
          </cell>
          <cell r="J51" t="str">
            <v>3.71</v>
          </cell>
          <cell r="K51">
            <v>3.57</v>
          </cell>
          <cell r="L51" t="str">
            <v>2.86</v>
          </cell>
          <cell r="M51">
            <v>121.71</v>
          </cell>
          <cell r="N51">
            <v>112.43</v>
          </cell>
          <cell r="O51">
            <v>114.43</v>
          </cell>
          <cell r="P51">
            <v>60.79</v>
          </cell>
          <cell r="Q51">
            <v>409.36</v>
          </cell>
          <cell r="R51">
            <v>484.29</v>
          </cell>
          <cell r="S51">
            <v>9.1300000000000008</v>
          </cell>
          <cell r="T51" t="str">
            <v>3.67</v>
          </cell>
          <cell r="U51" t="str">
            <v>1.04</v>
          </cell>
        </row>
        <row r="52">
          <cell r="B52" t="str">
            <v>지리교육과</v>
          </cell>
          <cell r="C52">
            <v>4</v>
          </cell>
          <cell r="D52">
            <v>14</v>
          </cell>
          <cell r="E52">
            <v>3.5</v>
          </cell>
          <cell r="F52">
            <v>4</v>
          </cell>
          <cell r="G52">
            <v>304.85000000000002</v>
          </cell>
          <cell r="H52" t="str">
            <v>5.64</v>
          </cell>
          <cell r="I52" t="str">
            <v>2.5</v>
          </cell>
          <cell r="J52" t="str">
            <v>3.25</v>
          </cell>
          <cell r="K52">
            <v>3.25</v>
          </cell>
          <cell r="L52" t="str">
            <v>2.5</v>
          </cell>
          <cell r="M52">
            <v>119.25</v>
          </cell>
          <cell r="N52">
            <v>123.25</v>
          </cell>
          <cell r="O52">
            <v>122.25</v>
          </cell>
          <cell r="P52">
            <v>62.25</v>
          </cell>
          <cell r="Q52">
            <v>427</v>
          </cell>
          <cell r="R52">
            <v>484.25</v>
          </cell>
          <cell r="S52">
            <v>13.27</v>
          </cell>
          <cell r="T52" t="str">
            <v>3.56</v>
          </cell>
          <cell r="U52" t="str">
            <v>1.75</v>
          </cell>
        </row>
        <row r="53">
          <cell r="B53" t="str">
            <v>과학교육학부(물리교육)</v>
          </cell>
          <cell r="C53">
            <v>5</v>
          </cell>
          <cell r="D53">
            <v>11</v>
          </cell>
          <cell r="E53">
            <v>2.2000000000000002</v>
          </cell>
          <cell r="F53">
            <v>2</v>
          </cell>
          <cell r="G53">
            <v>275.95</v>
          </cell>
          <cell r="H53" t="str">
            <v>12.17</v>
          </cell>
          <cell r="I53" t="str">
            <v>3.8</v>
          </cell>
          <cell r="J53" t="str">
            <v>5.2</v>
          </cell>
          <cell r="K53">
            <v>3.8</v>
          </cell>
          <cell r="L53" t="str">
            <v>3.3</v>
          </cell>
          <cell r="M53">
            <v>114.4</v>
          </cell>
          <cell r="N53">
            <v>99.6</v>
          </cell>
          <cell r="O53">
            <v>114.4</v>
          </cell>
          <cell r="P53">
            <v>58.6</v>
          </cell>
          <cell r="Q53">
            <v>387</v>
          </cell>
          <cell r="R53">
            <v>482.37</v>
          </cell>
          <cell r="S53">
            <v>4.53</v>
          </cell>
          <cell r="T53" t="str">
            <v>3.81</v>
          </cell>
          <cell r="U53" t="str">
            <v>0.51</v>
          </cell>
        </row>
        <row r="54">
          <cell r="B54" t="str">
            <v>과학교육학부(지구과학교육)</v>
          </cell>
          <cell r="C54">
            <v>6</v>
          </cell>
          <cell r="D54">
            <v>13</v>
          </cell>
          <cell r="E54">
            <v>2.1666666666666665</v>
          </cell>
          <cell r="F54">
            <v>3</v>
          </cell>
          <cell r="G54">
            <v>286.52</v>
          </cell>
          <cell r="H54" t="str">
            <v>10.92</v>
          </cell>
          <cell r="I54" t="str">
            <v>2.5</v>
          </cell>
          <cell r="J54" t="str">
            <v>4.33</v>
          </cell>
          <cell r="K54">
            <v>3.83</v>
          </cell>
          <cell r="L54" t="str">
            <v>2.33</v>
          </cell>
          <cell r="M54">
            <v>121.33</v>
          </cell>
          <cell r="N54">
            <v>107.33</v>
          </cell>
          <cell r="O54">
            <v>111.33</v>
          </cell>
          <cell r="P54">
            <v>62.25</v>
          </cell>
          <cell r="Q54">
            <v>402.24</v>
          </cell>
          <cell r="R54">
            <v>480.59</v>
          </cell>
          <cell r="S54">
            <v>8.58</v>
          </cell>
          <cell r="T54" t="str">
            <v>3.72</v>
          </cell>
          <cell r="U54" t="str">
            <v>0.93</v>
          </cell>
        </row>
        <row r="55">
          <cell r="B55" t="str">
            <v>체육교육과</v>
          </cell>
          <cell r="C55">
            <v>16</v>
          </cell>
          <cell r="D55">
            <v>93</v>
          </cell>
          <cell r="E55">
            <v>5.8125</v>
          </cell>
          <cell r="F55">
            <v>2</v>
          </cell>
          <cell r="G55">
            <v>169.07</v>
          </cell>
          <cell r="H55" t="str">
            <v>10.08</v>
          </cell>
          <cell r="I55" t="str">
            <v>3.88</v>
          </cell>
          <cell r="J55" t="str">
            <v>4.06</v>
          </cell>
          <cell r="K55">
            <v>3.94</v>
          </cell>
          <cell r="L55" t="str">
            <v>3.13</v>
          </cell>
          <cell r="M55">
            <v>111.63</v>
          </cell>
          <cell r="N55">
            <v>108.13</v>
          </cell>
          <cell r="O55">
            <v>111.81</v>
          </cell>
          <cell r="P55">
            <v>59.09</v>
          </cell>
          <cell r="Q55">
            <v>390.65999999999997</v>
          </cell>
          <cell r="R55">
            <v>479.9</v>
          </cell>
          <cell r="S55">
            <v>9.4</v>
          </cell>
          <cell r="T55" t="str">
            <v>3.98</v>
          </cell>
          <cell r="U55" t="str">
            <v>1</v>
          </cell>
        </row>
        <row r="56">
          <cell r="B56" t="str">
            <v>행정학과</v>
          </cell>
          <cell r="C56">
            <v>19</v>
          </cell>
          <cell r="D56">
            <v>63</v>
          </cell>
          <cell r="E56">
            <v>3.3157894736842106</v>
          </cell>
          <cell r="F56">
            <v>15</v>
          </cell>
          <cell r="G56">
            <v>311.56</v>
          </cell>
          <cell r="H56" t="str">
            <v>8.23</v>
          </cell>
          <cell r="I56" t="str">
            <v>2.32</v>
          </cell>
          <cell r="J56" t="str">
            <v>2.16</v>
          </cell>
          <cell r="K56">
            <v>2.89</v>
          </cell>
          <cell r="L56" t="str">
            <v>2.24</v>
          </cell>
          <cell r="M56">
            <v>122</v>
          </cell>
          <cell r="N56">
            <v>129.84</v>
          </cell>
          <cell r="O56">
            <v>121.74</v>
          </cell>
          <cell r="P56">
            <v>63.47</v>
          </cell>
          <cell r="Q56">
            <v>437.04999999999995</v>
          </cell>
          <cell r="R56">
            <v>488.61</v>
          </cell>
          <cell r="S56">
            <v>5.35</v>
          </cell>
          <cell r="T56" t="str">
            <v>2.99</v>
          </cell>
          <cell r="U56" t="str">
            <v>0.6</v>
          </cell>
        </row>
        <row r="57">
          <cell r="B57" t="str">
            <v>신문방송학과</v>
          </cell>
          <cell r="C57">
            <v>11</v>
          </cell>
          <cell r="D57">
            <v>44</v>
          </cell>
          <cell r="E57">
            <v>4</v>
          </cell>
          <cell r="F57">
            <v>5</v>
          </cell>
          <cell r="G57">
            <v>304.33999999999997</v>
          </cell>
          <cell r="H57" t="str">
            <v>6.11</v>
          </cell>
          <cell r="I57" t="str">
            <v>2.91</v>
          </cell>
          <cell r="J57" t="str">
            <v>3</v>
          </cell>
          <cell r="K57">
            <v>2.82</v>
          </cell>
          <cell r="L57" t="str">
            <v>2.73</v>
          </cell>
          <cell r="M57">
            <v>119.45</v>
          </cell>
          <cell r="N57">
            <v>123.45</v>
          </cell>
          <cell r="O57">
            <v>121.64</v>
          </cell>
          <cell r="P57">
            <v>61.82</v>
          </cell>
          <cell r="Q57">
            <v>426.36</v>
          </cell>
          <cell r="R57">
            <v>487.39</v>
          </cell>
          <cell r="S57">
            <v>4.43</v>
          </cell>
          <cell r="T57" t="str">
            <v>3.22</v>
          </cell>
          <cell r="U57" t="str">
            <v>0.59</v>
          </cell>
        </row>
        <row r="58">
          <cell r="B58" t="str">
            <v>사회복지학과</v>
          </cell>
          <cell r="C58">
            <v>12</v>
          </cell>
          <cell r="D58">
            <v>81</v>
          </cell>
          <cell r="E58">
            <v>6.75</v>
          </cell>
          <cell r="F58">
            <v>7</v>
          </cell>
          <cell r="G58">
            <v>297.02999999999997</v>
          </cell>
          <cell r="H58" t="str">
            <v>7.6</v>
          </cell>
          <cell r="I58" t="str">
            <v>3.17</v>
          </cell>
          <cell r="J58" t="str">
            <v>3.25</v>
          </cell>
          <cell r="K58">
            <v>3.58</v>
          </cell>
          <cell r="L58" t="str">
            <v>2.83</v>
          </cell>
          <cell r="M58">
            <v>118.33</v>
          </cell>
          <cell r="N58">
            <v>120</v>
          </cell>
          <cell r="O58">
            <v>116.08</v>
          </cell>
          <cell r="P58">
            <v>61.63</v>
          </cell>
          <cell r="Q58">
            <v>416.03999999999996</v>
          </cell>
          <cell r="R58">
            <v>487.35</v>
          </cell>
          <cell r="S58">
            <v>4.21</v>
          </cell>
          <cell r="T58" t="str">
            <v>3.24</v>
          </cell>
          <cell r="U58" t="str">
            <v>0.56</v>
          </cell>
        </row>
        <row r="59">
          <cell r="B59" t="str">
            <v>정치외교학과</v>
          </cell>
          <cell r="C59">
            <v>16</v>
          </cell>
          <cell r="D59">
            <v>60</v>
          </cell>
          <cell r="E59">
            <v>3.75</v>
          </cell>
          <cell r="F59">
            <v>17</v>
          </cell>
          <cell r="G59">
            <v>293.49</v>
          </cell>
          <cell r="H59" t="str">
            <v>7.09</v>
          </cell>
          <cell r="I59" t="str">
            <v>3.6</v>
          </cell>
          <cell r="J59" t="str">
            <v>3.33</v>
          </cell>
          <cell r="K59">
            <v>3.53</v>
          </cell>
          <cell r="L59" t="str">
            <v>2.97</v>
          </cell>
          <cell r="M59">
            <v>114.87</v>
          </cell>
          <cell r="N59">
            <v>119.53</v>
          </cell>
          <cell r="O59">
            <v>116.2</v>
          </cell>
          <cell r="P59">
            <v>60.63</v>
          </cell>
          <cell r="Q59">
            <v>411.23</v>
          </cell>
          <cell r="R59">
            <v>486.35</v>
          </cell>
          <cell r="S59">
            <v>4.51</v>
          </cell>
          <cell r="T59" t="str">
            <v>3.35</v>
          </cell>
          <cell r="U59" t="str">
            <v>0.56</v>
          </cell>
        </row>
        <row r="60">
          <cell r="B60" t="str">
            <v>사회학과</v>
          </cell>
          <cell r="C60">
            <v>11</v>
          </cell>
          <cell r="D60">
            <v>53</v>
          </cell>
          <cell r="E60">
            <v>4.8181818181818183</v>
          </cell>
          <cell r="F60">
            <v>7</v>
          </cell>
          <cell r="G60">
            <v>293.42</v>
          </cell>
          <cell r="H60" t="str">
            <v>5.93</v>
          </cell>
          <cell r="I60" t="str">
            <v>3.55</v>
          </cell>
          <cell r="J60" t="str">
            <v>3.27</v>
          </cell>
          <cell r="K60">
            <v>3.73</v>
          </cell>
          <cell r="L60" t="str">
            <v>2.82</v>
          </cell>
          <cell r="M60">
            <v>115.09</v>
          </cell>
          <cell r="N60">
            <v>120.27</v>
          </cell>
          <cell r="O60">
            <v>115.27</v>
          </cell>
          <cell r="P60">
            <v>60.64</v>
          </cell>
          <cell r="Q60">
            <v>411.27</v>
          </cell>
          <cell r="R60">
            <v>486.18</v>
          </cell>
          <cell r="S60">
            <v>4.62</v>
          </cell>
          <cell r="T60" t="str">
            <v>3.32</v>
          </cell>
          <cell r="U60" t="str">
            <v>0.6</v>
          </cell>
        </row>
        <row r="61">
          <cell r="B61" t="str">
            <v>심리학과</v>
          </cell>
          <cell r="C61">
            <v>8</v>
          </cell>
          <cell r="D61">
            <v>48</v>
          </cell>
          <cell r="E61">
            <v>6</v>
          </cell>
          <cell r="F61">
            <v>9</v>
          </cell>
          <cell r="G61">
            <v>298.83</v>
          </cell>
          <cell r="H61" t="str">
            <v>5.55</v>
          </cell>
          <cell r="I61" t="str">
            <v>3.13</v>
          </cell>
          <cell r="J61" t="str">
            <v>3.25</v>
          </cell>
          <cell r="K61">
            <v>3.38</v>
          </cell>
          <cell r="L61" t="str">
            <v>2.63</v>
          </cell>
          <cell r="M61">
            <v>117.88</v>
          </cell>
          <cell r="N61">
            <v>119.25</v>
          </cell>
          <cell r="O61">
            <v>119.38</v>
          </cell>
          <cell r="P61">
            <v>61.81</v>
          </cell>
          <cell r="Q61">
            <v>418.32</v>
          </cell>
          <cell r="R61">
            <v>482.61</v>
          </cell>
          <cell r="S61">
            <v>6.69</v>
          </cell>
          <cell r="T61" t="str">
            <v>3.74</v>
          </cell>
          <cell r="U61" t="str">
            <v>0.75</v>
          </cell>
        </row>
        <row r="62">
          <cell r="B62" t="str">
            <v>경영학부</v>
          </cell>
          <cell r="C62">
            <v>75</v>
          </cell>
          <cell r="D62">
            <v>270</v>
          </cell>
          <cell r="E62">
            <v>3.6</v>
          </cell>
          <cell r="F62">
            <v>52</v>
          </cell>
          <cell r="G62">
            <v>301.52999999999997</v>
          </cell>
          <cell r="H62" t="str">
            <v>8.46</v>
          </cell>
          <cell r="I62" t="str">
            <v>3.22</v>
          </cell>
          <cell r="J62" t="str">
            <v>2.84</v>
          </cell>
          <cell r="K62">
            <v>3.23</v>
          </cell>
          <cell r="L62" t="str">
            <v>2.63</v>
          </cell>
          <cell r="M62">
            <v>117.46</v>
          </cell>
          <cell r="N62">
            <v>124.05</v>
          </cell>
          <cell r="O62">
            <v>119.15</v>
          </cell>
          <cell r="P62">
            <v>62.05</v>
          </cell>
          <cell r="Q62">
            <v>422.71</v>
          </cell>
          <cell r="R62">
            <v>485.63</v>
          </cell>
          <cell r="S62">
            <v>6.33</v>
          </cell>
          <cell r="T62" t="str">
            <v>3.39</v>
          </cell>
          <cell r="U62" t="str">
            <v>0.75</v>
          </cell>
        </row>
        <row r="63">
          <cell r="B63" t="str">
            <v>무역학과</v>
          </cell>
          <cell r="C63">
            <v>41</v>
          </cell>
          <cell r="D63">
            <v>149</v>
          </cell>
          <cell r="E63">
            <v>3.6341463414634148</v>
          </cell>
          <cell r="F63">
            <v>26</v>
          </cell>
          <cell r="G63">
            <v>290.56</v>
          </cell>
          <cell r="H63" t="str">
            <v>5.3</v>
          </cell>
          <cell r="I63" t="str">
            <v>3.66</v>
          </cell>
          <cell r="J63" t="str">
            <v>3.59</v>
          </cell>
          <cell r="K63">
            <v>3.63</v>
          </cell>
          <cell r="L63" t="str">
            <v>2.76</v>
          </cell>
          <cell r="M63">
            <v>114.56</v>
          </cell>
          <cell r="N63">
            <v>116</v>
          </cell>
          <cell r="O63">
            <v>114.93</v>
          </cell>
          <cell r="P63">
            <v>61.26</v>
          </cell>
          <cell r="Q63">
            <v>406.75</v>
          </cell>
          <cell r="R63">
            <v>483.3</v>
          </cell>
          <cell r="S63">
            <v>5.92</v>
          </cell>
          <cell r="T63" t="str">
            <v>3.69</v>
          </cell>
          <cell r="U63" t="str">
            <v>0.69</v>
          </cell>
        </row>
        <row r="64">
          <cell r="B64" t="str">
            <v>경제학부</v>
          </cell>
          <cell r="C64">
            <v>26</v>
          </cell>
          <cell r="D64">
            <v>92</v>
          </cell>
          <cell r="E64">
            <v>3.5384615384615383</v>
          </cell>
          <cell r="F64">
            <v>23</v>
          </cell>
          <cell r="G64">
            <v>298.33999999999997</v>
          </cell>
          <cell r="H64" t="str">
            <v>5.37</v>
          </cell>
          <cell r="I64" t="str">
            <v>3.38</v>
          </cell>
          <cell r="J64" t="str">
            <v>2.85</v>
          </cell>
          <cell r="K64">
            <v>3.38</v>
          </cell>
          <cell r="L64" t="str">
            <v>2.79</v>
          </cell>
          <cell r="M64">
            <v>115.73</v>
          </cell>
          <cell r="N64">
            <v>123.5</v>
          </cell>
          <cell r="O64">
            <v>117.81</v>
          </cell>
          <cell r="P64">
            <v>61.33</v>
          </cell>
          <cell r="Q64">
            <v>418.37</v>
          </cell>
          <cell r="R64">
            <v>482.33</v>
          </cell>
          <cell r="S64">
            <v>6.24</v>
          </cell>
          <cell r="T64" t="str">
            <v>3.79</v>
          </cell>
          <cell r="U64" t="str">
            <v>0.7</v>
          </cell>
        </row>
        <row r="65">
          <cell r="B65" t="str">
            <v>아동학과</v>
          </cell>
          <cell r="C65">
            <v>6</v>
          </cell>
          <cell r="D65">
            <v>51</v>
          </cell>
          <cell r="E65">
            <v>8.5</v>
          </cell>
          <cell r="F65">
            <v>3</v>
          </cell>
          <cell r="G65">
            <v>292.36</v>
          </cell>
          <cell r="H65" t="str">
            <v>8.87</v>
          </cell>
          <cell r="I65" t="str">
            <v>3.33</v>
          </cell>
          <cell r="J65" t="str">
            <v>3.33</v>
          </cell>
          <cell r="K65">
            <v>3.5</v>
          </cell>
          <cell r="L65" t="str">
            <v>3.17</v>
          </cell>
          <cell r="M65">
            <v>115.33</v>
          </cell>
          <cell r="N65">
            <v>120.17</v>
          </cell>
          <cell r="O65">
            <v>114.83</v>
          </cell>
          <cell r="P65">
            <v>59.5</v>
          </cell>
          <cell r="Q65">
            <v>409.83</v>
          </cell>
          <cell r="R65">
            <v>486.76</v>
          </cell>
          <cell r="S65">
            <v>3.74</v>
          </cell>
          <cell r="T65" t="str">
            <v>3.33</v>
          </cell>
          <cell r="U65" t="str">
            <v>0.42</v>
          </cell>
        </row>
        <row r="66">
          <cell r="B66" t="str">
            <v>의류학과</v>
          </cell>
          <cell r="C66">
            <v>13</v>
          </cell>
          <cell r="D66">
            <v>131</v>
          </cell>
          <cell r="E66">
            <v>10.076923076923077</v>
          </cell>
          <cell r="F66">
            <v>4</v>
          </cell>
          <cell r="G66">
            <v>284.35000000000002</v>
          </cell>
          <cell r="H66" t="str">
            <v>4.39</v>
          </cell>
          <cell r="I66" t="str">
            <v>4.23</v>
          </cell>
          <cell r="J66" t="str">
            <v>3.54</v>
          </cell>
          <cell r="K66">
            <v>4.3099999999999996</v>
          </cell>
          <cell r="L66" t="str">
            <v>3.19</v>
          </cell>
          <cell r="M66">
            <v>110</v>
          </cell>
          <cell r="N66">
            <v>116.69</v>
          </cell>
          <cell r="O66">
            <v>109.54</v>
          </cell>
          <cell r="P66">
            <v>59.15</v>
          </cell>
          <cell r="Q66">
            <v>395.38</v>
          </cell>
          <cell r="R66">
            <v>479.59</v>
          </cell>
          <cell r="S66">
            <v>6.54</v>
          </cell>
          <cell r="T66" t="str">
            <v>4.08</v>
          </cell>
          <cell r="U66" t="str">
            <v>0.69</v>
          </cell>
        </row>
        <row r="67">
          <cell r="B67" t="str">
            <v>식품영양학과</v>
          </cell>
          <cell r="C67">
            <v>11</v>
          </cell>
          <cell r="D67">
            <v>42</v>
          </cell>
          <cell r="E67">
            <v>3.8181818181818183</v>
          </cell>
          <cell r="F67">
            <v>13</v>
          </cell>
          <cell r="G67">
            <v>266.89</v>
          </cell>
          <cell r="H67" t="str">
            <v>12.88</v>
          </cell>
          <cell r="I67" t="str">
            <v>4</v>
          </cell>
          <cell r="J67" t="str">
            <v>5.42</v>
          </cell>
          <cell r="K67">
            <v>4.42</v>
          </cell>
          <cell r="L67" t="str">
            <v>3.71</v>
          </cell>
          <cell r="M67">
            <v>112.42</v>
          </cell>
          <cell r="N67">
            <v>97.75</v>
          </cell>
          <cell r="O67">
            <v>107.33</v>
          </cell>
          <cell r="P67">
            <v>57.08</v>
          </cell>
          <cell r="Q67">
            <v>374.58</v>
          </cell>
          <cell r="R67">
            <v>478.47</v>
          </cell>
          <cell r="S67">
            <v>7.88</v>
          </cell>
          <cell r="T67" t="str">
            <v>4.2</v>
          </cell>
          <cell r="U67" t="str">
            <v>0.83</v>
          </cell>
        </row>
        <row r="68">
          <cell r="B68" t="str">
            <v>주거환경학과</v>
          </cell>
          <cell r="C68">
            <v>9</v>
          </cell>
          <cell r="D68">
            <v>54</v>
          </cell>
          <cell r="E68">
            <v>6</v>
          </cell>
          <cell r="F68">
            <v>21</v>
          </cell>
          <cell r="G68">
            <v>279.12</v>
          </cell>
          <cell r="H68" t="str">
            <v>6.85</v>
          </cell>
          <cell r="I68" t="str">
            <v>3.56</v>
          </cell>
          <cell r="J68" t="str">
            <v>4.33</v>
          </cell>
          <cell r="K68">
            <v>4.33</v>
          </cell>
          <cell r="L68" t="str">
            <v>3.22</v>
          </cell>
          <cell r="M68">
            <v>115.67</v>
          </cell>
          <cell r="N68">
            <v>106.22</v>
          </cell>
          <cell r="O68">
            <v>108.44</v>
          </cell>
          <cell r="P68">
            <v>59.44</v>
          </cell>
          <cell r="Q68">
            <v>389.77</v>
          </cell>
          <cell r="R68">
            <v>477.39</v>
          </cell>
          <cell r="S68">
            <v>5.89</v>
          </cell>
          <cell r="T68" t="str">
            <v>4.32</v>
          </cell>
          <cell r="U68" t="str">
            <v>0.61</v>
          </cell>
        </row>
        <row r="69">
          <cell r="B69" t="str">
            <v>무용학과</v>
          </cell>
          <cell r="C69">
            <v>14</v>
          </cell>
          <cell r="D69">
            <v>27</v>
          </cell>
          <cell r="E69">
            <v>1.9285714285714286</v>
          </cell>
          <cell r="F69">
            <v>6</v>
          </cell>
          <cell r="G69">
            <v>37.71</v>
          </cell>
          <cell r="H69" t="str">
            <v>5.94</v>
          </cell>
          <cell r="I69" t="str">
            <v>7.43</v>
          </cell>
          <cell r="J69" t="str">
            <v>4.14</v>
          </cell>
          <cell r="K69">
            <v>7.71</v>
          </cell>
          <cell r="L69" t="str">
            <v>6.18</v>
          </cell>
          <cell r="M69">
            <v>72.14</v>
          </cell>
          <cell r="N69">
            <v>44</v>
          </cell>
          <cell r="O69">
            <v>72.709999999999994</v>
          </cell>
          <cell r="P69">
            <v>42.61</v>
          </cell>
          <cell r="Q69">
            <v>231.45999999999998</v>
          </cell>
          <cell r="R69">
            <v>277.39</v>
          </cell>
          <cell r="S69">
            <v>8.25</v>
          </cell>
          <cell r="T69" t="str">
            <v>5.84</v>
          </cell>
          <cell r="U69" t="str">
            <v>1.53</v>
          </cell>
        </row>
        <row r="70">
          <cell r="B70" t="str">
            <v>미술학과(가구조형디자인)</v>
          </cell>
          <cell r="C70">
            <v>5</v>
          </cell>
          <cell r="D70">
            <v>36</v>
          </cell>
          <cell r="E70">
            <v>7.2</v>
          </cell>
          <cell r="F70">
            <v>0</v>
          </cell>
          <cell r="G70">
            <v>42.05</v>
          </cell>
          <cell r="H70" t="str">
            <v>2.37</v>
          </cell>
          <cell r="I70" t="str">
            <v>6.8</v>
          </cell>
          <cell r="J70" t="str">
            <v>5.2</v>
          </cell>
          <cell r="K70">
            <v>7</v>
          </cell>
          <cell r="L70" t="str">
            <v>5.6</v>
          </cell>
          <cell r="M70">
            <v>83.8</v>
          </cell>
          <cell r="N70">
            <v>64.2</v>
          </cell>
          <cell r="O70">
            <v>80</v>
          </cell>
          <cell r="P70">
            <v>45.1</v>
          </cell>
          <cell r="Q70">
            <v>273.10000000000002</v>
          </cell>
          <cell r="R70">
            <v>283.83</v>
          </cell>
          <cell r="S70">
            <v>7.51</v>
          </cell>
          <cell r="T70" t="str">
            <v>4.69</v>
          </cell>
          <cell r="U70" t="str">
            <v>1.35</v>
          </cell>
        </row>
        <row r="71">
          <cell r="B71" t="str">
            <v>미술학과(서양화)</v>
          </cell>
          <cell r="C71">
            <v>5</v>
          </cell>
          <cell r="D71">
            <v>25</v>
          </cell>
          <cell r="E71">
            <v>5</v>
          </cell>
          <cell r="F71">
            <v>0</v>
          </cell>
          <cell r="G71">
            <v>38.96</v>
          </cell>
          <cell r="H71" t="str">
            <v>6.48</v>
          </cell>
          <cell r="I71" t="str">
            <v>7.6</v>
          </cell>
          <cell r="J71" t="str">
            <v>3</v>
          </cell>
          <cell r="K71">
            <v>6.8</v>
          </cell>
          <cell r="L71" t="str">
            <v>5.9</v>
          </cell>
          <cell r="M71">
            <v>69</v>
          </cell>
          <cell r="N71">
            <v>31</v>
          </cell>
          <cell r="O71">
            <v>80.8</v>
          </cell>
          <cell r="P71">
            <v>43.7</v>
          </cell>
          <cell r="Q71">
            <v>224.5</v>
          </cell>
          <cell r="R71">
            <v>280.01</v>
          </cell>
          <cell r="S71">
            <v>7.86</v>
          </cell>
          <cell r="T71" t="str">
            <v>5.43</v>
          </cell>
          <cell r="U71" t="str">
            <v>1.6</v>
          </cell>
        </row>
        <row r="72">
          <cell r="B72" t="str">
            <v>미술학과(조소)</v>
          </cell>
          <cell r="C72">
            <v>4</v>
          </cell>
          <cell r="D72">
            <v>13</v>
          </cell>
          <cell r="E72">
            <v>3.25</v>
          </cell>
          <cell r="F72">
            <v>0</v>
          </cell>
          <cell r="G72">
            <v>48.5</v>
          </cell>
          <cell r="H72" t="str">
            <v>6.72</v>
          </cell>
          <cell r="I72" t="str">
            <v>5.5</v>
          </cell>
          <cell r="J72" t="str">
            <v>6.25</v>
          </cell>
          <cell r="K72">
            <v>5.5</v>
          </cell>
          <cell r="L72" t="str">
            <v>5.5</v>
          </cell>
          <cell r="M72">
            <v>98.25</v>
          </cell>
          <cell r="N72">
            <v>55.5</v>
          </cell>
          <cell r="O72">
            <v>96.5</v>
          </cell>
          <cell r="P72">
            <v>46.38</v>
          </cell>
          <cell r="Q72">
            <v>296.63</v>
          </cell>
          <cell r="R72">
            <v>277.39999999999998</v>
          </cell>
          <cell r="S72">
            <v>3.37</v>
          </cell>
          <cell r="T72" t="str">
            <v>5.7</v>
          </cell>
          <cell r="U72" t="str">
            <v>0.52</v>
          </cell>
        </row>
        <row r="73">
          <cell r="B73" t="str">
            <v>미술학과(한국화)</v>
          </cell>
          <cell r="C73">
            <v>6</v>
          </cell>
          <cell r="D73">
            <v>16</v>
          </cell>
          <cell r="E73">
            <v>2.6666666666666665</v>
          </cell>
          <cell r="F73">
            <v>1</v>
          </cell>
          <cell r="G73">
            <v>39.369999999999997</v>
          </cell>
          <cell r="H73" t="str">
            <v>5.1</v>
          </cell>
          <cell r="I73" t="str">
            <v>7.17</v>
          </cell>
          <cell r="J73" t="str">
            <v>3.67</v>
          </cell>
          <cell r="K73">
            <v>7</v>
          </cell>
          <cell r="L73" t="str">
            <v>6.5</v>
          </cell>
          <cell r="M73">
            <v>75</v>
          </cell>
          <cell r="N73">
            <v>38.5</v>
          </cell>
          <cell r="O73">
            <v>79</v>
          </cell>
          <cell r="P73">
            <v>41.58</v>
          </cell>
          <cell r="Q73">
            <v>234.07999999999998</v>
          </cell>
          <cell r="R73">
            <v>279.11</v>
          </cell>
          <cell r="S73">
            <v>6.88</v>
          </cell>
          <cell r="T73" t="str">
            <v>5.52</v>
          </cell>
          <cell r="U73" t="str">
            <v>1.17</v>
          </cell>
        </row>
        <row r="74">
          <cell r="B74" t="str">
            <v>산업디자인과(디지털미디어디자인)</v>
          </cell>
          <cell r="C74">
            <v>6</v>
          </cell>
          <cell r="D74">
            <v>28</v>
          </cell>
          <cell r="E74">
            <v>4.666666666666667</v>
          </cell>
          <cell r="F74">
            <v>4</v>
          </cell>
          <cell r="G74">
            <v>152.16999999999999</v>
          </cell>
          <cell r="H74" t="str">
            <v>6.58</v>
          </cell>
          <cell r="I74" t="str">
            <v>4.83</v>
          </cell>
          <cell r="J74" t="str">
            <v>5</v>
          </cell>
          <cell r="K74">
            <v>5.5</v>
          </cell>
          <cell r="L74" t="str">
            <v>4.08</v>
          </cell>
          <cell r="M74">
            <v>104.5</v>
          </cell>
          <cell r="N74">
            <v>71.5</v>
          </cell>
          <cell r="O74">
            <v>93.67</v>
          </cell>
          <cell r="P74">
            <v>53.83</v>
          </cell>
          <cell r="Q74">
            <v>323.5</v>
          </cell>
          <cell r="R74">
            <v>463.6</v>
          </cell>
          <cell r="S74">
            <v>11.09</v>
          </cell>
          <cell r="T74" t="str">
            <v>5.76</v>
          </cell>
          <cell r="U74" t="str">
            <v>1.24</v>
          </cell>
        </row>
        <row r="75">
          <cell r="B75" t="str">
            <v>산업디자인과(디지털생활기기디자인)</v>
          </cell>
          <cell r="C75">
            <v>12</v>
          </cell>
          <cell r="D75">
            <v>61</v>
          </cell>
          <cell r="E75">
            <v>5.083333333333333</v>
          </cell>
          <cell r="F75">
            <v>3</v>
          </cell>
          <cell r="G75">
            <v>160.28</v>
          </cell>
          <cell r="H75" t="str">
            <v>10.32</v>
          </cell>
          <cell r="I75" t="str">
            <v>4.25</v>
          </cell>
          <cell r="J75" t="str">
            <v>6.67</v>
          </cell>
          <cell r="K75">
            <v>4.83</v>
          </cell>
          <cell r="L75" t="str">
            <v>3.79</v>
          </cell>
          <cell r="M75">
            <v>109.08</v>
          </cell>
          <cell r="N75">
            <v>81.42</v>
          </cell>
          <cell r="O75">
            <v>100.67</v>
          </cell>
          <cell r="P75">
            <v>55.71</v>
          </cell>
          <cell r="Q75">
            <v>346.88</v>
          </cell>
          <cell r="R75">
            <v>467.22</v>
          </cell>
          <cell r="S75">
            <v>8.1300000000000008</v>
          </cell>
          <cell r="T75" t="str">
            <v>5.32</v>
          </cell>
          <cell r="U75" t="str">
            <v>0.84</v>
          </cell>
        </row>
        <row r="76">
          <cell r="B76" t="str">
            <v>산업디자인과(디지털커뮤니케이션디자인)</v>
          </cell>
          <cell r="C76">
            <v>12</v>
          </cell>
          <cell r="D76">
            <v>58</v>
          </cell>
          <cell r="E76">
            <v>4.833333333333333</v>
          </cell>
          <cell r="F76">
            <v>6</v>
          </cell>
          <cell r="G76">
            <v>160.53</v>
          </cell>
          <cell r="H76" t="str">
            <v>8.14</v>
          </cell>
          <cell r="I76" t="str">
            <v>4.33</v>
          </cell>
          <cell r="J76" t="str">
            <v>5.08</v>
          </cell>
          <cell r="K76">
            <v>4.75</v>
          </cell>
          <cell r="L76" t="str">
            <v>3.88</v>
          </cell>
          <cell r="M76">
            <v>107.5</v>
          </cell>
          <cell r="N76">
            <v>60.75</v>
          </cell>
          <cell r="O76">
            <v>102.75</v>
          </cell>
          <cell r="P76">
            <v>55.63</v>
          </cell>
          <cell r="Q76">
            <v>326.63</v>
          </cell>
          <cell r="R76">
            <v>466.12</v>
          </cell>
          <cell r="S76">
            <v>10.73</v>
          </cell>
          <cell r="T76" t="str">
            <v>5.51</v>
          </cell>
          <cell r="U76" t="str">
            <v>1.21</v>
          </cell>
        </row>
        <row r="77">
          <cell r="B77" t="str">
            <v>음악과(관악 색소폰)</v>
          </cell>
          <cell r="C77">
            <v>1</v>
          </cell>
          <cell r="D77">
            <v>4</v>
          </cell>
          <cell r="E77">
            <v>4</v>
          </cell>
          <cell r="F77">
            <v>0</v>
          </cell>
          <cell r="G77">
            <v>39.46</v>
          </cell>
          <cell r="I77" t="str">
            <v>7</v>
          </cell>
          <cell r="K77">
            <v>8</v>
          </cell>
          <cell r="L77" t="str">
            <v>5.5</v>
          </cell>
          <cell r="M77">
            <v>82</v>
          </cell>
          <cell r="O77">
            <v>71</v>
          </cell>
          <cell r="P77">
            <v>43</v>
          </cell>
          <cell r="Q77">
            <v>196</v>
          </cell>
          <cell r="R77">
            <v>184.6</v>
          </cell>
          <cell r="T77" t="str">
            <v>5.9</v>
          </cell>
        </row>
        <row r="78">
          <cell r="B78" t="str">
            <v>음악과(관악 오보에)</v>
          </cell>
          <cell r="C78">
            <v>1</v>
          </cell>
          <cell r="D78">
            <v>2</v>
          </cell>
          <cell r="E78">
            <v>2</v>
          </cell>
          <cell r="F78">
            <v>0</v>
          </cell>
          <cell r="G78">
            <v>34.83</v>
          </cell>
          <cell r="I78" t="str">
            <v>8</v>
          </cell>
          <cell r="K78">
            <v>7</v>
          </cell>
          <cell r="L78" t="str">
            <v>7</v>
          </cell>
          <cell r="M78">
            <v>60</v>
          </cell>
          <cell r="O78">
            <v>74</v>
          </cell>
          <cell r="P78">
            <v>39</v>
          </cell>
          <cell r="Q78">
            <v>173</v>
          </cell>
          <cell r="R78">
            <v>184.43</v>
          </cell>
          <cell r="T78" t="str">
            <v>5.87</v>
          </cell>
        </row>
        <row r="79">
          <cell r="B79" t="str">
            <v>음악과(관악 클라리넷)</v>
          </cell>
          <cell r="C79">
            <v>1</v>
          </cell>
          <cell r="D79">
            <v>5</v>
          </cell>
          <cell r="E79">
            <v>5</v>
          </cell>
          <cell r="F79">
            <v>0</v>
          </cell>
          <cell r="G79">
            <v>46.51</v>
          </cell>
          <cell r="H79" t="str">
            <v>6.39</v>
          </cell>
          <cell r="I79" t="str">
            <v>6</v>
          </cell>
          <cell r="J79" t="str">
            <v>2.5</v>
          </cell>
          <cell r="K79">
            <v>6</v>
          </cell>
          <cell r="L79" t="str">
            <v>5</v>
          </cell>
          <cell r="M79">
            <v>89.5</v>
          </cell>
          <cell r="N79">
            <v>50.5</v>
          </cell>
          <cell r="O79">
            <v>91.5</v>
          </cell>
          <cell r="P79">
            <v>50</v>
          </cell>
          <cell r="Q79">
            <v>281.5</v>
          </cell>
          <cell r="R79">
            <v>194.81</v>
          </cell>
          <cell r="S79">
            <v>0.37</v>
          </cell>
          <cell r="T79" t="str">
            <v>3.25</v>
          </cell>
          <cell r="U79" t="str">
            <v>0.13</v>
          </cell>
        </row>
        <row r="80">
          <cell r="B80" t="str">
            <v>음악과(관악 트럼본)</v>
          </cell>
          <cell r="C80">
            <v>1</v>
          </cell>
          <cell r="D80">
            <v>2</v>
          </cell>
          <cell r="E80">
            <v>2</v>
          </cell>
          <cell r="F80">
            <v>0</v>
          </cell>
          <cell r="G80">
            <v>48.68</v>
          </cell>
          <cell r="I80" t="str">
            <v>5</v>
          </cell>
          <cell r="K80">
            <v>6</v>
          </cell>
          <cell r="L80" t="str">
            <v>5.5</v>
          </cell>
          <cell r="M80">
            <v>104</v>
          </cell>
          <cell r="O80">
            <v>92</v>
          </cell>
          <cell r="P80">
            <v>46</v>
          </cell>
          <cell r="Q80">
            <v>242</v>
          </cell>
          <cell r="R80">
            <v>185.43</v>
          </cell>
          <cell r="T80" t="str">
            <v>5.66</v>
          </cell>
        </row>
        <row r="81">
          <cell r="B81" t="str">
            <v>음악과(성악)</v>
          </cell>
          <cell r="C81">
            <v>10</v>
          </cell>
          <cell r="D81">
            <v>17</v>
          </cell>
          <cell r="E81">
            <v>1.7</v>
          </cell>
          <cell r="F81">
            <v>1</v>
          </cell>
          <cell r="G81">
            <v>45.98</v>
          </cell>
          <cell r="H81" t="str">
            <v>3.97</v>
          </cell>
          <cell r="I81" t="str">
            <v>5.5</v>
          </cell>
          <cell r="J81" t="str">
            <v>5.6</v>
          </cell>
          <cell r="K81">
            <v>6.4</v>
          </cell>
          <cell r="L81" t="str">
            <v>5.2</v>
          </cell>
          <cell r="M81">
            <v>97.1</v>
          </cell>
          <cell r="N81">
            <v>63.6</v>
          </cell>
          <cell r="O81">
            <v>83.5</v>
          </cell>
          <cell r="P81">
            <v>47.85</v>
          </cell>
          <cell r="Q81">
            <v>292.05</v>
          </cell>
          <cell r="R81">
            <v>187.68</v>
          </cell>
          <cell r="S81">
            <v>4.49</v>
          </cell>
          <cell r="T81" t="str">
            <v>5.07</v>
          </cell>
          <cell r="U81" t="str">
            <v>1.25</v>
          </cell>
        </row>
        <row r="82">
          <cell r="B82" t="str">
            <v>음악과(작곡)</v>
          </cell>
          <cell r="C82">
            <v>6</v>
          </cell>
          <cell r="D82">
            <v>16</v>
          </cell>
          <cell r="E82">
            <v>2.6666666666666665</v>
          </cell>
          <cell r="F82">
            <v>0</v>
          </cell>
          <cell r="G82">
            <v>45.49</v>
          </cell>
          <cell r="H82" t="str">
            <v>6.04</v>
          </cell>
          <cell r="I82" t="str">
            <v>6</v>
          </cell>
          <cell r="J82" t="str">
            <v>2</v>
          </cell>
          <cell r="K82">
            <v>6</v>
          </cell>
          <cell r="L82" t="str">
            <v>5.5</v>
          </cell>
          <cell r="M82">
            <v>90.17</v>
          </cell>
          <cell r="N82">
            <v>27.67</v>
          </cell>
          <cell r="O82">
            <v>89</v>
          </cell>
          <cell r="P82">
            <v>46.75</v>
          </cell>
          <cell r="Q82">
            <v>253.59</v>
          </cell>
          <cell r="R82">
            <v>189.92</v>
          </cell>
          <cell r="S82">
            <v>5.58</v>
          </cell>
          <cell r="T82" t="str">
            <v>4.52</v>
          </cell>
          <cell r="U82" t="str">
            <v>1.47</v>
          </cell>
        </row>
        <row r="83">
          <cell r="B83" t="str">
            <v>음악과(피아노)</v>
          </cell>
          <cell r="C83">
            <v>9</v>
          </cell>
          <cell r="D83">
            <v>52</v>
          </cell>
          <cell r="E83">
            <v>5.7777777777777777</v>
          </cell>
          <cell r="F83">
            <v>2</v>
          </cell>
          <cell r="G83">
            <v>45.12</v>
          </cell>
          <cell r="H83" t="str">
            <v>6.5</v>
          </cell>
          <cell r="I83" t="str">
            <v>5.89</v>
          </cell>
          <cell r="J83" t="str">
            <v>4.22</v>
          </cell>
          <cell r="K83">
            <v>6</v>
          </cell>
          <cell r="L83" t="str">
            <v>5.39</v>
          </cell>
          <cell r="M83">
            <v>90.44</v>
          </cell>
          <cell r="N83">
            <v>43</v>
          </cell>
          <cell r="O83">
            <v>87.89</v>
          </cell>
          <cell r="P83">
            <v>45.89</v>
          </cell>
          <cell r="Q83">
            <v>267.21999999999997</v>
          </cell>
          <cell r="R83">
            <v>190.55</v>
          </cell>
          <cell r="S83">
            <v>3.84</v>
          </cell>
          <cell r="T83" t="str">
            <v>4.37</v>
          </cell>
          <cell r="U83" t="str">
            <v>0.98</v>
          </cell>
        </row>
        <row r="84">
          <cell r="B84" t="str">
            <v>음악과(현악 더블베이스)</v>
          </cell>
          <cell r="C84">
            <v>1</v>
          </cell>
          <cell r="D84">
            <v>1</v>
          </cell>
          <cell r="E84">
            <v>1</v>
          </cell>
          <cell r="F84">
            <v>0</v>
          </cell>
          <cell r="G84">
            <v>39.729999999999997</v>
          </cell>
          <cell r="I84" t="str">
            <v>7</v>
          </cell>
          <cell r="J84" t="str">
            <v>7</v>
          </cell>
          <cell r="K84">
            <v>7</v>
          </cell>
          <cell r="L84" t="str">
            <v>6.5</v>
          </cell>
          <cell r="M84">
            <v>74</v>
          </cell>
          <cell r="N84">
            <v>73</v>
          </cell>
          <cell r="O84">
            <v>80</v>
          </cell>
          <cell r="P84">
            <v>42.5</v>
          </cell>
          <cell r="Q84">
            <v>269.5</v>
          </cell>
          <cell r="R84">
            <v>181.22</v>
          </cell>
          <cell r="T84" t="str">
            <v>7.01</v>
          </cell>
        </row>
        <row r="85">
          <cell r="B85" t="str">
            <v>음악과(현악 바이올린)</v>
          </cell>
          <cell r="C85">
            <v>5</v>
          </cell>
          <cell r="D85">
            <v>25</v>
          </cell>
          <cell r="E85">
            <v>5</v>
          </cell>
          <cell r="F85">
            <v>1</v>
          </cell>
          <cell r="G85">
            <v>45.21</v>
          </cell>
          <cell r="H85" t="str">
            <v>5.5</v>
          </cell>
          <cell r="I85" t="str">
            <v>5.8</v>
          </cell>
          <cell r="J85" t="str">
            <v>3.6</v>
          </cell>
          <cell r="K85">
            <v>6.6</v>
          </cell>
          <cell r="L85" t="str">
            <v>6</v>
          </cell>
          <cell r="M85">
            <v>95.2</v>
          </cell>
          <cell r="N85">
            <v>51.6</v>
          </cell>
          <cell r="O85">
            <v>85.4</v>
          </cell>
          <cell r="P85">
            <v>44.1</v>
          </cell>
          <cell r="Q85">
            <v>276.3</v>
          </cell>
          <cell r="R85">
            <v>189.71</v>
          </cell>
          <cell r="S85">
            <v>5.24</v>
          </cell>
          <cell r="T85" t="str">
            <v>4.54</v>
          </cell>
          <cell r="U85" t="str">
            <v>1.37</v>
          </cell>
        </row>
        <row r="86">
          <cell r="B86" t="str">
            <v>음악과(현악 첼로)</v>
          </cell>
          <cell r="C86">
            <v>2</v>
          </cell>
          <cell r="D86">
            <v>5</v>
          </cell>
          <cell r="E86">
            <v>2.5</v>
          </cell>
          <cell r="F86">
            <v>0</v>
          </cell>
          <cell r="G86">
            <v>46.14</v>
          </cell>
          <cell r="H86" t="str">
            <v>0.76</v>
          </cell>
          <cell r="I86" t="str">
            <v>5</v>
          </cell>
          <cell r="J86" t="str">
            <v>7.5</v>
          </cell>
          <cell r="K86">
            <v>6.5</v>
          </cell>
          <cell r="L86" t="str">
            <v>5</v>
          </cell>
          <cell r="M86">
            <v>99.5</v>
          </cell>
          <cell r="N86">
            <v>77.5</v>
          </cell>
          <cell r="O86">
            <v>82</v>
          </cell>
          <cell r="P86">
            <v>47.75</v>
          </cell>
          <cell r="Q86">
            <v>306.75</v>
          </cell>
          <cell r="R86">
            <v>187.72</v>
          </cell>
          <cell r="S86">
            <v>1.79</v>
          </cell>
          <cell r="T86" t="str">
            <v>5.12</v>
          </cell>
          <cell r="U86" t="str">
            <v>0.38</v>
          </cell>
        </row>
        <row r="87">
          <cell r="B87" t="str">
            <v>한국음악학과(관악.현악.타악)</v>
          </cell>
          <cell r="C87">
            <v>10</v>
          </cell>
          <cell r="D87">
            <v>25</v>
          </cell>
          <cell r="E87">
            <v>2.5</v>
          </cell>
          <cell r="F87">
            <v>1</v>
          </cell>
          <cell r="G87">
            <v>72.84</v>
          </cell>
          <cell r="H87" t="str">
            <v>6.26</v>
          </cell>
          <cell r="I87" t="str">
            <v>7.7</v>
          </cell>
          <cell r="J87" t="str">
            <v>0.7</v>
          </cell>
          <cell r="K87">
            <v>8</v>
          </cell>
          <cell r="L87" t="str">
            <v>6.2</v>
          </cell>
          <cell r="M87">
            <v>69.400000000000006</v>
          </cell>
          <cell r="N87">
            <v>7.9</v>
          </cell>
          <cell r="O87">
            <v>69.900000000000006</v>
          </cell>
          <cell r="P87">
            <v>41.55</v>
          </cell>
          <cell r="Q87">
            <v>188.75</v>
          </cell>
          <cell r="R87">
            <v>186.79</v>
          </cell>
          <cell r="S87">
            <v>5.14</v>
          </cell>
          <cell r="T87" t="str">
            <v>5.36</v>
          </cell>
          <cell r="U87" t="str">
            <v>1.33</v>
          </cell>
        </row>
        <row r="88">
          <cell r="B88" t="str">
            <v>한국음악학과(성악.작곡.이론)</v>
          </cell>
          <cell r="C88">
            <v>5</v>
          </cell>
          <cell r="D88">
            <v>6</v>
          </cell>
          <cell r="E88">
            <v>1.2</v>
          </cell>
          <cell r="F88">
            <v>0</v>
          </cell>
          <cell r="G88">
            <v>84.04</v>
          </cell>
          <cell r="H88" t="str">
            <v>14.86</v>
          </cell>
          <cell r="I88" t="str">
            <v>6.5</v>
          </cell>
          <cell r="J88" t="str">
            <v>3.25</v>
          </cell>
          <cell r="K88">
            <v>7</v>
          </cell>
          <cell r="L88" t="str">
            <v>5.75</v>
          </cell>
          <cell r="M88">
            <v>84.75</v>
          </cell>
          <cell r="N88">
            <v>41.75</v>
          </cell>
          <cell r="O88">
            <v>79</v>
          </cell>
          <cell r="P88">
            <v>45</v>
          </cell>
          <cell r="Q88">
            <v>250.5</v>
          </cell>
          <cell r="R88">
            <v>188.19</v>
          </cell>
          <cell r="S88">
            <v>4.41</v>
          </cell>
          <cell r="T88" t="str">
            <v>5.45</v>
          </cell>
          <cell r="U88" t="str">
            <v>0.4</v>
          </cell>
        </row>
        <row r="89">
          <cell r="B89" t="str">
            <v>영어영문학과</v>
          </cell>
          <cell r="C89">
            <v>16</v>
          </cell>
          <cell r="D89">
            <v>59</v>
          </cell>
          <cell r="E89">
            <v>3.6875</v>
          </cell>
          <cell r="F89">
            <v>7</v>
          </cell>
          <cell r="G89">
            <v>304.16000000000003</v>
          </cell>
          <cell r="H89" t="str">
            <v>5.56</v>
          </cell>
          <cell r="I89" t="str">
            <v>3.06</v>
          </cell>
          <cell r="J89" t="str">
            <v>2.94</v>
          </cell>
          <cell r="K89">
            <v>2.69</v>
          </cell>
          <cell r="L89" t="str">
            <v>2.84</v>
          </cell>
          <cell r="M89">
            <v>118.5</v>
          </cell>
          <cell r="N89">
            <v>122.75</v>
          </cell>
          <cell r="O89">
            <v>123.5</v>
          </cell>
          <cell r="P89">
            <v>61.25</v>
          </cell>
          <cell r="Q89">
            <v>426</v>
          </cell>
          <cell r="R89">
            <v>490.74</v>
          </cell>
          <cell r="S89">
            <v>3.33</v>
          </cell>
          <cell r="T89" t="str">
            <v>2.72</v>
          </cell>
          <cell r="U89" t="str">
            <v>0.42</v>
          </cell>
        </row>
        <row r="90">
          <cell r="B90" t="str">
            <v>문헌정보학과</v>
          </cell>
          <cell r="C90">
            <v>13</v>
          </cell>
          <cell r="D90">
            <v>68</v>
          </cell>
          <cell r="E90">
            <v>5.2307692307692308</v>
          </cell>
          <cell r="F90">
            <v>11</v>
          </cell>
          <cell r="G90">
            <v>298.63</v>
          </cell>
          <cell r="H90" t="str">
            <v>5.87</v>
          </cell>
          <cell r="I90" t="str">
            <v>3</v>
          </cell>
          <cell r="J90" t="str">
            <v>2.92</v>
          </cell>
          <cell r="K90">
            <v>3.46</v>
          </cell>
          <cell r="L90" t="str">
            <v>3.04</v>
          </cell>
          <cell r="M90">
            <v>118.38</v>
          </cell>
          <cell r="N90">
            <v>122.92</v>
          </cell>
          <cell r="O90">
            <v>117.15</v>
          </cell>
          <cell r="P90">
            <v>60.19</v>
          </cell>
          <cell r="Q90">
            <v>418.64000000000004</v>
          </cell>
          <cell r="R90">
            <v>487.31</v>
          </cell>
          <cell r="S90">
            <v>4.99</v>
          </cell>
          <cell r="T90" t="str">
            <v>3.22</v>
          </cell>
          <cell r="U90" t="str">
            <v>0.66</v>
          </cell>
        </row>
        <row r="91">
          <cell r="B91" t="str">
            <v>사학과</v>
          </cell>
          <cell r="C91">
            <v>13</v>
          </cell>
          <cell r="D91">
            <v>63</v>
          </cell>
          <cell r="E91">
            <v>4.8461538461538458</v>
          </cell>
          <cell r="F91">
            <v>15</v>
          </cell>
          <cell r="G91">
            <v>288.98</v>
          </cell>
          <cell r="H91" t="str">
            <v>8.02</v>
          </cell>
          <cell r="I91" t="str">
            <v>3.46</v>
          </cell>
          <cell r="J91" t="str">
            <v>3.23</v>
          </cell>
          <cell r="K91">
            <v>4.1500000000000004</v>
          </cell>
          <cell r="L91" t="str">
            <v>2.62</v>
          </cell>
          <cell r="M91">
            <v>116.38</v>
          </cell>
          <cell r="N91">
            <v>118.38</v>
          </cell>
          <cell r="O91">
            <v>108.69</v>
          </cell>
          <cell r="P91">
            <v>61.58</v>
          </cell>
          <cell r="Q91">
            <v>405.03</v>
          </cell>
          <cell r="R91">
            <v>486.8</v>
          </cell>
          <cell r="S91">
            <v>4.16</v>
          </cell>
          <cell r="T91" t="str">
            <v>3.28</v>
          </cell>
          <cell r="U91" t="str">
            <v>0.53</v>
          </cell>
        </row>
        <row r="92">
          <cell r="B92" t="str">
            <v>국어국문학과</v>
          </cell>
          <cell r="C92">
            <v>14</v>
          </cell>
          <cell r="D92">
            <v>48</v>
          </cell>
          <cell r="E92">
            <v>3.4285714285714284</v>
          </cell>
          <cell r="F92">
            <v>8</v>
          </cell>
          <cell r="G92">
            <v>295.58999999999997</v>
          </cell>
          <cell r="H92" t="str">
            <v>6.84</v>
          </cell>
          <cell r="I92" t="str">
            <v>2.86</v>
          </cell>
          <cell r="J92" t="str">
            <v>3.5</v>
          </cell>
          <cell r="K92">
            <v>3.36</v>
          </cell>
          <cell r="L92" t="str">
            <v>3.25</v>
          </cell>
          <cell r="M92">
            <v>118.93</v>
          </cell>
          <cell r="N92">
            <v>117.79</v>
          </cell>
          <cell r="O92">
            <v>117.86</v>
          </cell>
          <cell r="P92">
            <v>59.18</v>
          </cell>
          <cell r="Q92">
            <v>413.76000000000005</v>
          </cell>
          <cell r="R92">
            <v>483.53</v>
          </cell>
          <cell r="S92">
            <v>4.93</v>
          </cell>
          <cell r="T92" t="str">
            <v>3.66</v>
          </cell>
          <cell r="U92" t="str">
            <v>0.55</v>
          </cell>
        </row>
        <row r="93">
          <cell r="B93" t="str">
            <v>스페인.중남미어문학과</v>
          </cell>
          <cell r="C93">
            <v>12</v>
          </cell>
          <cell r="D93">
            <v>59</v>
          </cell>
          <cell r="E93">
            <v>4.916666666666667</v>
          </cell>
          <cell r="F93">
            <v>5</v>
          </cell>
          <cell r="G93">
            <v>285.57</v>
          </cell>
          <cell r="H93" t="str">
            <v>4.07</v>
          </cell>
          <cell r="I93" t="str">
            <v>3.92</v>
          </cell>
          <cell r="J93" t="str">
            <v>3.67</v>
          </cell>
          <cell r="K93">
            <v>3.75</v>
          </cell>
          <cell r="L93" t="str">
            <v>3.29</v>
          </cell>
          <cell r="M93">
            <v>112.58</v>
          </cell>
          <cell r="N93">
            <v>114.75</v>
          </cell>
          <cell r="O93">
            <v>114.08</v>
          </cell>
          <cell r="P93">
            <v>58.46</v>
          </cell>
          <cell r="Q93">
            <v>399.86999999999995</v>
          </cell>
          <cell r="R93">
            <v>482.75</v>
          </cell>
          <cell r="S93">
            <v>4.05</v>
          </cell>
          <cell r="T93" t="str">
            <v>3.77</v>
          </cell>
          <cell r="U93" t="str">
            <v>0.4</v>
          </cell>
        </row>
        <row r="94">
          <cell r="B94" t="str">
            <v>일어일문학과</v>
          </cell>
          <cell r="C94">
            <v>12</v>
          </cell>
          <cell r="D94">
            <v>59</v>
          </cell>
          <cell r="E94">
            <v>4.916666666666667</v>
          </cell>
          <cell r="F94">
            <v>9</v>
          </cell>
          <cell r="G94">
            <v>287.12</v>
          </cell>
          <cell r="H94" t="str">
            <v>6.11</v>
          </cell>
          <cell r="I94" t="str">
            <v>3.67</v>
          </cell>
          <cell r="J94" t="str">
            <v>3.5</v>
          </cell>
          <cell r="K94">
            <v>3.92</v>
          </cell>
          <cell r="L94" t="str">
            <v>3.17</v>
          </cell>
          <cell r="M94">
            <v>113.75</v>
          </cell>
          <cell r="N94">
            <v>116.83</v>
          </cell>
          <cell r="O94">
            <v>112.58</v>
          </cell>
          <cell r="P94">
            <v>59.13</v>
          </cell>
          <cell r="Q94">
            <v>402.28999999999996</v>
          </cell>
          <cell r="R94">
            <v>482.2</v>
          </cell>
          <cell r="S94">
            <v>4.5599999999999996</v>
          </cell>
          <cell r="T94" t="str">
            <v>3.82</v>
          </cell>
          <cell r="U94" t="str">
            <v>0.52</v>
          </cell>
        </row>
        <row r="95">
          <cell r="B95" t="str">
            <v>고고문화인류학과</v>
          </cell>
          <cell r="C95">
            <v>7</v>
          </cell>
          <cell r="D95">
            <v>60</v>
          </cell>
          <cell r="E95">
            <v>8.5714285714285712</v>
          </cell>
          <cell r="F95">
            <v>12</v>
          </cell>
          <cell r="G95">
            <v>286.41000000000003</v>
          </cell>
          <cell r="H95" t="str">
            <v>6.15</v>
          </cell>
          <cell r="I95" t="str">
            <v>4</v>
          </cell>
          <cell r="J95" t="str">
            <v>3.86</v>
          </cell>
          <cell r="K95">
            <v>3.71</v>
          </cell>
          <cell r="L95" t="str">
            <v>2.57</v>
          </cell>
          <cell r="M95">
            <v>111.43</v>
          </cell>
          <cell r="N95">
            <v>112.14</v>
          </cell>
          <cell r="O95">
            <v>114</v>
          </cell>
          <cell r="P95">
            <v>63</v>
          </cell>
          <cell r="Q95">
            <v>400.57</v>
          </cell>
          <cell r="R95">
            <v>482.1</v>
          </cell>
          <cell r="S95">
            <v>4.8499999999999996</v>
          </cell>
          <cell r="T95" t="str">
            <v>3.8</v>
          </cell>
          <cell r="U95" t="str">
            <v>0.59</v>
          </cell>
        </row>
        <row r="96">
          <cell r="B96" t="str">
            <v>중어중문학과</v>
          </cell>
          <cell r="C96">
            <v>16</v>
          </cell>
          <cell r="D96">
            <v>73</v>
          </cell>
          <cell r="E96">
            <v>4.5625</v>
          </cell>
          <cell r="F96">
            <v>9</v>
          </cell>
          <cell r="G96">
            <v>290.68</v>
          </cell>
          <cell r="H96" t="str">
            <v>5.41</v>
          </cell>
          <cell r="I96" t="str">
            <v>3.79</v>
          </cell>
          <cell r="J96" t="str">
            <v>3.21</v>
          </cell>
          <cell r="K96">
            <v>3.86</v>
          </cell>
          <cell r="L96" t="str">
            <v>2.75</v>
          </cell>
          <cell r="M96">
            <v>113.64</v>
          </cell>
          <cell r="N96">
            <v>118.29</v>
          </cell>
          <cell r="O96">
            <v>113.5</v>
          </cell>
          <cell r="P96">
            <v>61.86</v>
          </cell>
          <cell r="Q96">
            <v>407.29</v>
          </cell>
          <cell r="R96">
            <v>481.49</v>
          </cell>
          <cell r="S96">
            <v>6.01</v>
          </cell>
          <cell r="T96" t="str">
            <v>3.88</v>
          </cell>
          <cell r="U96" t="str">
            <v>0.64</v>
          </cell>
        </row>
        <row r="97">
          <cell r="B97" t="str">
            <v>독어독문학과</v>
          </cell>
          <cell r="C97">
            <v>13</v>
          </cell>
          <cell r="D97">
            <v>69</v>
          </cell>
          <cell r="E97">
            <v>5.3076923076923075</v>
          </cell>
          <cell r="F97">
            <v>4</v>
          </cell>
          <cell r="G97">
            <v>283.54000000000002</v>
          </cell>
          <cell r="H97" t="str">
            <v>8.57</v>
          </cell>
          <cell r="I97" t="str">
            <v>3.92</v>
          </cell>
          <cell r="J97" t="str">
            <v>3.62</v>
          </cell>
          <cell r="K97">
            <v>3.92</v>
          </cell>
          <cell r="L97" t="str">
            <v>3.04</v>
          </cell>
          <cell r="M97">
            <v>111.69</v>
          </cell>
          <cell r="N97">
            <v>115.31</v>
          </cell>
          <cell r="O97">
            <v>110.92</v>
          </cell>
          <cell r="P97">
            <v>59.35</v>
          </cell>
          <cell r="Q97">
            <v>397.27000000000004</v>
          </cell>
          <cell r="R97">
            <v>480.44</v>
          </cell>
          <cell r="S97">
            <v>6.15</v>
          </cell>
          <cell r="T97" t="str">
            <v>4.01</v>
          </cell>
          <cell r="U97" t="str">
            <v>0.61</v>
          </cell>
        </row>
        <row r="98">
          <cell r="B98" t="str">
            <v>철학과</v>
          </cell>
          <cell r="C98">
            <v>12</v>
          </cell>
          <cell r="D98">
            <v>55</v>
          </cell>
          <cell r="E98">
            <v>4.583333333333333</v>
          </cell>
          <cell r="F98">
            <v>7</v>
          </cell>
          <cell r="G98">
            <v>278.93</v>
          </cell>
          <cell r="H98" t="str">
            <v>9.16</v>
          </cell>
          <cell r="I98" t="str">
            <v>4.08</v>
          </cell>
          <cell r="J98" t="str">
            <v>3.83</v>
          </cell>
          <cell r="K98">
            <v>4.58</v>
          </cell>
          <cell r="L98" t="str">
            <v>3.13</v>
          </cell>
          <cell r="M98">
            <v>110.58</v>
          </cell>
          <cell r="N98">
            <v>114.33</v>
          </cell>
          <cell r="O98">
            <v>106.83</v>
          </cell>
          <cell r="P98">
            <v>59.21</v>
          </cell>
          <cell r="Q98">
            <v>390.95</v>
          </cell>
          <cell r="R98">
            <v>479.36</v>
          </cell>
          <cell r="S98">
            <v>7.1</v>
          </cell>
          <cell r="T98" t="str">
            <v>4.06</v>
          </cell>
          <cell r="U98" t="str">
            <v>0.91</v>
          </cell>
        </row>
        <row r="99">
          <cell r="B99" t="str">
            <v>프랑스학과</v>
          </cell>
          <cell r="C99">
            <v>15</v>
          </cell>
          <cell r="D99">
            <v>66</v>
          </cell>
          <cell r="E99">
            <v>4.4000000000000004</v>
          </cell>
          <cell r="F99">
            <v>13</v>
          </cell>
          <cell r="G99">
            <v>281.5</v>
          </cell>
          <cell r="H99" t="str">
            <v>6.19</v>
          </cell>
          <cell r="I99" t="str">
            <v>4</v>
          </cell>
          <cell r="J99" t="str">
            <v>3.88</v>
          </cell>
          <cell r="K99">
            <v>3.69</v>
          </cell>
          <cell r="L99" t="str">
            <v>3.56</v>
          </cell>
          <cell r="M99">
            <v>111.44</v>
          </cell>
          <cell r="N99">
            <v>111.06</v>
          </cell>
          <cell r="O99">
            <v>113.81</v>
          </cell>
          <cell r="P99">
            <v>57.53</v>
          </cell>
          <cell r="Q99">
            <v>393.84000000000003</v>
          </cell>
          <cell r="R99">
            <v>477.78</v>
          </cell>
          <cell r="S99">
            <v>6.55</v>
          </cell>
          <cell r="T99" t="str">
            <v>4.28</v>
          </cell>
          <cell r="U99" t="str">
            <v>0.64</v>
          </cell>
        </row>
        <row r="100">
          <cell r="B100" t="str">
            <v>수의예과</v>
          </cell>
          <cell r="C100">
            <v>18</v>
          </cell>
          <cell r="D100">
            <v>59</v>
          </cell>
          <cell r="E100">
            <v>3.2777777777777777</v>
          </cell>
          <cell r="F100">
            <v>7</v>
          </cell>
          <cell r="G100">
            <v>312.36</v>
          </cell>
          <cell r="H100" t="str">
            <v>5</v>
          </cell>
          <cell r="I100" t="str">
            <v>2.16</v>
          </cell>
          <cell r="J100" t="str">
            <v>3.26</v>
          </cell>
          <cell r="K100">
            <v>1.89</v>
          </cell>
          <cell r="L100" t="str">
            <v>1.89</v>
          </cell>
          <cell r="M100">
            <v>123.47</v>
          </cell>
          <cell r="N100">
            <v>118.74</v>
          </cell>
          <cell r="O100">
            <v>129.68</v>
          </cell>
          <cell r="P100">
            <v>65.16</v>
          </cell>
          <cell r="Q100">
            <v>437.04999999999995</v>
          </cell>
          <cell r="R100">
            <v>493.76</v>
          </cell>
          <cell r="S100">
            <v>2.35</v>
          </cell>
          <cell r="T100" t="str">
            <v>2.32</v>
          </cell>
          <cell r="U100" t="str">
            <v>0.39</v>
          </cell>
        </row>
        <row r="101">
          <cell r="B101" t="str">
            <v>생명과학과</v>
          </cell>
          <cell r="C101">
            <v>32</v>
          </cell>
          <cell r="D101">
            <v>90</v>
          </cell>
          <cell r="E101">
            <v>2.8125</v>
          </cell>
          <cell r="F101">
            <v>21</v>
          </cell>
          <cell r="G101">
            <v>295.47000000000003</v>
          </cell>
          <cell r="H101" t="str">
            <v>13.96</v>
          </cell>
          <cell r="I101" t="str">
            <v>2.75</v>
          </cell>
          <cell r="J101" t="str">
            <v>4.19</v>
          </cell>
          <cell r="K101">
            <v>2.66</v>
          </cell>
          <cell r="L101" t="str">
            <v>2.33</v>
          </cell>
          <cell r="M101">
            <v>120.47</v>
          </cell>
          <cell r="N101">
            <v>108.97</v>
          </cell>
          <cell r="O101">
            <v>122.28</v>
          </cell>
          <cell r="P101">
            <v>62.31</v>
          </cell>
          <cell r="Q101">
            <v>414.03000000000003</v>
          </cell>
          <cell r="R101">
            <v>488.77</v>
          </cell>
          <cell r="S101">
            <v>5.84</v>
          </cell>
          <cell r="T101" t="str">
            <v>2.86</v>
          </cell>
          <cell r="U101" t="str">
            <v>0.75</v>
          </cell>
        </row>
        <row r="102">
          <cell r="B102" t="str">
            <v>화학과</v>
          </cell>
          <cell r="C102">
            <v>26</v>
          </cell>
          <cell r="D102">
            <v>76</v>
          </cell>
          <cell r="E102">
            <v>2.9230769230769229</v>
          </cell>
          <cell r="F102">
            <v>21</v>
          </cell>
          <cell r="G102">
            <v>285.26</v>
          </cell>
          <cell r="H102" t="str">
            <v>7.97</v>
          </cell>
          <cell r="I102" t="str">
            <v>3.4</v>
          </cell>
          <cell r="J102" t="str">
            <v>4.48</v>
          </cell>
          <cell r="K102">
            <v>3.56</v>
          </cell>
          <cell r="L102" t="str">
            <v>2.6</v>
          </cell>
          <cell r="M102">
            <v>116.4</v>
          </cell>
          <cell r="N102">
            <v>106.08</v>
          </cell>
          <cell r="O102">
            <v>115.6</v>
          </cell>
          <cell r="P102">
            <v>61.66</v>
          </cell>
          <cell r="Q102">
            <v>399.74</v>
          </cell>
          <cell r="R102">
            <v>487.43</v>
          </cell>
          <cell r="S102">
            <v>5.47</v>
          </cell>
          <cell r="T102" t="str">
            <v>3.19</v>
          </cell>
          <cell r="U102" t="str">
            <v>0.69</v>
          </cell>
        </row>
        <row r="103">
          <cell r="B103" t="str">
            <v>수학과</v>
          </cell>
          <cell r="C103">
            <v>15</v>
          </cell>
          <cell r="D103">
            <v>48</v>
          </cell>
          <cell r="E103">
            <v>3.2</v>
          </cell>
          <cell r="F103">
            <v>18</v>
          </cell>
          <cell r="G103">
            <v>278</v>
          </cell>
          <cell r="H103" t="str">
            <v>10.98</v>
          </cell>
          <cell r="I103" t="str">
            <v>4.07</v>
          </cell>
          <cell r="J103" t="str">
            <v>4.27</v>
          </cell>
          <cell r="K103">
            <v>4</v>
          </cell>
          <cell r="L103" t="str">
            <v>3.33</v>
          </cell>
          <cell r="M103">
            <v>110.2</v>
          </cell>
          <cell r="N103">
            <v>109.33</v>
          </cell>
          <cell r="O103">
            <v>111.13</v>
          </cell>
          <cell r="P103">
            <v>58.37</v>
          </cell>
          <cell r="Q103">
            <v>389.03</v>
          </cell>
          <cell r="R103">
            <v>484.4</v>
          </cell>
          <cell r="S103">
            <v>6.4</v>
          </cell>
          <cell r="T103" t="str">
            <v>3.53</v>
          </cell>
          <cell r="U103" t="str">
            <v>0.75</v>
          </cell>
        </row>
        <row r="104">
          <cell r="B104" t="str">
            <v>물리학과</v>
          </cell>
          <cell r="C104">
            <v>13</v>
          </cell>
          <cell r="D104">
            <v>46</v>
          </cell>
          <cell r="E104">
            <v>3.5384615384615383</v>
          </cell>
          <cell r="F104">
            <v>10</v>
          </cell>
          <cell r="G104">
            <v>260.91000000000003</v>
          </cell>
          <cell r="H104" t="str">
            <v>9.47</v>
          </cell>
          <cell r="I104" t="str">
            <v>4.46</v>
          </cell>
          <cell r="J104" t="str">
            <v>5.15</v>
          </cell>
          <cell r="K104">
            <v>4.7699999999999996</v>
          </cell>
          <cell r="L104" t="str">
            <v>3.96</v>
          </cell>
          <cell r="M104">
            <v>108.23</v>
          </cell>
          <cell r="N104">
            <v>98.38</v>
          </cell>
          <cell r="O104">
            <v>103.69</v>
          </cell>
          <cell r="P104">
            <v>55.62</v>
          </cell>
          <cell r="Q104">
            <v>365.92</v>
          </cell>
          <cell r="R104">
            <v>482.66</v>
          </cell>
          <cell r="S104">
            <v>6.11</v>
          </cell>
          <cell r="T104" t="str">
            <v>3.7</v>
          </cell>
          <cell r="U104" t="str">
            <v>0.72</v>
          </cell>
        </row>
        <row r="105">
          <cell r="B105" t="str">
            <v>통계학과</v>
          </cell>
          <cell r="C105">
            <v>9</v>
          </cell>
          <cell r="D105">
            <v>31</v>
          </cell>
          <cell r="E105">
            <v>3.4444444444444446</v>
          </cell>
          <cell r="F105">
            <v>11</v>
          </cell>
          <cell r="G105">
            <v>276.14</v>
          </cell>
          <cell r="H105" t="str">
            <v>8.49</v>
          </cell>
          <cell r="I105" t="str">
            <v>3.44</v>
          </cell>
          <cell r="J105" t="str">
            <v>4.67</v>
          </cell>
          <cell r="K105">
            <v>4.22</v>
          </cell>
          <cell r="L105" t="str">
            <v>3.33</v>
          </cell>
          <cell r="M105">
            <v>116.22</v>
          </cell>
          <cell r="N105">
            <v>104</v>
          </cell>
          <cell r="O105">
            <v>109.22</v>
          </cell>
          <cell r="P105">
            <v>58.11</v>
          </cell>
          <cell r="Q105">
            <v>387.55</v>
          </cell>
          <cell r="R105">
            <v>480</v>
          </cell>
          <cell r="S105">
            <v>9.25</v>
          </cell>
          <cell r="T105" t="str">
            <v>4.05</v>
          </cell>
          <cell r="U105" t="str">
            <v>0.95</v>
          </cell>
        </row>
        <row r="106">
          <cell r="B106" t="str">
            <v>지구환경과학과</v>
          </cell>
          <cell r="C106">
            <v>14</v>
          </cell>
          <cell r="D106">
            <v>66</v>
          </cell>
          <cell r="E106">
            <v>4.7142857142857144</v>
          </cell>
          <cell r="F106">
            <v>6</v>
          </cell>
          <cell r="G106">
            <v>266.89</v>
          </cell>
          <cell r="H106" t="str">
            <v>8.17</v>
          </cell>
          <cell r="I106" t="str">
            <v>3.71</v>
          </cell>
          <cell r="J106" t="str">
            <v>5.14</v>
          </cell>
          <cell r="K106">
            <v>4.5</v>
          </cell>
          <cell r="L106" t="str">
            <v>3.61</v>
          </cell>
          <cell r="M106">
            <v>112.57</v>
          </cell>
          <cell r="N106">
            <v>99.5</v>
          </cell>
          <cell r="O106">
            <v>105.29</v>
          </cell>
          <cell r="P106">
            <v>57.25</v>
          </cell>
          <cell r="Q106">
            <v>374.61</v>
          </cell>
          <cell r="R106">
            <v>478.16</v>
          </cell>
          <cell r="S106">
            <v>5.03</v>
          </cell>
          <cell r="T106" t="str">
            <v>4.24</v>
          </cell>
          <cell r="U106" t="str">
            <v>0.56</v>
          </cell>
        </row>
        <row r="107">
          <cell r="B107" t="str">
            <v>반도체과학기술학과</v>
          </cell>
          <cell r="C107">
            <v>17</v>
          </cell>
          <cell r="D107">
            <v>56</v>
          </cell>
          <cell r="E107">
            <v>3.2941176470588234</v>
          </cell>
          <cell r="F107">
            <v>17</v>
          </cell>
          <cell r="G107">
            <v>259.07</v>
          </cell>
          <cell r="H107" t="str">
            <v>9.19</v>
          </cell>
          <cell r="I107" t="str">
            <v>4.35</v>
          </cell>
          <cell r="J107" t="str">
            <v>5.41</v>
          </cell>
          <cell r="K107">
            <v>4.53</v>
          </cell>
          <cell r="L107" t="str">
            <v>4.06</v>
          </cell>
          <cell r="M107">
            <v>107.76</v>
          </cell>
          <cell r="N107">
            <v>95.71</v>
          </cell>
          <cell r="O107">
            <v>105.41</v>
          </cell>
          <cell r="P107">
            <v>54.5</v>
          </cell>
          <cell r="Q107">
            <v>363.38</v>
          </cell>
          <cell r="R107">
            <v>473.2</v>
          </cell>
          <cell r="S107">
            <v>5.29</v>
          </cell>
          <cell r="T107" t="str">
            <v>4.74</v>
          </cell>
          <cell r="U107" t="str">
            <v>0.52</v>
          </cell>
        </row>
        <row r="108">
          <cell r="B108" t="str">
            <v>과학학과</v>
          </cell>
          <cell r="C108">
            <v>8</v>
          </cell>
          <cell r="D108">
            <v>33</v>
          </cell>
          <cell r="E108">
            <v>4.125</v>
          </cell>
          <cell r="F108">
            <v>11</v>
          </cell>
          <cell r="G108">
            <v>275.16000000000003</v>
          </cell>
          <cell r="H108" t="str">
            <v>5.18</v>
          </cell>
          <cell r="I108" t="str">
            <v>4</v>
          </cell>
          <cell r="J108" t="str">
            <v>4.13</v>
          </cell>
          <cell r="K108">
            <v>4.63</v>
          </cell>
          <cell r="L108" t="str">
            <v>4.31</v>
          </cell>
          <cell r="M108">
            <v>112.63</v>
          </cell>
          <cell r="N108">
            <v>111.88</v>
          </cell>
          <cell r="O108">
            <v>105.25</v>
          </cell>
          <cell r="P108">
            <v>53.5</v>
          </cell>
          <cell r="Q108">
            <v>383.26</v>
          </cell>
          <cell r="R108">
            <v>470.37</v>
          </cell>
          <cell r="S108">
            <v>6.09</v>
          </cell>
          <cell r="T108" t="str">
            <v>5.04</v>
          </cell>
          <cell r="U108" t="str">
            <v>0.59</v>
          </cell>
        </row>
        <row r="109">
          <cell r="B109" t="str">
            <v>스포츠과학과</v>
          </cell>
          <cell r="C109">
            <v>12</v>
          </cell>
          <cell r="D109">
            <v>94</v>
          </cell>
          <cell r="E109">
            <v>7.833333333333333</v>
          </cell>
          <cell r="F109">
            <v>6</v>
          </cell>
          <cell r="G109">
            <v>145.99</v>
          </cell>
          <cell r="H109" t="str">
            <v>10.16</v>
          </cell>
          <cell r="I109" t="str">
            <v>5.25</v>
          </cell>
          <cell r="J109" t="str">
            <v>5</v>
          </cell>
          <cell r="K109">
            <v>5.58</v>
          </cell>
          <cell r="L109" t="str">
            <v>4.75</v>
          </cell>
          <cell r="M109">
            <v>100.5</v>
          </cell>
          <cell r="N109">
            <v>95.67</v>
          </cell>
          <cell r="O109">
            <v>92.58</v>
          </cell>
          <cell r="P109">
            <v>50.67</v>
          </cell>
          <cell r="Q109">
            <v>339.42</v>
          </cell>
          <cell r="R109">
            <v>466.92</v>
          </cell>
          <cell r="S109">
            <v>9.64</v>
          </cell>
          <cell r="T109" t="str">
            <v>5.36</v>
          </cell>
          <cell r="U109" t="str">
            <v>0.99</v>
          </cell>
        </row>
        <row r="110">
          <cell r="B110" t="str">
            <v>생명공학부</v>
          </cell>
          <cell r="C110">
            <v>24</v>
          </cell>
          <cell r="D110">
            <v>128</v>
          </cell>
          <cell r="E110">
            <v>5.333333333333333</v>
          </cell>
          <cell r="F110">
            <v>25</v>
          </cell>
          <cell r="G110">
            <v>270.69</v>
          </cell>
          <cell r="H110" t="str">
            <v>10.39</v>
          </cell>
          <cell r="I110" t="str">
            <v>4.17</v>
          </cell>
          <cell r="J110" t="str">
            <v>4.96</v>
          </cell>
          <cell r="K110">
            <v>4.71</v>
          </cell>
          <cell r="L110" t="str">
            <v>3.69</v>
          </cell>
          <cell r="M110">
            <v>109.25</v>
          </cell>
          <cell r="N110">
            <v>100.25</v>
          </cell>
          <cell r="O110">
            <v>104.96</v>
          </cell>
          <cell r="P110">
            <v>56.63</v>
          </cell>
          <cell r="Q110">
            <v>371.09</v>
          </cell>
          <cell r="R110">
            <v>476.17</v>
          </cell>
          <cell r="S110">
            <v>7.5</v>
          </cell>
          <cell r="T110" t="str">
            <v>4.34</v>
          </cell>
          <cell r="U110" t="str">
            <v>0.6</v>
          </cell>
        </row>
        <row r="111">
          <cell r="B111" t="str">
            <v>한약자원학과</v>
          </cell>
          <cell r="C111">
            <v>11</v>
          </cell>
          <cell r="D111">
            <v>56</v>
          </cell>
          <cell r="E111">
            <v>5.0909090909090908</v>
          </cell>
          <cell r="F111">
            <v>15</v>
          </cell>
          <cell r="G111">
            <v>256.57</v>
          </cell>
          <cell r="H111" t="str">
            <v>10.11</v>
          </cell>
          <cell r="I111" t="str">
            <v>4.64</v>
          </cell>
          <cell r="J111" t="str">
            <v>4.73</v>
          </cell>
          <cell r="K111">
            <v>5.45</v>
          </cell>
          <cell r="L111" t="str">
            <v>4.45</v>
          </cell>
          <cell r="M111">
            <v>106.18</v>
          </cell>
          <cell r="N111">
            <v>102.27</v>
          </cell>
          <cell r="O111">
            <v>96.73</v>
          </cell>
          <cell r="P111">
            <v>52.55</v>
          </cell>
          <cell r="Q111">
            <v>357.73</v>
          </cell>
          <cell r="R111">
            <v>475.34</v>
          </cell>
          <cell r="S111">
            <v>9.2799999999999994</v>
          </cell>
          <cell r="T111" t="str">
            <v>4.47</v>
          </cell>
          <cell r="U111" t="str">
            <v>1.01</v>
          </cell>
        </row>
        <row r="112">
          <cell r="B112" t="str">
            <v>환경조경디자인학과</v>
          </cell>
          <cell r="C112">
            <v>14</v>
          </cell>
          <cell r="D112">
            <v>94</v>
          </cell>
          <cell r="E112">
            <v>6.7142857142857144</v>
          </cell>
          <cell r="F112">
            <v>13</v>
          </cell>
          <cell r="G112">
            <v>265.7</v>
          </cell>
          <cell r="H112" t="str">
            <v>8.64</v>
          </cell>
          <cell r="I112" t="str">
            <v>4.14</v>
          </cell>
          <cell r="J112" t="str">
            <v>4.71</v>
          </cell>
          <cell r="K112">
            <v>4.6399999999999997</v>
          </cell>
          <cell r="L112" t="str">
            <v>4.32</v>
          </cell>
          <cell r="M112">
            <v>109.71</v>
          </cell>
          <cell r="N112">
            <v>101.29</v>
          </cell>
          <cell r="O112">
            <v>104.21</v>
          </cell>
          <cell r="P112">
            <v>53.25</v>
          </cell>
          <cell r="Q112">
            <v>368.46</v>
          </cell>
          <cell r="R112">
            <v>472.96</v>
          </cell>
          <cell r="S112">
            <v>8.33</v>
          </cell>
          <cell r="T112" t="str">
            <v>4.76</v>
          </cell>
          <cell r="U112" t="str">
            <v>0.84</v>
          </cell>
        </row>
        <row r="113">
          <cell r="B113" t="str">
            <v>생명자원유통경제학과</v>
          </cell>
          <cell r="C113">
            <v>11</v>
          </cell>
          <cell r="D113">
            <v>43</v>
          </cell>
          <cell r="E113">
            <v>3.9090909090909092</v>
          </cell>
          <cell r="F113">
            <v>12</v>
          </cell>
          <cell r="G113">
            <v>269.88</v>
          </cell>
          <cell r="H113" t="str">
            <v>10.49</v>
          </cell>
          <cell r="I113" t="str">
            <v>4.2</v>
          </cell>
          <cell r="J113" t="str">
            <v>4.5</v>
          </cell>
          <cell r="K113">
            <v>4.3</v>
          </cell>
          <cell r="L113" t="str">
            <v>3.4</v>
          </cell>
          <cell r="M113">
            <v>110</v>
          </cell>
          <cell r="N113">
            <v>101.8</v>
          </cell>
          <cell r="O113">
            <v>106.5</v>
          </cell>
          <cell r="P113">
            <v>58.5</v>
          </cell>
          <cell r="Q113">
            <v>376.8</v>
          </cell>
          <cell r="R113">
            <v>472.53</v>
          </cell>
          <cell r="S113">
            <v>8.2100000000000009</v>
          </cell>
          <cell r="T113" t="str">
            <v>4.82</v>
          </cell>
          <cell r="U113" t="str">
            <v>0.82</v>
          </cell>
        </row>
        <row r="114">
          <cell r="B114" t="str">
            <v>바이오식품공학과</v>
          </cell>
          <cell r="C114">
            <v>14</v>
          </cell>
          <cell r="D114">
            <v>95</v>
          </cell>
          <cell r="E114">
            <v>6.7857142857142856</v>
          </cell>
          <cell r="F114">
            <v>13</v>
          </cell>
          <cell r="G114">
            <v>247.61</v>
          </cell>
          <cell r="H114" t="str">
            <v>7.19</v>
          </cell>
          <cell r="I114" t="str">
            <v>4.71</v>
          </cell>
          <cell r="J114" t="str">
            <v>6</v>
          </cell>
          <cell r="K114">
            <v>4.8600000000000003</v>
          </cell>
          <cell r="L114" t="str">
            <v>4.32</v>
          </cell>
          <cell r="M114">
            <v>104.57</v>
          </cell>
          <cell r="N114">
            <v>88.93</v>
          </cell>
          <cell r="O114">
            <v>101.14</v>
          </cell>
          <cell r="P114">
            <v>52.93</v>
          </cell>
          <cell r="Q114">
            <v>347.57</v>
          </cell>
          <cell r="R114">
            <v>471.62</v>
          </cell>
          <cell r="S114">
            <v>6.8</v>
          </cell>
          <cell r="T114" t="str">
            <v>4.92</v>
          </cell>
          <cell r="U114" t="str">
            <v>0.66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"/>
      <sheetName val="수시"/>
      <sheetName val="수시 (2)"/>
      <sheetName val="가군"/>
      <sheetName val="나군"/>
      <sheetName val="2009학년도최종합격자"/>
      <sheetName val="모집시기가로취합"/>
      <sheetName val="공개용 데이터"/>
      <sheetName val="공개용 데이터(홈피 공개)"/>
      <sheetName val="수시모집"/>
      <sheetName val="정시나군"/>
      <sheetName val="정시가군"/>
      <sheetName val="2010최종등록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E5" t="str">
            <v>간호학과</v>
          </cell>
          <cell r="F5">
            <v>201</v>
          </cell>
          <cell r="G5">
            <v>22</v>
          </cell>
          <cell r="H5">
            <v>12.633333333333333</v>
          </cell>
          <cell r="I5">
            <v>0</v>
          </cell>
          <cell r="J5">
            <v>0</v>
          </cell>
          <cell r="K5">
            <v>0</v>
          </cell>
          <cell r="L5">
            <v>3.82</v>
          </cell>
          <cell r="M5">
            <v>4.09</v>
          </cell>
          <cell r="N5">
            <v>4.18</v>
          </cell>
          <cell r="O5">
            <v>2.98</v>
          </cell>
          <cell r="P5">
            <v>112.36</v>
          </cell>
          <cell r="Q5">
            <v>109.14</v>
          </cell>
          <cell r="R5">
            <v>109.32</v>
          </cell>
          <cell r="S5">
            <v>59.82</v>
          </cell>
          <cell r="T5">
            <v>798.76</v>
          </cell>
          <cell r="U5">
            <v>788.78</v>
          </cell>
          <cell r="V5">
            <v>794.25</v>
          </cell>
          <cell r="W5">
            <v>9.9800000000000182</v>
          </cell>
          <cell r="X5">
            <v>1.3388</v>
          </cell>
          <cell r="Y5">
            <v>3.1223999999999998</v>
          </cell>
          <cell r="Z5">
            <v>2.2400000000000002</v>
          </cell>
          <cell r="AA5">
            <v>-1.7835999999999999</v>
          </cell>
          <cell r="AB5">
            <v>198.24</v>
          </cell>
          <cell r="AC5">
            <v>189.74</v>
          </cell>
          <cell r="AD5">
            <v>193.94</v>
          </cell>
          <cell r="AE5">
            <v>8.5</v>
          </cell>
          <cell r="AF5">
            <v>0</v>
          </cell>
          <cell r="AG5">
            <v>791.27</v>
          </cell>
          <cell r="AH5">
            <v>2.71</v>
          </cell>
          <cell r="AI5">
            <v>0</v>
          </cell>
          <cell r="AJ5">
            <v>0</v>
          </cell>
          <cell r="AK5">
            <v>788.78</v>
          </cell>
          <cell r="AL5">
            <v>3.1223999999999998</v>
          </cell>
          <cell r="AM5">
            <v>987.02</v>
          </cell>
        </row>
        <row r="6">
          <cell r="E6" t="str">
            <v>바이오메디컬공학부</v>
          </cell>
          <cell r="F6">
            <v>402</v>
          </cell>
          <cell r="G6">
            <v>10</v>
          </cell>
          <cell r="H6">
            <v>2.1111111111111112</v>
          </cell>
          <cell r="I6">
            <v>0</v>
          </cell>
          <cell r="J6">
            <v>0</v>
          </cell>
          <cell r="K6">
            <v>0</v>
          </cell>
          <cell r="L6">
            <v>4.5999999999999996</v>
          </cell>
          <cell r="M6">
            <v>6</v>
          </cell>
          <cell r="N6">
            <v>4.2</v>
          </cell>
          <cell r="O6">
            <v>4.05</v>
          </cell>
          <cell r="P6">
            <v>105.3</v>
          </cell>
          <cell r="Q6">
            <v>87.7</v>
          </cell>
          <cell r="R6">
            <v>108.6</v>
          </cell>
          <cell r="S6">
            <v>54.9</v>
          </cell>
          <cell r="T6">
            <v>788.67</v>
          </cell>
          <cell r="U6">
            <v>766.42</v>
          </cell>
          <cell r="V6">
            <v>775.22</v>
          </cell>
          <cell r="W6">
            <v>22.25</v>
          </cell>
          <cell r="X6">
            <v>3.1695000000000002</v>
          </cell>
          <cell r="Y6">
            <v>5.3949999999999996</v>
          </cell>
          <cell r="Z6">
            <v>4.54</v>
          </cell>
          <cell r="AA6">
            <v>-2.2254999999999994</v>
          </cell>
          <cell r="AB6">
            <v>195.6</v>
          </cell>
          <cell r="AC6">
            <v>188.34</v>
          </cell>
          <cell r="AD6">
            <v>191.84</v>
          </cell>
          <cell r="AE6">
            <v>7.2599999999999909</v>
          </cell>
          <cell r="AF6">
            <v>0</v>
          </cell>
          <cell r="AG6">
            <v>767.24</v>
          </cell>
          <cell r="AH6">
            <v>5.3120000000000003</v>
          </cell>
          <cell r="AI6">
            <v>0</v>
          </cell>
          <cell r="AJ6">
            <v>0</v>
          </cell>
          <cell r="AK6">
            <v>766.42</v>
          </cell>
          <cell r="AL6">
            <v>5.3949999999999996</v>
          </cell>
          <cell r="AM6">
            <v>960.25</v>
          </cell>
        </row>
        <row r="7">
          <cell r="E7" t="str">
            <v>산업정보시스템공학과</v>
          </cell>
          <cell r="F7">
            <v>403</v>
          </cell>
          <cell r="G7">
            <v>6</v>
          </cell>
          <cell r="H7">
            <v>4.6500000000000004</v>
          </cell>
          <cell r="I7">
            <v>0</v>
          </cell>
          <cell r="J7">
            <v>0</v>
          </cell>
          <cell r="K7">
            <v>0</v>
          </cell>
          <cell r="L7">
            <v>4.33</v>
          </cell>
          <cell r="M7">
            <v>4.5</v>
          </cell>
          <cell r="N7">
            <v>5</v>
          </cell>
          <cell r="O7">
            <v>4.33</v>
          </cell>
          <cell r="P7">
            <v>108.5</v>
          </cell>
          <cell r="Q7">
            <v>103.17</v>
          </cell>
          <cell r="R7">
            <v>100.67</v>
          </cell>
          <cell r="S7">
            <v>53.33</v>
          </cell>
          <cell r="T7">
            <v>792.43</v>
          </cell>
          <cell r="U7">
            <v>776.93</v>
          </cell>
          <cell r="V7">
            <v>785.11</v>
          </cell>
          <cell r="W7">
            <v>15.5</v>
          </cell>
          <cell r="X7">
            <v>2.6694</v>
          </cell>
          <cell r="Y7">
            <v>4.3769999999999998</v>
          </cell>
          <cell r="Z7">
            <v>3.54</v>
          </cell>
          <cell r="AA7">
            <v>-1.7075999999999998</v>
          </cell>
          <cell r="AB7">
            <v>196.78</v>
          </cell>
          <cell r="AC7">
            <v>188.5</v>
          </cell>
          <cell r="AD7">
            <v>193.34</v>
          </cell>
          <cell r="AE7">
            <v>8.2800000000000011</v>
          </cell>
          <cell r="AF7">
            <v>0</v>
          </cell>
          <cell r="AG7">
            <v>776.93</v>
          </cell>
          <cell r="AH7">
            <v>4.3769999999999998</v>
          </cell>
          <cell r="AI7">
            <v>0</v>
          </cell>
          <cell r="AJ7">
            <v>0</v>
          </cell>
          <cell r="AK7">
            <v>781.96</v>
          </cell>
          <cell r="AL7">
            <v>3.9167000000000001</v>
          </cell>
          <cell r="AM7">
            <v>975.03</v>
          </cell>
        </row>
        <row r="8">
          <cell r="E8" t="str">
            <v>섬유소재시스템공학과</v>
          </cell>
          <cell r="F8">
            <v>404</v>
          </cell>
          <cell r="G8">
            <v>11</v>
          </cell>
          <cell r="H8">
            <v>2.6923076923076925</v>
          </cell>
          <cell r="I8">
            <v>0</v>
          </cell>
          <cell r="J8">
            <v>0</v>
          </cell>
          <cell r="K8">
            <v>0</v>
          </cell>
          <cell r="L8">
            <v>5.36</v>
          </cell>
          <cell r="M8">
            <v>6.64</v>
          </cell>
          <cell r="N8">
            <v>5.18</v>
          </cell>
          <cell r="O8">
            <v>4.6399999999999997</v>
          </cell>
          <cell r="P8">
            <v>98.18</v>
          </cell>
          <cell r="Q8">
            <v>82.91</v>
          </cell>
          <cell r="R8">
            <v>99</v>
          </cell>
          <cell r="S8">
            <v>51.59</v>
          </cell>
          <cell r="T8">
            <v>786.86</v>
          </cell>
          <cell r="U8">
            <v>753.98</v>
          </cell>
          <cell r="V8">
            <v>767.35</v>
          </cell>
          <cell r="W8">
            <v>32.879999999999995</v>
          </cell>
          <cell r="X8">
            <v>3.3814000000000002</v>
          </cell>
          <cell r="Y8">
            <v>6.7869000000000002</v>
          </cell>
          <cell r="Z8">
            <v>5.33</v>
          </cell>
          <cell r="AA8">
            <v>-3.4055</v>
          </cell>
          <cell r="AB8">
            <v>196.81</v>
          </cell>
          <cell r="AC8">
            <v>186.08</v>
          </cell>
          <cell r="AD8">
            <v>192.05</v>
          </cell>
          <cell r="AE8">
            <v>10.72999999999999</v>
          </cell>
          <cell r="AF8">
            <v>0</v>
          </cell>
          <cell r="AG8">
            <v>753.98</v>
          </cell>
          <cell r="AH8">
            <v>6.7869000000000002</v>
          </cell>
          <cell r="AI8">
            <v>0</v>
          </cell>
          <cell r="AJ8">
            <v>0</v>
          </cell>
          <cell r="AK8">
            <v>762.74</v>
          </cell>
          <cell r="AL8">
            <v>5.75</v>
          </cell>
          <cell r="AM8">
            <v>948.82</v>
          </cell>
        </row>
        <row r="9">
          <cell r="E9" t="str">
            <v>자원.에너지공학과</v>
          </cell>
          <cell r="F9">
            <v>405</v>
          </cell>
          <cell r="G9">
            <v>12</v>
          </cell>
          <cell r="H9">
            <v>2.8571428571428572</v>
          </cell>
          <cell r="I9">
            <v>0</v>
          </cell>
          <cell r="J9">
            <v>0</v>
          </cell>
          <cell r="K9">
            <v>0</v>
          </cell>
          <cell r="L9">
            <v>4.92</v>
          </cell>
          <cell r="M9">
            <v>6.92</v>
          </cell>
          <cell r="N9">
            <v>5.08</v>
          </cell>
          <cell r="O9">
            <v>4.5</v>
          </cell>
          <cell r="P9">
            <v>102.92</v>
          </cell>
          <cell r="Q9">
            <v>81</v>
          </cell>
          <cell r="R9">
            <v>98.08</v>
          </cell>
          <cell r="S9">
            <v>52.29</v>
          </cell>
          <cell r="T9">
            <v>787.47</v>
          </cell>
          <cell r="U9">
            <v>761.4</v>
          </cell>
          <cell r="V9">
            <v>770.97</v>
          </cell>
          <cell r="W9">
            <v>26.07000000000005</v>
          </cell>
          <cell r="X9">
            <v>3.2623000000000002</v>
          </cell>
          <cell r="Y9">
            <v>5.8879000000000001</v>
          </cell>
          <cell r="Z9">
            <v>4.97</v>
          </cell>
          <cell r="AA9">
            <v>-2.6255999999999999</v>
          </cell>
          <cell r="AB9">
            <v>195.76</v>
          </cell>
          <cell r="AC9">
            <v>187.59</v>
          </cell>
          <cell r="AD9">
            <v>192.64</v>
          </cell>
          <cell r="AE9">
            <v>8.1699999999999875</v>
          </cell>
          <cell r="AF9">
            <v>0</v>
          </cell>
          <cell r="AG9">
            <v>764.93</v>
          </cell>
          <cell r="AH9">
            <v>5.5917000000000003</v>
          </cell>
          <cell r="AI9">
            <v>0</v>
          </cell>
          <cell r="AJ9">
            <v>0</v>
          </cell>
          <cell r="AK9">
            <v>761.4</v>
          </cell>
          <cell r="AL9">
            <v>5.8879000000000001</v>
          </cell>
          <cell r="AM9">
            <v>955.97</v>
          </cell>
        </row>
        <row r="10">
          <cell r="E10" t="str">
            <v>토목공학과</v>
          </cell>
          <cell r="F10">
            <v>406</v>
          </cell>
          <cell r="G10">
            <v>19</v>
          </cell>
          <cell r="H10">
            <v>3.3809523809523809</v>
          </cell>
          <cell r="I10">
            <v>0</v>
          </cell>
          <cell r="J10">
            <v>0</v>
          </cell>
          <cell r="K10">
            <v>0</v>
          </cell>
          <cell r="L10">
            <v>4.74</v>
          </cell>
          <cell r="M10">
            <v>6.74</v>
          </cell>
          <cell r="N10">
            <v>4.84</v>
          </cell>
          <cell r="O10">
            <v>4.3899999999999997</v>
          </cell>
          <cell r="P10">
            <v>103.42</v>
          </cell>
          <cell r="Q10">
            <v>82.16</v>
          </cell>
          <cell r="R10">
            <v>101.63</v>
          </cell>
          <cell r="S10">
            <v>52.68</v>
          </cell>
          <cell r="T10">
            <v>787.54</v>
          </cell>
          <cell r="U10">
            <v>761.04</v>
          </cell>
          <cell r="V10">
            <v>774.82</v>
          </cell>
          <cell r="W10">
            <v>26.5</v>
          </cell>
          <cell r="X10">
            <v>3.2719999999999998</v>
          </cell>
          <cell r="Y10">
            <v>5.9218999999999999</v>
          </cell>
          <cell r="Z10">
            <v>4.58</v>
          </cell>
          <cell r="AA10">
            <v>-2.6499000000000001</v>
          </cell>
          <cell r="AB10">
            <v>197.88</v>
          </cell>
          <cell r="AC10">
            <v>189.24</v>
          </cell>
          <cell r="AD10">
            <v>193.36</v>
          </cell>
          <cell r="AE10">
            <v>8.6399999999999864</v>
          </cell>
          <cell r="AF10">
            <v>0</v>
          </cell>
          <cell r="AG10">
            <v>761.04</v>
          </cell>
          <cell r="AH10">
            <v>5.9218999999999999</v>
          </cell>
          <cell r="AI10">
            <v>0</v>
          </cell>
          <cell r="AJ10">
            <v>0</v>
          </cell>
          <cell r="AK10">
            <v>769.45</v>
          </cell>
          <cell r="AL10">
            <v>5.1280000000000001</v>
          </cell>
          <cell r="AM10">
            <v>962.15</v>
          </cell>
        </row>
        <row r="11">
          <cell r="E11" t="str">
            <v>기계설계공학부</v>
          </cell>
          <cell r="F11">
            <v>408</v>
          </cell>
          <cell r="G11">
            <v>24</v>
          </cell>
          <cell r="H11">
            <v>2.4358974358974357</v>
          </cell>
          <cell r="I11">
            <v>0</v>
          </cell>
          <cell r="J11">
            <v>0</v>
          </cell>
          <cell r="K11">
            <v>0</v>
          </cell>
          <cell r="L11">
            <v>4.38</v>
          </cell>
          <cell r="M11">
            <v>5.5</v>
          </cell>
          <cell r="N11">
            <v>4.58</v>
          </cell>
          <cell r="O11">
            <v>3.6</v>
          </cell>
          <cell r="P11">
            <v>106.67</v>
          </cell>
          <cell r="Q11">
            <v>93.83</v>
          </cell>
          <cell r="R11">
            <v>104.54</v>
          </cell>
          <cell r="S11">
            <v>57.04</v>
          </cell>
          <cell r="T11">
            <v>783.04</v>
          </cell>
          <cell r="U11">
            <v>756.5</v>
          </cell>
          <cell r="V11">
            <v>770.99</v>
          </cell>
          <cell r="W11">
            <v>26.539999999999964</v>
          </cell>
          <cell r="X11">
            <v>3.7823000000000002</v>
          </cell>
          <cell r="Y11">
            <v>6.3936999999999999</v>
          </cell>
          <cell r="Z11">
            <v>4.96</v>
          </cell>
          <cell r="AA11">
            <v>-2.6113999999999997</v>
          </cell>
          <cell r="AB11">
            <v>194.83</v>
          </cell>
          <cell r="AC11">
            <v>186.63</v>
          </cell>
          <cell r="AD11">
            <v>191.78</v>
          </cell>
          <cell r="AE11">
            <v>8.2000000000000171</v>
          </cell>
          <cell r="AF11">
            <v>0</v>
          </cell>
          <cell r="AG11">
            <v>756.5</v>
          </cell>
          <cell r="AH11">
            <v>6.3936999999999999</v>
          </cell>
          <cell r="AI11">
            <v>0</v>
          </cell>
          <cell r="AJ11">
            <v>0</v>
          </cell>
          <cell r="AK11">
            <v>766.24</v>
          </cell>
          <cell r="AL11">
            <v>5.4409000000000001</v>
          </cell>
          <cell r="AM11">
            <v>957.33</v>
          </cell>
        </row>
        <row r="12">
          <cell r="E12" t="str">
            <v>기계공학과</v>
          </cell>
          <cell r="F12">
            <v>409</v>
          </cell>
          <cell r="G12">
            <v>30</v>
          </cell>
          <cell r="H12">
            <v>3.8571428571428572</v>
          </cell>
          <cell r="I12">
            <v>0</v>
          </cell>
          <cell r="J12">
            <v>0</v>
          </cell>
          <cell r="K12">
            <v>0</v>
          </cell>
          <cell r="L12">
            <v>4.17</v>
          </cell>
          <cell r="M12">
            <v>5.2</v>
          </cell>
          <cell r="N12">
            <v>4.5</v>
          </cell>
          <cell r="O12">
            <v>3.6</v>
          </cell>
          <cell r="P12">
            <v>109.3</v>
          </cell>
          <cell r="Q12">
            <v>98.4</v>
          </cell>
          <cell r="R12">
            <v>104.7</v>
          </cell>
          <cell r="S12">
            <v>57.12</v>
          </cell>
          <cell r="T12">
            <v>793.14</v>
          </cell>
          <cell r="U12">
            <v>771.22</v>
          </cell>
          <cell r="V12">
            <v>779.39</v>
          </cell>
          <cell r="W12">
            <v>21.919999999999959</v>
          </cell>
          <cell r="X12">
            <v>2.3793000000000002</v>
          </cell>
          <cell r="Y12">
            <v>4.9683000000000002</v>
          </cell>
          <cell r="Z12">
            <v>4.12</v>
          </cell>
          <cell r="AA12">
            <v>-2.589</v>
          </cell>
          <cell r="AB12">
            <v>196.14</v>
          </cell>
          <cell r="AC12">
            <v>186.66</v>
          </cell>
          <cell r="AD12">
            <v>192.39</v>
          </cell>
          <cell r="AE12">
            <v>9.4799999999999898</v>
          </cell>
          <cell r="AF12">
            <v>0</v>
          </cell>
          <cell r="AG12">
            <v>771.22</v>
          </cell>
          <cell r="AH12">
            <v>4.9683000000000002</v>
          </cell>
          <cell r="AI12">
            <v>0</v>
          </cell>
          <cell r="AJ12">
            <v>0</v>
          </cell>
          <cell r="AK12">
            <v>781.23</v>
          </cell>
          <cell r="AL12">
            <v>3.9916999999999998</v>
          </cell>
          <cell r="AM12">
            <v>967.89</v>
          </cell>
        </row>
        <row r="13">
          <cell r="E13" t="str">
            <v>항공우주공학과</v>
          </cell>
          <cell r="F13">
            <v>410</v>
          </cell>
          <cell r="G13">
            <v>7</v>
          </cell>
          <cell r="H13">
            <v>3.3125</v>
          </cell>
          <cell r="I13">
            <v>0</v>
          </cell>
          <cell r="J13">
            <v>0</v>
          </cell>
          <cell r="K13">
            <v>0</v>
          </cell>
          <cell r="L13">
            <v>4.43</v>
          </cell>
          <cell r="M13">
            <v>5.71</v>
          </cell>
          <cell r="N13">
            <v>4.29</v>
          </cell>
          <cell r="O13">
            <v>3.43</v>
          </cell>
          <cell r="P13">
            <v>108.29</v>
          </cell>
          <cell r="Q13">
            <v>93.14</v>
          </cell>
          <cell r="R13">
            <v>108.14</v>
          </cell>
          <cell r="S13">
            <v>57.93</v>
          </cell>
          <cell r="T13">
            <v>784.99</v>
          </cell>
          <cell r="U13">
            <v>759.8</v>
          </cell>
          <cell r="V13">
            <v>771.11</v>
          </cell>
          <cell r="W13">
            <v>25.190000000000055</v>
          </cell>
          <cell r="X13">
            <v>3.4628000000000001</v>
          </cell>
          <cell r="Y13">
            <v>6.0629999999999997</v>
          </cell>
          <cell r="Z13">
            <v>4.93</v>
          </cell>
          <cell r="AA13">
            <v>-2.6001999999999996</v>
          </cell>
          <cell r="AB13">
            <v>194.81</v>
          </cell>
          <cell r="AC13">
            <v>191.76</v>
          </cell>
          <cell r="AD13">
            <v>193.32</v>
          </cell>
          <cell r="AE13">
            <v>3.0500000000000114</v>
          </cell>
          <cell r="AF13">
            <v>0</v>
          </cell>
          <cell r="AG13">
            <v>759.8</v>
          </cell>
          <cell r="AH13">
            <v>6.0629999999999997</v>
          </cell>
          <cell r="AI13">
            <v>0</v>
          </cell>
          <cell r="AJ13">
            <v>0</v>
          </cell>
          <cell r="AK13">
            <v>762.95</v>
          </cell>
          <cell r="AL13">
            <v>5.7442000000000002</v>
          </cell>
          <cell r="AM13">
            <v>957</v>
          </cell>
        </row>
        <row r="14">
          <cell r="E14" t="str">
            <v>고분자.나노공학과</v>
          </cell>
          <cell r="F14">
            <v>412</v>
          </cell>
          <cell r="G14">
            <v>20</v>
          </cell>
          <cell r="H14">
            <v>4.76</v>
          </cell>
          <cell r="I14">
            <v>0</v>
          </cell>
          <cell r="J14">
            <v>0</v>
          </cell>
          <cell r="K14">
            <v>0</v>
          </cell>
          <cell r="L14">
            <v>4.0999999999999996</v>
          </cell>
          <cell r="M14">
            <v>4.8</v>
          </cell>
          <cell r="N14">
            <v>4.4000000000000004</v>
          </cell>
          <cell r="O14">
            <v>3.55</v>
          </cell>
          <cell r="P14">
            <v>110.75</v>
          </cell>
          <cell r="Q14">
            <v>102.6</v>
          </cell>
          <cell r="R14">
            <v>105.95</v>
          </cell>
          <cell r="S14">
            <v>57.18</v>
          </cell>
          <cell r="T14">
            <v>797.32</v>
          </cell>
          <cell r="U14">
            <v>753.22</v>
          </cell>
          <cell r="V14">
            <v>775.46</v>
          </cell>
          <cell r="W14">
            <v>44.100000000000023</v>
          </cell>
          <cell r="X14">
            <v>1.7073</v>
          </cell>
          <cell r="Y14">
            <v>6.7950999999999997</v>
          </cell>
          <cell r="Z14">
            <v>4.49</v>
          </cell>
          <cell r="AA14">
            <v>-5.0877999999999997</v>
          </cell>
          <cell r="AB14">
            <v>196.88</v>
          </cell>
          <cell r="AC14">
            <v>184.62</v>
          </cell>
          <cell r="AD14">
            <v>190.66</v>
          </cell>
          <cell r="AE14">
            <v>12.259999999999991</v>
          </cell>
          <cell r="AF14">
            <v>0</v>
          </cell>
          <cell r="AG14">
            <v>753.22</v>
          </cell>
          <cell r="AH14">
            <v>6.7950999999999997</v>
          </cell>
          <cell r="AI14">
            <v>0</v>
          </cell>
          <cell r="AJ14">
            <v>0</v>
          </cell>
          <cell r="AK14">
            <v>772.49</v>
          </cell>
          <cell r="AL14">
            <v>4.8346999999999998</v>
          </cell>
          <cell r="AM14">
            <v>957.11</v>
          </cell>
        </row>
        <row r="15">
          <cell r="E15" t="str">
            <v>화학공학부</v>
          </cell>
          <cell r="F15">
            <v>414</v>
          </cell>
          <cell r="G15">
            <v>27</v>
          </cell>
          <cell r="H15">
            <v>4.3953488372093021</v>
          </cell>
          <cell r="I15">
            <v>0</v>
          </cell>
          <cell r="J15">
            <v>0</v>
          </cell>
          <cell r="K15">
            <v>0</v>
          </cell>
          <cell r="L15">
            <v>4.22</v>
          </cell>
          <cell r="M15">
            <v>5.96</v>
          </cell>
          <cell r="N15">
            <v>4.5599999999999996</v>
          </cell>
          <cell r="O15">
            <v>3.94</v>
          </cell>
          <cell r="P15">
            <v>108.59</v>
          </cell>
          <cell r="Q15">
            <v>89.96</v>
          </cell>
          <cell r="R15">
            <v>105.33</v>
          </cell>
          <cell r="S15">
            <v>55.5</v>
          </cell>
          <cell r="T15">
            <v>795.75</v>
          </cell>
          <cell r="U15">
            <v>780.93</v>
          </cell>
          <cell r="V15">
            <v>787.29</v>
          </cell>
          <cell r="W15">
            <v>14.82000000000005</v>
          </cell>
          <cell r="X15">
            <v>2.0171000000000001</v>
          </cell>
          <cell r="Y15">
            <v>4.0396999999999998</v>
          </cell>
          <cell r="Z15">
            <v>3.25</v>
          </cell>
          <cell r="AA15">
            <v>-2.0225999999999997</v>
          </cell>
          <cell r="AB15">
            <v>195.05</v>
          </cell>
          <cell r="AC15">
            <v>188.9</v>
          </cell>
          <cell r="AD15">
            <v>192.61</v>
          </cell>
          <cell r="AE15">
            <v>6.1500000000000057</v>
          </cell>
          <cell r="AF15">
            <v>0</v>
          </cell>
          <cell r="AG15">
            <v>783.83</v>
          </cell>
          <cell r="AH15">
            <v>3.6749999999999998</v>
          </cell>
          <cell r="AI15">
            <v>0</v>
          </cell>
          <cell r="AJ15">
            <v>0</v>
          </cell>
          <cell r="AK15">
            <v>784.92</v>
          </cell>
          <cell r="AL15">
            <v>3.5920000000000001</v>
          </cell>
          <cell r="AM15">
            <v>977.14</v>
          </cell>
        </row>
        <row r="16">
          <cell r="E16" t="str">
            <v>환경공학과</v>
          </cell>
          <cell r="F16">
            <v>415</v>
          </cell>
          <cell r="G16">
            <v>13</v>
          </cell>
          <cell r="H16">
            <v>3.2</v>
          </cell>
          <cell r="I16">
            <v>0</v>
          </cell>
          <cell r="J16">
            <v>0</v>
          </cell>
          <cell r="K16">
            <v>0</v>
          </cell>
          <cell r="L16">
            <v>4.54</v>
          </cell>
          <cell r="M16">
            <v>6</v>
          </cell>
          <cell r="N16">
            <v>5.23</v>
          </cell>
          <cell r="O16">
            <v>3.38</v>
          </cell>
          <cell r="P16">
            <v>104.85</v>
          </cell>
          <cell r="Q16">
            <v>89.46</v>
          </cell>
          <cell r="R16">
            <v>96.85</v>
          </cell>
          <cell r="S16">
            <v>58.08</v>
          </cell>
          <cell r="T16">
            <v>785.9</v>
          </cell>
          <cell r="U16">
            <v>756.65</v>
          </cell>
          <cell r="V16">
            <v>772.56</v>
          </cell>
          <cell r="W16">
            <v>29.25</v>
          </cell>
          <cell r="X16">
            <v>3.2282999999999999</v>
          </cell>
          <cell r="Y16">
            <v>6.375</v>
          </cell>
          <cell r="Z16">
            <v>4.7699999999999996</v>
          </cell>
          <cell r="AA16">
            <v>-3.1467000000000001</v>
          </cell>
          <cell r="AB16">
            <v>196.86</v>
          </cell>
          <cell r="AC16">
            <v>189.05</v>
          </cell>
          <cell r="AD16">
            <v>193.08</v>
          </cell>
          <cell r="AE16">
            <v>7.8100000000000023</v>
          </cell>
          <cell r="AF16">
            <v>0</v>
          </cell>
          <cell r="AG16">
            <v>756.65</v>
          </cell>
          <cell r="AH16">
            <v>6.375</v>
          </cell>
          <cell r="AI16">
            <v>0</v>
          </cell>
          <cell r="AJ16">
            <v>0</v>
          </cell>
          <cell r="AK16">
            <v>764.98</v>
          </cell>
          <cell r="AL16">
            <v>5.5426000000000002</v>
          </cell>
          <cell r="AM16">
            <v>959.76</v>
          </cell>
        </row>
        <row r="17">
          <cell r="E17" t="str">
            <v>건축공학과</v>
          </cell>
          <cell r="F17">
            <v>417</v>
          </cell>
          <cell r="G17">
            <v>7</v>
          </cell>
          <cell r="H17">
            <v>4.333333333333333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5.86</v>
          </cell>
          <cell r="N17">
            <v>4.71</v>
          </cell>
          <cell r="O17">
            <v>3.64</v>
          </cell>
          <cell r="P17">
            <v>109.86</v>
          </cell>
          <cell r="Q17">
            <v>88.86</v>
          </cell>
          <cell r="R17">
            <v>104</v>
          </cell>
          <cell r="S17">
            <v>57.29</v>
          </cell>
          <cell r="T17">
            <v>786.04</v>
          </cell>
          <cell r="U17">
            <v>770.21</v>
          </cell>
          <cell r="V17">
            <v>778.35</v>
          </cell>
          <cell r="W17">
            <v>15.829999999999927</v>
          </cell>
          <cell r="X17">
            <v>3.4380000000000002</v>
          </cell>
          <cell r="Y17">
            <v>5.0164999999999997</v>
          </cell>
          <cell r="Z17">
            <v>4.24</v>
          </cell>
          <cell r="AA17">
            <v>-1.5784999999999996</v>
          </cell>
          <cell r="AB17">
            <v>197.63</v>
          </cell>
          <cell r="AC17">
            <v>190.89</v>
          </cell>
          <cell r="AD17">
            <v>193.29</v>
          </cell>
          <cell r="AE17">
            <v>6.7400000000000091</v>
          </cell>
          <cell r="AF17">
            <v>0</v>
          </cell>
          <cell r="AG17">
            <v>776.44</v>
          </cell>
          <cell r="AH17">
            <v>4.4480000000000004</v>
          </cell>
          <cell r="AI17">
            <v>0</v>
          </cell>
          <cell r="AJ17">
            <v>0</v>
          </cell>
          <cell r="AK17">
            <v>770.21</v>
          </cell>
          <cell r="AL17">
            <v>5.0164999999999997</v>
          </cell>
          <cell r="AM17">
            <v>967.84</v>
          </cell>
        </row>
        <row r="18">
          <cell r="E18" t="str">
            <v>도시공학과</v>
          </cell>
          <cell r="F18">
            <v>418</v>
          </cell>
          <cell r="G18">
            <v>7</v>
          </cell>
          <cell r="H18">
            <v>3.2222222222222223</v>
          </cell>
          <cell r="I18">
            <v>0</v>
          </cell>
          <cell r="J18">
            <v>0</v>
          </cell>
          <cell r="K18">
            <v>0</v>
          </cell>
          <cell r="L18">
            <v>4.8600000000000003</v>
          </cell>
          <cell r="M18">
            <v>6</v>
          </cell>
          <cell r="N18">
            <v>4.8600000000000003</v>
          </cell>
          <cell r="O18">
            <v>3.79</v>
          </cell>
          <cell r="P18">
            <v>104.14</v>
          </cell>
          <cell r="Q18">
            <v>88.43</v>
          </cell>
          <cell r="R18">
            <v>99.43</v>
          </cell>
          <cell r="S18">
            <v>55.93</v>
          </cell>
          <cell r="T18">
            <v>789.14</v>
          </cell>
          <cell r="U18">
            <v>769.73</v>
          </cell>
          <cell r="V18">
            <v>778.1</v>
          </cell>
          <cell r="W18">
            <v>19.409999999999968</v>
          </cell>
          <cell r="X18">
            <v>3.0886999999999998</v>
          </cell>
          <cell r="Y18">
            <v>5.0574000000000003</v>
          </cell>
          <cell r="Z18">
            <v>4.25</v>
          </cell>
          <cell r="AA18">
            <v>-1.9687000000000006</v>
          </cell>
          <cell r="AB18">
            <v>196.99</v>
          </cell>
          <cell r="AC18">
            <v>188.38</v>
          </cell>
          <cell r="AD18">
            <v>192.48</v>
          </cell>
          <cell r="AE18">
            <v>8.6100000000000136</v>
          </cell>
          <cell r="AF18">
            <v>0</v>
          </cell>
          <cell r="AG18">
            <v>773.8</v>
          </cell>
          <cell r="AH18">
            <v>4.6959999999999997</v>
          </cell>
          <cell r="AI18">
            <v>0</v>
          </cell>
          <cell r="AJ18">
            <v>0</v>
          </cell>
          <cell r="AK18">
            <v>772.83</v>
          </cell>
          <cell r="AL18">
            <v>4.7850999999999999</v>
          </cell>
          <cell r="AM18">
            <v>964.8</v>
          </cell>
        </row>
        <row r="19">
          <cell r="E19" t="str">
            <v>건축학과</v>
          </cell>
          <cell r="F19">
            <v>419</v>
          </cell>
          <cell r="G19">
            <v>5</v>
          </cell>
          <cell r="H19">
            <v>5.2222222222222223</v>
          </cell>
          <cell r="I19">
            <v>0</v>
          </cell>
          <cell r="J19">
            <v>0</v>
          </cell>
          <cell r="K19">
            <v>0</v>
          </cell>
          <cell r="L19">
            <v>4.8</v>
          </cell>
          <cell r="M19">
            <v>6</v>
          </cell>
          <cell r="N19">
            <v>4.8</v>
          </cell>
          <cell r="O19">
            <v>3.7</v>
          </cell>
          <cell r="P19">
            <v>104.8</v>
          </cell>
          <cell r="Q19">
            <v>90</v>
          </cell>
          <cell r="R19">
            <v>103.2</v>
          </cell>
          <cell r="S19">
            <v>56.7</v>
          </cell>
          <cell r="T19">
            <v>797.97</v>
          </cell>
          <cell r="U19">
            <v>784.9</v>
          </cell>
          <cell r="V19">
            <v>789.84</v>
          </cell>
          <cell r="W19">
            <v>13.07000000000005</v>
          </cell>
          <cell r="X19">
            <v>1.5371999999999999</v>
          </cell>
          <cell r="Y19">
            <v>3.5323000000000002</v>
          </cell>
          <cell r="Z19">
            <v>2.86</v>
          </cell>
          <cell r="AA19">
            <v>-1.9951000000000003</v>
          </cell>
          <cell r="AB19">
            <v>198</v>
          </cell>
          <cell r="AC19">
            <v>190.51</v>
          </cell>
          <cell r="AD19">
            <v>193.89</v>
          </cell>
          <cell r="AE19">
            <v>7.4900000000000091</v>
          </cell>
          <cell r="AF19">
            <v>0</v>
          </cell>
          <cell r="AG19">
            <v>787</v>
          </cell>
          <cell r="AH19">
            <v>3.25</v>
          </cell>
          <cell r="AI19">
            <v>0</v>
          </cell>
          <cell r="AJ19">
            <v>0</v>
          </cell>
          <cell r="AK19">
            <v>784.9</v>
          </cell>
          <cell r="AL19">
            <v>3.5323000000000002</v>
          </cell>
          <cell r="AM19">
            <v>978.6</v>
          </cell>
        </row>
        <row r="20">
          <cell r="E20" t="str">
            <v>신소재공학부(금속시스템공학)</v>
          </cell>
          <cell r="F20">
            <v>420</v>
          </cell>
          <cell r="G20">
            <v>11</v>
          </cell>
          <cell r="H20">
            <v>2.3333333333333335</v>
          </cell>
          <cell r="I20">
            <v>0</v>
          </cell>
          <cell r="J20">
            <v>0</v>
          </cell>
          <cell r="K20">
            <v>0</v>
          </cell>
          <cell r="L20">
            <v>4.3600000000000003</v>
          </cell>
          <cell r="M20">
            <v>5.73</v>
          </cell>
          <cell r="N20">
            <v>4.6399999999999997</v>
          </cell>
          <cell r="O20">
            <v>3.73</v>
          </cell>
          <cell r="P20">
            <v>107.64</v>
          </cell>
          <cell r="Q20">
            <v>92.18</v>
          </cell>
          <cell r="R20">
            <v>104.82</v>
          </cell>
          <cell r="S20">
            <v>56.5</v>
          </cell>
          <cell r="T20">
            <v>784.43</v>
          </cell>
          <cell r="U20">
            <v>764.53</v>
          </cell>
          <cell r="V20">
            <v>774.42</v>
          </cell>
          <cell r="W20">
            <v>19.899999999999977</v>
          </cell>
          <cell r="X20">
            <v>3.64</v>
          </cell>
          <cell r="Y20">
            <v>5.6116000000000001</v>
          </cell>
          <cell r="Z20">
            <v>4.6100000000000003</v>
          </cell>
          <cell r="AA20">
            <v>-1.9716</v>
          </cell>
          <cell r="AB20">
            <v>194.24</v>
          </cell>
          <cell r="AC20">
            <v>189.92</v>
          </cell>
          <cell r="AD20">
            <v>192.48</v>
          </cell>
          <cell r="AE20">
            <v>4.3200000000000216</v>
          </cell>
          <cell r="AF20">
            <v>0</v>
          </cell>
          <cell r="AG20">
            <v>764.53</v>
          </cell>
          <cell r="AH20">
            <v>5.6116000000000001</v>
          </cell>
          <cell r="AI20">
            <v>0</v>
          </cell>
          <cell r="AJ20">
            <v>0</v>
          </cell>
          <cell r="AK20">
            <v>771.6</v>
          </cell>
          <cell r="AL20">
            <v>4.9166999999999996</v>
          </cell>
          <cell r="AM20">
            <v>961.52</v>
          </cell>
        </row>
        <row r="21">
          <cell r="E21" t="str">
            <v>신소재공학부(정보소재공학)</v>
          </cell>
          <cell r="F21">
            <v>421</v>
          </cell>
          <cell r="G21">
            <v>5</v>
          </cell>
          <cell r="H21">
            <v>2.0588235294117645</v>
          </cell>
          <cell r="I21">
            <v>0</v>
          </cell>
          <cell r="J21">
            <v>0</v>
          </cell>
          <cell r="K21">
            <v>0</v>
          </cell>
          <cell r="L21">
            <v>4.5999999999999996</v>
          </cell>
          <cell r="M21">
            <v>6.2</v>
          </cell>
          <cell r="N21">
            <v>3.8</v>
          </cell>
          <cell r="O21">
            <v>4.3</v>
          </cell>
          <cell r="P21">
            <v>105.8</v>
          </cell>
          <cell r="Q21">
            <v>86.2</v>
          </cell>
          <cell r="R21">
            <v>113.4</v>
          </cell>
          <cell r="S21">
            <v>53.7</v>
          </cell>
          <cell r="T21">
            <v>777.78</v>
          </cell>
          <cell r="U21">
            <v>763.02</v>
          </cell>
          <cell r="V21">
            <v>770.78</v>
          </cell>
          <cell r="W21">
            <v>14.759999999999991</v>
          </cell>
          <cell r="X21">
            <v>4.2812999999999999</v>
          </cell>
          <cell r="Y21">
            <v>5.7272999999999996</v>
          </cell>
          <cell r="Z21">
            <v>4.9800000000000004</v>
          </cell>
          <cell r="AA21">
            <v>-1.4459999999999997</v>
          </cell>
          <cell r="AB21">
            <v>194.64</v>
          </cell>
          <cell r="AC21">
            <v>190.91</v>
          </cell>
          <cell r="AD21">
            <v>193.41</v>
          </cell>
          <cell r="AE21">
            <v>3.7299999999999898</v>
          </cell>
          <cell r="AF21">
            <v>0</v>
          </cell>
          <cell r="AG21">
            <v>763.02</v>
          </cell>
          <cell r="AH21">
            <v>5.7272999999999996</v>
          </cell>
          <cell r="AI21">
            <v>0</v>
          </cell>
          <cell r="AJ21">
            <v>0</v>
          </cell>
          <cell r="AK21">
            <v>772.07</v>
          </cell>
          <cell r="AL21">
            <v>4.8628999999999998</v>
          </cell>
          <cell r="AM21">
            <v>962.98</v>
          </cell>
        </row>
        <row r="22">
          <cell r="E22" t="str">
            <v>신소재공학부(전자재료공학)</v>
          </cell>
          <cell r="F22">
            <v>422</v>
          </cell>
          <cell r="G22">
            <v>5</v>
          </cell>
          <cell r="H22">
            <v>2.2941176470588234</v>
          </cell>
          <cell r="I22">
            <v>0</v>
          </cell>
          <cell r="J22">
            <v>0</v>
          </cell>
          <cell r="K22">
            <v>0</v>
          </cell>
          <cell r="L22">
            <v>4.2</v>
          </cell>
          <cell r="M22">
            <v>5.2</v>
          </cell>
          <cell r="N22">
            <v>5</v>
          </cell>
          <cell r="O22">
            <v>3.1</v>
          </cell>
          <cell r="P22">
            <v>106.4</v>
          </cell>
          <cell r="Q22">
            <v>98.2</v>
          </cell>
          <cell r="R22">
            <v>100.8</v>
          </cell>
          <cell r="S22">
            <v>59.5</v>
          </cell>
          <cell r="T22">
            <v>784.49</v>
          </cell>
          <cell r="U22">
            <v>765.35</v>
          </cell>
          <cell r="V22">
            <v>776.69</v>
          </cell>
          <cell r="W22">
            <v>19.139999999999986</v>
          </cell>
          <cell r="X22">
            <v>3.6032999999999999</v>
          </cell>
          <cell r="Y22">
            <v>5.5403000000000002</v>
          </cell>
          <cell r="Z22">
            <v>4.41</v>
          </cell>
          <cell r="AA22">
            <v>-1.9370000000000003</v>
          </cell>
          <cell r="AB22">
            <v>195.4</v>
          </cell>
          <cell r="AC22">
            <v>189.98</v>
          </cell>
          <cell r="AD22">
            <v>192.04</v>
          </cell>
          <cell r="AE22">
            <v>5.4200000000000159</v>
          </cell>
          <cell r="AF22">
            <v>0</v>
          </cell>
          <cell r="AG22">
            <v>765.35</v>
          </cell>
          <cell r="AH22">
            <v>5.5403000000000002</v>
          </cell>
          <cell r="AI22">
            <v>0</v>
          </cell>
          <cell r="AJ22">
            <v>0</v>
          </cell>
          <cell r="AK22">
            <v>776.09</v>
          </cell>
          <cell r="AL22">
            <v>4.4762000000000004</v>
          </cell>
          <cell r="AM22">
            <v>967.15</v>
          </cell>
        </row>
        <row r="23">
          <cell r="E23" t="str">
            <v>전기공학과</v>
          </cell>
          <cell r="F23">
            <v>423</v>
          </cell>
          <cell r="G23">
            <v>13</v>
          </cell>
          <cell r="H23">
            <v>3.0526315789473686</v>
          </cell>
          <cell r="I23">
            <v>0</v>
          </cell>
          <cell r="J23">
            <v>0</v>
          </cell>
          <cell r="K23">
            <v>0</v>
          </cell>
          <cell r="L23">
            <v>3.92</v>
          </cell>
          <cell r="M23">
            <v>4.62</v>
          </cell>
          <cell r="N23">
            <v>4.62</v>
          </cell>
          <cell r="O23">
            <v>3.15</v>
          </cell>
          <cell r="P23">
            <v>112.54</v>
          </cell>
          <cell r="Q23">
            <v>103.77</v>
          </cell>
          <cell r="R23">
            <v>104.23</v>
          </cell>
          <cell r="S23">
            <v>59.31</v>
          </cell>
          <cell r="T23">
            <v>782.34</v>
          </cell>
          <cell r="U23">
            <v>760.04</v>
          </cell>
          <cell r="V23">
            <v>772.21</v>
          </cell>
          <cell r="W23">
            <v>22.300000000000068</v>
          </cell>
          <cell r="X23">
            <v>3.8525</v>
          </cell>
          <cell r="Y23">
            <v>6.2160000000000002</v>
          </cell>
          <cell r="Z23">
            <v>4.88</v>
          </cell>
          <cell r="AA23">
            <v>-2.3635000000000002</v>
          </cell>
          <cell r="AB23">
            <v>194.75</v>
          </cell>
          <cell r="AC23">
            <v>190.24</v>
          </cell>
          <cell r="AD23">
            <v>192.68</v>
          </cell>
          <cell r="AE23">
            <v>4.5099999999999909</v>
          </cell>
          <cell r="AF23">
            <v>0</v>
          </cell>
          <cell r="AG23">
            <v>760.04</v>
          </cell>
          <cell r="AH23">
            <v>6.1760000000000002</v>
          </cell>
          <cell r="AI23">
            <v>0</v>
          </cell>
          <cell r="AJ23">
            <v>0</v>
          </cell>
          <cell r="AK23">
            <v>765.71</v>
          </cell>
          <cell r="AL23">
            <v>5.4627999999999997</v>
          </cell>
          <cell r="AM23">
            <v>958.21</v>
          </cell>
        </row>
        <row r="24">
          <cell r="E24" t="str">
            <v>전자공학부</v>
          </cell>
          <cell r="F24">
            <v>424</v>
          </cell>
          <cell r="G24">
            <v>28</v>
          </cell>
          <cell r="H24">
            <v>2.5076923076923077</v>
          </cell>
          <cell r="I24">
            <v>0</v>
          </cell>
          <cell r="J24">
            <v>0</v>
          </cell>
          <cell r="K24">
            <v>0</v>
          </cell>
          <cell r="L24">
            <v>4.1100000000000003</v>
          </cell>
          <cell r="M24">
            <v>5.29</v>
          </cell>
          <cell r="N24">
            <v>4.46</v>
          </cell>
          <cell r="O24">
            <v>3.82</v>
          </cell>
          <cell r="P24">
            <v>110.54</v>
          </cell>
          <cell r="Q24">
            <v>96.25</v>
          </cell>
          <cell r="R24">
            <v>106.57</v>
          </cell>
          <cell r="S24">
            <v>56.39</v>
          </cell>
          <cell r="T24">
            <v>788.48</v>
          </cell>
          <cell r="U24">
            <v>759.02</v>
          </cell>
          <cell r="V24">
            <v>774.65</v>
          </cell>
          <cell r="W24">
            <v>29.460000000000036</v>
          </cell>
          <cell r="X24">
            <v>3.0640000000000001</v>
          </cell>
          <cell r="Y24">
            <v>6.1520000000000001</v>
          </cell>
          <cell r="Z24">
            <v>4.59</v>
          </cell>
          <cell r="AA24">
            <v>-3.0880000000000001</v>
          </cell>
          <cell r="AB24">
            <v>194.17</v>
          </cell>
          <cell r="AC24">
            <v>186</v>
          </cell>
          <cell r="AD24">
            <v>191.82</v>
          </cell>
          <cell r="AE24">
            <v>8.1699999999999875</v>
          </cell>
          <cell r="AF24">
            <v>0</v>
          </cell>
          <cell r="AG24">
            <v>764</v>
          </cell>
          <cell r="AH24">
            <v>5.6289999999999996</v>
          </cell>
          <cell r="AI24">
            <v>0</v>
          </cell>
          <cell r="AJ24">
            <v>0</v>
          </cell>
          <cell r="AK24">
            <v>765.02</v>
          </cell>
          <cell r="AL24">
            <v>5.5556000000000001</v>
          </cell>
          <cell r="AM24">
            <v>956.62</v>
          </cell>
        </row>
        <row r="25">
          <cell r="E25" t="str">
            <v>컴퓨터공학부</v>
          </cell>
          <cell r="F25">
            <v>425</v>
          </cell>
          <cell r="G25">
            <v>21</v>
          </cell>
          <cell r="H25">
            <v>1.98</v>
          </cell>
          <cell r="I25">
            <v>0</v>
          </cell>
          <cell r="J25">
            <v>0</v>
          </cell>
          <cell r="K25">
            <v>0</v>
          </cell>
          <cell r="L25">
            <v>4.24</v>
          </cell>
          <cell r="M25">
            <v>5.48</v>
          </cell>
          <cell r="N25">
            <v>4.33</v>
          </cell>
          <cell r="O25">
            <v>3.43</v>
          </cell>
          <cell r="P25">
            <v>109</v>
          </cell>
          <cell r="Q25">
            <v>94.24</v>
          </cell>
          <cell r="R25">
            <v>108</v>
          </cell>
          <cell r="S25">
            <v>58.1</v>
          </cell>
          <cell r="T25">
            <v>779.26</v>
          </cell>
          <cell r="U25">
            <v>753.47</v>
          </cell>
          <cell r="V25">
            <v>771.24</v>
          </cell>
          <cell r="W25">
            <v>25.789999999999964</v>
          </cell>
          <cell r="X25">
            <v>4.1280000000000001</v>
          </cell>
          <cell r="Y25">
            <v>6.9420999999999999</v>
          </cell>
          <cell r="Z25">
            <v>4.96</v>
          </cell>
          <cell r="AA25">
            <v>-2.8140999999999998</v>
          </cell>
          <cell r="AB25">
            <v>194.52</v>
          </cell>
          <cell r="AC25">
            <v>187.76</v>
          </cell>
          <cell r="AD25">
            <v>191.58</v>
          </cell>
          <cell r="AE25">
            <v>6.7600000000000193</v>
          </cell>
          <cell r="AF25">
            <v>0</v>
          </cell>
          <cell r="AG25">
            <v>753.47</v>
          </cell>
          <cell r="AH25">
            <v>6.9420999999999999</v>
          </cell>
          <cell r="AI25">
            <v>0</v>
          </cell>
          <cell r="AJ25">
            <v>0</v>
          </cell>
          <cell r="AK25">
            <v>765.99</v>
          </cell>
          <cell r="AL25">
            <v>5.4297000000000004</v>
          </cell>
          <cell r="AM25">
            <v>957.63</v>
          </cell>
        </row>
        <row r="26">
          <cell r="E26" t="str">
            <v>사회기반공학과</v>
          </cell>
          <cell r="F26">
            <v>426</v>
          </cell>
          <cell r="G26">
            <v>13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5.46</v>
          </cell>
          <cell r="M26">
            <v>5.92</v>
          </cell>
          <cell r="N26">
            <v>4.7699999999999996</v>
          </cell>
          <cell r="O26">
            <v>4.54</v>
          </cell>
          <cell r="P26">
            <v>97.08</v>
          </cell>
          <cell r="Q26">
            <v>89.54</v>
          </cell>
          <cell r="R26">
            <v>100.85</v>
          </cell>
          <cell r="S26">
            <v>51.5</v>
          </cell>
          <cell r="T26">
            <v>783.86</v>
          </cell>
          <cell r="U26">
            <v>753.65</v>
          </cell>
          <cell r="V26">
            <v>766.37</v>
          </cell>
          <cell r="W26">
            <v>30.210000000000036</v>
          </cell>
          <cell r="X26">
            <v>3.6475</v>
          </cell>
          <cell r="Y26">
            <v>6.8114999999999997</v>
          </cell>
          <cell r="Z26">
            <v>5.43</v>
          </cell>
          <cell r="AA26">
            <v>-3.1639999999999997</v>
          </cell>
          <cell r="AB26">
            <v>195</v>
          </cell>
          <cell r="AC26">
            <v>186.38</v>
          </cell>
          <cell r="AD26">
            <v>192.28</v>
          </cell>
          <cell r="AE26">
            <v>8.6200000000000045</v>
          </cell>
          <cell r="AF26">
            <v>0</v>
          </cell>
          <cell r="AG26">
            <v>753.99</v>
          </cell>
          <cell r="AH26">
            <v>6.8114999999999997</v>
          </cell>
          <cell r="AI26">
            <v>0</v>
          </cell>
          <cell r="AJ26">
            <v>0</v>
          </cell>
          <cell r="AK26">
            <v>761.61</v>
          </cell>
          <cell r="AL26">
            <v>5.9261999999999997</v>
          </cell>
          <cell r="AM26">
            <v>947.99</v>
          </cell>
        </row>
        <row r="27">
          <cell r="E27" t="str">
            <v>IT응용시스템공학과</v>
          </cell>
          <cell r="G27">
            <v>23</v>
          </cell>
          <cell r="H27">
            <v>3.6282051282051282</v>
          </cell>
          <cell r="I27">
            <v>0</v>
          </cell>
          <cell r="J27">
            <v>0</v>
          </cell>
          <cell r="K27">
            <v>0</v>
          </cell>
          <cell r="L27">
            <v>5.0750000000000002</v>
          </cell>
          <cell r="M27">
            <v>6.3900000000000006</v>
          </cell>
          <cell r="N27">
            <v>5.09</v>
          </cell>
          <cell r="O27">
            <v>4.6099999999999994</v>
          </cell>
          <cell r="P27">
            <v>100.47499999999999</v>
          </cell>
          <cell r="Q27">
            <v>84.93</v>
          </cell>
          <cell r="R27">
            <v>99.22</v>
          </cell>
          <cell r="S27">
            <v>51.68</v>
          </cell>
          <cell r="T27">
            <v>780.875</v>
          </cell>
          <cell r="U27">
            <v>762.55</v>
          </cell>
          <cell r="V27">
            <v>769.36</v>
          </cell>
          <cell r="W27">
            <v>18.324999999999989</v>
          </cell>
          <cell r="X27">
            <v>3.9836999999999998</v>
          </cell>
          <cell r="Y27">
            <v>5.8103499999999997</v>
          </cell>
          <cell r="Z27">
            <v>5.125</v>
          </cell>
          <cell r="AA27">
            <v>-1.8266500000000001</v>
          </cell>
          <cell r="AB27">
            <v>196.685</v>
          </cell>
          <cell r="AC27">
            <v>187.88</v>
          </cell>
          <cell r="AD27">
            <v>192.52499999999998</v>
          </cell>
          <cell r="AE27">
            <v>8.8050000000000068</v>
          </cell>
          <cell r="AF27">
            <v>0</v>
          </cell>
          <cell r="AG27">
            <v>765.43499999999995</v>
          </cell>
          <cell r="AH27">
            <v>5.5520499999999995</v>
          </cell>
          <cell r="AI27">
            <v>0</v>
          </cell>
          <cell r="AJ27">
            <v>0</v>
          </cell>
          <cell r="AK27">
            <v>766.04</v>
          </cell>
          <cell r="AL27">
            <v>5.4403500000000005</v>
          </cell>
          <cell r="AM27">
            <v>956.65499999999997</v>
          </cell>
        </row>
        <row r="28">
          <cell r="E28" t="str">
            <v>응용시스템공학부(산업전기공학)</v>
          </cell>
          <cell r="F28">
            <v>427</v>
          </cell>
          <cell r="G28">
            <v>12</v>
          </cell>
          <cell r="H28">
            <v>3.3333333333333335</v>
          </cell>
          <cell r="I28">
            <v>0</v>
          </cell>
          <cell r="J28">
            <v>0</v>
          </cell>
          <cell r="K28">
            <v>0</v>
          </cell>
          <cell r="L28">
            <v>5.33</v>
          </cell>
          <cell r="M28">
            <v>6.33</v>
          </cell>
          <cell r="N28">
            <v>5</v>
          </cell>
          <cell r="O28">
            <v>4.63</v>
          </cell>
          <cell r="P28">
            <v>98.5</v>
          </cell>
          <cell r="Q28">
            <v>85.5</v>
          </cell>
          <cell r="R28">
            <v>99.08</v>
          </cell>
          <cell r="S28">
            <v>51.63</v>
          </cell>
          <cell r="T28">
            <v>778.87</v>
          </cell>
          <cell r="U28">
            <v>757.65</v>
          </cell>
          <cell r="V28">
            <v>766.45</v>
          </cell>
          <cell r="W28">
            <v>21.220000000000027</v>
          </cell>
          <cell r="X28">
            <v>4.1707000000000001</v>
          </cell>
          <cell r="Y28">
            <v>6.3361000000000001</v>
          </cell>
          <cell r="Z28">
            <v>5.41</v>
          </cell>
          <cell r="AA28">
            <v>-2.1654</v>
          </cell>
          <cell r="AB28">
            <v>197.87</v>
          </cell>
          <cell r="AC28">
            <v>188.62</v>
          </cell>
          <cell r="AD28">
            <v>192.89</v>
          </cell>
          <cell r="AE28">
            <v>9.25</v>
          </cell>
          <cell r="AF28">
            <v>0</v>
          </cell>
          <cell r="AG28">
            <v>757.65</v>
          </cell>
          <cell r="AH28">
            <v>6.3361000000000001</v>
          </cell>
          <cell r="AI28">
            <v>0</v>
          </cell>
          <cell r="AJ28">
            <v>0</v>
          </cell>
          <cell r="AK28">
            <v>762.89</v>
          </cell>
          <cell r="AL28">
            <v>5.7355</v>
          </cell>
          <cell r="AM28">
            <v>951.51</v>
          </cell>
        </row>
        <row r="29">
          <cell r="E29" t="str">
            <v>응용시스템공학부(전자통신공학)</v>
          </cell>
          <cell r="F29">
            <v>428</v>
          </cell>
          <cell r="G29">
            <v>11</v>
          </cell>
          <cell r="H29">
            <v>3.9230769230769229</v>
          </cell>
          <cell r="I29">
            <v>0</v>
          </cell>
          <cell r="J29">
            <v>0</v>
          </cell>
          <cell r="K29">
            <v>0</v>
          </cell>
          <cell r="L29">
            <v>4.82</v>
          </cell>
          <cell r="M29">
            <v>6.45</v>
          </cell>
          <cell r="N29">
            <v>5.18</v>
          </cell>
          <cell r="O29">
            <v>4.59</v>
          </cell>
          <cell r="P29">
            <v>102.45</v>
          </cell>
          <cell r="Q29">
            <v>84.36</v>
          </cell>
          <cell r="R29">
            <v>99.36</v>
          </cell>
          <cell r="S29">
            <v>51.73</v>
          </cell>
          <cell r="T29">
            <v>782.88</v>
          </cell>
          <cell r="U29">
            <v>767.45</v>
          </cell>
          <cell r="V29">
            <v>772.27</v>
          </cell>
          <cell r="W29">
            <v>15.42999999999995</v>
          </cell>
          <cell r="X29">
            <v>3.7967</v>
          </cell>
          <cell r="Y29">
            <v>5.2846000000000002</v>
          </cell>
          <cell r="Z29">
            <v>4.84</v>
          </cell>
          <cell r="AA29">
            <v>-1.4879000000000002</v>
          </cell>
          <cell r="AB29">
            <v>195.5</v>
          </cell>
          <cell r="AC29">
            <v>187.14</v>
          </cell>
          <cell r="AD29">
            <v>192.16</v>
          </cell>
          <cell r="AE29">
            <v>8.3600000000000136</v>
          </cell>
          <cell r="AF29">
            <v>0</v>
          </cell>
          <cell r="AG29">
            <v>773.22</v>
          </cell>
          <cell r="AH29">
            <v>4.7679999999999998</v>
          </cell>
          <cell r="AI29">
            <v>0</v>
          </cell>
          <cell r="AJ29">
            <v>0</v>
          </cell>
          <cell r="AK29">
            <v>769.19</v>
          </cell>
          <cell r="AL29">
            <v>5.1452</v>
          </cell>
          <cell r="AM29">
            <v>961.8</v>
          </cell>
        </row>
        <row r="30">
          <cell r="E30" t="str">
            <v>IT정보공학부(소프트웨어공학)</v>
          </cell>
          <cell r="F30">
            <v>429</v>
          </cell>
          <cell r="G30">
            <v>9</v>
          </cell>
          <cell r="H30">
            <v>3.0833333333333335</v>
          </cell>
          <cell r="I30">
            <v>0</v>
          </cell>
          <cell r="J30">
            <v>0</v>
          </cell>
          <cell r="K30">
            <v>0</v>
          </cell>
          <cell r="L30">
            <v>5.1100000000000003</v>
          </cell>
          <cell r="M30">
            <v>6.22</v>
          </cell>
          <cell r="N30">
            <v>4.78</v>
          </cell>
          <cell r="O30">
            <v>4.78</v>
          </cell>
          <cell r="P30">
            <v>99.78</v>
          </cell>
          <cell r="Q30">
            <v>86.44</v>
          </cell>
          <cell r="R30">
            <v>103.44</v>
          </cell>
          <cell r="S30">
            <v>49.94</v>
          </cell>
          <cell r="T30">
            <v>785.83</v>
          </cell>
          <cell r="U30">
            <v>766.41</v>
          </cell>
          <cell r="V30">
            <v>773.55</v>
          </cell>
          <cell r="W30">
            <v>19.420000000000073</v>
          </cell>
          <cell r="X30">
            <v>3.5</v>
          </cell>
          <cell r="Y30">
            <v>5.3871000000000002</v>
          </cell>
          <cell r="Z30">
            <v>4.7</v>
          </cell>
          <cell r="AA30">
            <v>-1.8871000000000002</v>
          </cell>
          <cell r="AB30">
            <v>194.35</v>
          </cell>
          <cell r="AC30">
            <v>188.06</v>
          </cell>
          <cell r="AD30">
            <v>193.12</v>
          </cell>
          <cell r="AE30">
            <v>6.289999999999992</v>
          </cell>
          <cell r="AF30">
            <v>0</v>
          </cell>
          <cell r="AG30">
            <v>766.41</v>
          </cell>
          <cell r="AH30">
            <v>5.3871000000000002</v>
          </cell>
          <cell r="AI30">
            <v>0</v>
          </cell>
          <cell r="AJ30">
            <v>0</v>
          </cell>
          <cell r="AK30">
            <v>768.47</v>
          </cell>
          <cell r="AL30">
            <v>5.2065999999999999</v>
          </cell>
          <cell r="AM30">
            <v>961.81</v>
          </cell>
        </row>
        <row r="31">
          <cell r="E31" t="str">
            <v>기계시스템공학부</v>
          </cell>
          <cell r="F31">
            <v>430</v>
          </cell>
          <cell r="G31">
            <v>35</v>
          </cell>
          <cell r="H31">
            <v>3.0512820512820511</v>
          </cell>
          <cell r="I31">
            <v>0</v>
          </cell>
          <cell r="J31">
            <v>0</v>
          </cell>
          <cell r="K31">
            <v>0</v>
          </cell>
          <cell r="L31">
            <v>5</v>
          </cell>
          <cell r="M31">
            <v>5.86</v>
          </cell>
          <cell r="N31">
            <v>5.14</v>
          </cell>
          <cell r="O31">
            <v>4.24</v>
          </cell>
          <cell r="P31">
            <v>101.43</v>
          </cell>
          <cell r="Q31">
            <v>90.57</v>
          </cell>
          <cell r="R31">
            <v>98.46</v>
          </cell>
          <cell r="S31">
            <v>53.59</v>
          </cell>
          <cell r="T31">
            <v>790.17</v>
          </cell>
          <cell r="U31">
            <v>765.17</v>
          </cell>
          <cell r="V31">
            <v>777.31</v>
          </cell>
          <cell r="W31">
            <v>25</v>
          </cell>
          <cell r="X31">
            <v>2.8917000000000002</v>
          </cell>
          <cell r="Y31">
            <v>5.5454999999999997</v>
          </cell>
          <cell r="Z31">
            <v>4.33</v>
          </cell>
          <cell r="AA31">
            <v>-2.6537999999999995</v>
          </cell>
          <cell r="AB31">
            <v>196.24</v>
          </cell>
          <cell r="AC31">
            <v>188.77</v>
          </cell>
          <cell r="AD31">
            <v>192.64</v>
          </cell>
          <cell r="AE31">
            <v>7.4699999999999989</v>
          </cell>
          <cell r="AF31">
            <v>0</v>
          </cell>
          <cell r="AG31">
            <v>768.97</v>
          </cell>
          <cell r="AH31">
            <v>5.1393000000000004</v>
          </cell>
          <cell r="AI31">
            <v>0</v>
          </cell>
          <cell r="AJ31">
            <v>0</v>
          </cell>
          <cell r="AK31">
            <v>773.76</v>
          </cell>
          <cell r="AL31">
            <v>4.72</v>
          </cell>
          <cell r="AM31">
            <v>965.04</v>
          </cell>
        </row>
        <row r="32">
          <cell r="E32" t="str">
            <v>농업경제학과</v>
          </cell>
          <cell r="F32">
            <v>121</v>
          </cell>
          <cell r="G32">
            <v>9</v>
          </cell>
          <cell r="H32">
            <v>6.7</v>
          </cell>
          <cell r="I32">
            <v>0</v>
          </cell>
          <cell r="J32">
            <v>0</v>
          </cell>
          <cell r="K32">
            <v>0</v>
          </cell>
          <cell r="L32">
            <v>4.67</v>
          </cell>
          <cell r="M32">
            <v>4.33</v>
          </cell>
          <cell r="N32">
            <v>4.5599999999999996</v>
          </cell>
          <cell r="O32">
            <v>3.17</v>
          </cell>
          <cell r="P32">
            <v>105.11</v>
          </cell>
          <cell r="Q32">
            <v>103.67</v>
          </cell>
          <cell r="R32">
            <v>104.78</v>
          </cell>
          <cell r="S32">
            <v>59.61</v>
          </cell>
          <cell r="T32">
            <v>784.33</v>
          </cell>
          <cell r="U32">
            <v>769.48</v>
          </cell>
          <cell r="V32">
            <v>776.53</v>
          </cell>
          <cell r="W32">
            <v>14.850000000000023</v>
          </cell>
          <cell r="X32">
            <v>3.5472000000000001</v>
          </cell>
          <cell r="Y32">
            <v>5.1391</v>
          </cell>
          <cell r="Z32">
            <v>4.3899999999999997</v>
          </cell>
          <cell r="AA32">
            <v>-1.5918999999999999</v>
          </cell>
          <cell r="AB32">
            <v>195.03</v>
          </cell>
          <cell r="AC32">
            <v>187.1</v>
          </cell>
          <cell r="AD32">
            <v>191.41</v>
          </cell>
          <cell r="AE32">
            <v>7.9300000000000068</v>
          </cell>
          <cell r="AF32">
            <v>0</v>
          </cell>
          <cell r="AG32">
            <v>769.48</v>
          </cell>
          <cell r="AH32">
            <v>5.1391</v>
          </cell>
          <cell r="AI32">
            <v>0</v>
          </cell>
          <cell r="AJ32">
            <v>0</v>
          </cell>
          <cell r="AK32">
            <v>770.36</v>
          </cell>
          <cell r="AL32">
            <v>5</v>
          </cell>
          <cell r="AM32">
            <v>961.78</v>
          </cell>
        </row>
        <row r="33">
          <cell r="E33" t="str">
            <v>조경학과</v>
          </cell>
          <cell r="F33">
            <v>227</v>
          </cell>
          <cell r="G33">
            <v>7</v>
          </cell>
          <cell r="H33">
            <v>8.2727272727272734</v>
          </cell>
          <cell r="I33">
            <v>0</v>
          </cell>
          <cell r="J33">
            <v>0</v>
          </cell>
          <cell r="K33">
            <v>0</v>
          </cell>
          <cell r="L33">
            <v>4.43</v>
          </cell>
          <cell r="M33">
            <v>4.71</v>
          </cell>
          <cell r="N33">
            <v>4.43</v>
          </cell>
          <cell r="O33">
            <v>4.21</v>
          </cell>
          <cell r="P33">
            <v>105.71</v>
          </cell>
          <cell r="Q33">
            <v>101.43</v>
          </cell>
          <cell r="R33">
            <v>107.43</v>
          </cell>
          <cell r="S33">
            <v>52.64</v>
          </cell>
          <cell r="T33">
            <v>792.99</v>
          </cell>
          <cell r="U33">
            <v>781.28</v>
          </cell>
          <cell r="V33">
            <v>784.75</v>
          </cell>
          <cell r="W33">
            <v>11.710000000000036</v>
          </cell>
          <cell r="X33">
            <v>2.3077000000000001</v>
          </cell>
          <cell r="Y33">
            <v>3.9582999999999999</v>
          </cell>
          <cell r="Z33">
            <v>3.51</v>
          </cell>
          <cell r="AA33">
            <v>-1.6505999999999998</v>
          </cell>
          <cell r="AB33">
            <v>196.41</v>
          </cell>
          <cell r="AC33">
            <v>189.56</v>
          </cell>
          <cell r="AD33">
            <v>193.66</v>
          </cell>
          <cell r="AE33">
            <v>6.8499999999999943</v>
          </cell>
          <cell r="AF33">
            <v>0</v>
          </cell>
          <cell r="AG33">
            <v>781.28</v>
          </cell>
          <cell r="AH33">
            <v>3.9582999999999999</v>
          </cell>
          <cell r="AI33">
            <v>0</v>
          </cell>
          <cell r="AJ33">
            <v>0</v>
          </cell>
          <cell r="AK33">
            <v>782.38</v>
          </cell>
          <cell r="AL33">
            <v>3.8976000000000002</v>
          </cell>
          <cell r="AM33">
            <v>975.68</v>
          </cell>
        </row>
        <row r="34">
          <cell r="E34" t="str">
            <v>산림자원학과</v>
          </cell>
          <cell r="F34">
            <v>231</v>
          </cell>
          <cell r="G34">
            <v>6</v>
          </cell>
          <cell r="H34">
            <v>6.5</v>
          </cell>
          <cell r="I34">
            <v>0</v>
          </cell>
          <cell r="J34">
            <v>0</v>
          </cell>
          <cell r="K34">
            <v>0</v>
          </cell>
          <cell r="L34">
            <v>5</v>
          </cell>
          <cell r="M34">
            <v>4.83</v>
          </cell>
          <cell r="N34">
            <v>6.17</v>
          </cell>
          <cell r="O34">
            <v>4.42</v>
          </cell>
          <cell r="P34">
            <v>101</v>
          </cell>
          <cell r="Q34">
            <v>100.33</v>
          </cell>
          <cell r="R34">
            <v>88.33</v>
          </cell>
          <cell r="S34">
            <v>52.42</v>
          </cell>
          <cell r="T34">
            <v>788.34</v>
          </cell>
          <cell r="U34">
            <v>780.64</v>
          </cell>
          <cell r="V34">
            <v>784.62</v>
          </cell>
          <cell r="W34">
            <v>7.7000000000000455</v>
          </cell>
          <cell r="X34">
            <v>2.9108999999999998</v>
          </cell>
          <cell r="Y34">
            <v>3.9809999999999999</v>
          </cell>
          <cell r="Z34">
            <v>3.54</v>
          </cell>
          <cell r="AA34">
            <v>-1.0701000000000001</v>
          </cell>
          <cell r="AB34">
            <v>193.42</v>
          </cell>
          <cell r="AC34">
            <v>189.2</v>
          </cell>
          <cell r="AD34">
            <v>191.36</v>
          </cell>
          <cell r="AE34">
            <v>4.2199999999999989</v>
          </cell>
          <cell r="AF34">
            <v>0</v>
          </cell>
          <cell r="AG34">
            <v>782.02</v>
          </cell>
          <cell r="AH34">
            <v>3.8824000000000001</v>
          </cell>
          <cell r="AI34">
            <v>0</v>
          </cell>
          <cell r="AJ34">
            <v>0</v>
          </cell>
          <cell r="AK34">
            <v>780.64</v>
          </cell>
          <cell r="AL34">
            <v>3.9809999999999999</v>
          </cell>
          <cell r="AM34">
            <v>972.98</v>
          </cell>
        </row>
        <row r="35">
          <cell r="E35" t="str">
            <v>목재응용과학과</v>
          </cell>
          <cell r="F35">
            <v>232</v>
          </cell>
          <cell r="G35">
            <v>4</v>
          </cell>
          <cell r="H35">
            <v>5.833333333333333</v>
          </cell>
          <cell r="I35">
            <v>0</v>
          </cell>
          <cell r="J35">
            <v>0</v>
          </cell>
          <cell r="K35">
            <v>0</v>
          </cell>
          <cell r="L35">
            <v>5.25</v>
          </cell>
          <cell r="M35">
            <v>5.25</v>
          </cell>
          <cell r="N35">
            <v>6.5</v>
          </cell>
          <cell r="O35">
            <v>3.63</v>
          </cell>
          <cell r="P35">
            <v>100</v>
          </cell>
          <cell r="Q35">
            <v>92.25</v>
          </cell>
          <cell r="R35">
            <v>84</v>
          </cell>
          <cell r="S35">
            <v>57.13</v>
          </cell>
          <cell r="T35">
            <v>785.44</v>
          </cell>
          <cell r="U35">
            <v>771.47</v>
          </cell>
          <cell r="V35">
            <v>779.24</v>
          </cell>
          <cell r="W35">
            <v>13.970000000000027</v>
          </cell>
          <cell r="X35">
            <v>3.4904000000000002</v>
          </cell>
          <cell r="Y35">
            <v>4.9000000000000004</v>
          </cell>
          <cell r="Z35">
            <v>4.1500000000000004</v>
          </cell>
          <cell r="AA35">
            <v>-1.4096000000000002</v>
          </cell>
          <cell r="AB35">
            <v>191.64</v>
          </cell>
          <cell r="AC35">
            <v>189.64</v>
          </cell>
          <cell r="AD35">
            <v>190.64</v>
          </cell>
          <cell r="AE35">
            <v>2</v>
          </cell>
          <cell r="AF35">
            <v>0</v>
          </cell>
          <cell r="AG35">
            <v>771.47</v>
          </cell>
          <cell r="AH35">
            <v>4.9000000000000004</v>
          </cell>
          <cell r="AI35">
            <v>0</v>
          </cell>
          <cell r="AJ35">
            <v>0</v>
          </cell>
          <cell r="AK35">
            <v>771.47</v>
          </cell>
          <cell r="AL35">
            <v>4.9000000000000004</v>
          </cell>
          <cell r="AM35">
            <v>961.11</v>
          </cell>
        </row>
        <row r="36">
          <cell r="E36" t="str">
            <v>농생물학과</v>
          </cell>
          <cell r="F36">
            <v>233</v>
          </cell>
          <cell r="G36">
            <v>9</v>
          </cell>
          <cell r="H36">
            <v>3.0833333333333335</v>
          </cell>
          <cell r="I36">
            <v>0</v>
          </cell>
          <cell r="J36">
            <v>0</v>
          </cell>
          <cell r="K36">
            <v>0</v>
          </cell>
          <cell r="L36">
            <v>6.11</v>
          </cell>
          <cell r="M36">
            <v>6.78</v>
          </cell>
          <cell r="N36">
            <v>5.89</v>
          </cell>
          <cell r="O36">
            <v>5</v>
          </cell>
          <cell r="P36">
            <v>89.67</v>
          </cell>
          <cell r="Q36">
            <v>78.22</v>
          </cell>
          <cell r="R36">
            <v>89.44</v>
          </cell>
          <cell r="S36">
            <v>49.39</v>
          </cell>
          <cell r="T36">
            <v>790.15</v>
          </cell>
          <cell r="U36">
            <v>772.49</v>
          </cell>
          <cell r="V36">
            <v>781.55</v>
          </cell>
          <cell r="W36">
            <v>17.659999999999968</v>
          </cell>
          <cell r="X36">
            <v>2.8290999999999999</v>
          </cell>
          <cell r="Y36">
            <v>4.8064999999999998</v>
          </cell>
          <cell r="Z36">
            <v>3.87</v>
          </cell>
          <cell r="AA36">
            <v>-1.9773999999999998</v>
          </cell>
          <cell r="AB36">
            <v>195.57</v>
          </cell>
          <cell r="AC36">
            <v>188.28</v>
          </cell>
          <cell r="AD36">
            <v>192.7</v>
          </cell>
          <cell r="AE36">
            <v>7.289999999999992</v>
          </cell>
          <cell r="AF36">
            <v>0</v>
          </cell>
          <cell r="AG36">
            <v>772.49</v>
          </cell>
          <cell r="AH36">
            <v>4.8064999999999998</v>
          </cell>
          <cell r="AI36">
            <v>0</v>
          </cell>
          <cell r="AJ36">
            <v>0</v>
          </cell>
          <cell r="AK36">
            <v>778.07</v>
          </cell>
          <cell r="AL36">
            <v>4.2705000000000002</v>
          </cell>
          <cell r="AM36">
            <v>968.57</v>
          </cell>
        </row>
        <row r="37">
          <cell r="E37" t="str">
            <v>작물생명과학과</v>
          </cell>
          <cell r="F37">
            <v>234</v>
          </cell>
          <cell r="G37">
            <v>12</v>
          </cell>
          <cell r="H37">
            <v>2.8333333333333335</v>
          </cell>
          <cell r="I37">
            <v>0</v>
          </cell>
          <cell r="J37">
            <v>0</v>
          </cell>
          <cell r="K37">
            <v>0</v>
          </cell>
          <cell r="L37">
            <v>5.92</v>
          </cell>
          <cell r="M37">
            <v>7.08</v>
          </cell>
          <cell r="N37">
            <v>6.42</v>
          </cell>
          <cell r="O37">
            <v>5.17</v>
          </cell>
          <cell r="P37">
            <v>90</v>
          </cell>
          <cell r="Q37">
            <v>77.67</v>
          </cell>
          <cell r="R37">
            <v>83.08</v>
          </cell>
          <cell r="S37">
            <v>47.79</v>
          </cell>
          <cell r="T37">
            <v>784.08</v>
          </cell>
          <cell r="U37">
            <v>758.29</v>
          </cell>
          <cell r="V37">
            <v>771.02</v>
          </cell>
          <cell r="W37">
            <v>25.790000000000077</v>
          </cell>
          <cell r="X37">
            <v>3.4582999999999999</v>
          </cell>
          <cell r="Y37">
            <v>6.2142999999999997</v>
          </cell>
          <cell r="Z37">
            <v>4.9400000000000004</v>
          </cell>
          <cell r="AA37">
            <v>-2.7559999999999998</v>
          </cell>
          <cell r="AB37">
            <v>195.24</v>
          </cell>
          <cell r="AC37">
            <v>186.51</v>
          </cell>
          <cell r="AD37">
            <v>191.72</v>
          </cell>
          <cell r="AE37">
            <v>8.7300000000000182</v>
          </cell>
          <cell r="AF37">
            <v>0</v>
          </cell>
          <cell r="AG37">
            <v>761.66</v>
          </cell>
          <cell r="AH37">
            <v>5.8639999999999999</v>
          </cell>
          <cell r="AI37">
            <v>0</v>
          </cell>
          <cell r="AJ37">
            <v>0</v>
          </cell>
          <cell r="AK37">
            <v>758.88</v>
          </cell>
          <cell r="AL37">
            <v>6.1818</v>
          </cell>
          <cell r="AM37">
            <v>953.32</v>
          </cell>
        </row>
        <row r="38">
          <cell r="E38" t="str">
            <v>원예학과</v>
          </cell>
          <cell r="F38">
            <v>235</v>
          </cell>
          <cell r="G38">
            <v>10</v>
          </cell>
          <cell r="H38">
            <v>3.4166666666666665</v>
          </cell>
          <cell r="I38">
            <v>0</v>
          </cell>
          <cell r="J38">
            <v>0</v>
          </cell>
          <cell r="K38">
            <v>0</v>
          </cell>
          <cell r="L38">
            <v>6.5</v>
          </cell>
          <cell r="M38">
            <v>6.8</v>
          </cell>
          <cell r="N38">
            <v>6.2</v>
          </cell>
          <cell r="O38">
            <v>5.35</v>
          </cell>
          <cell r="P38">
            <v>84.1</v>
          </cell>
          <cell r="Q38">
            <v>79.5</v>
          </cell>
          <cell r="R38">
            <v>84.7</v>
          </cell>
          <cell r="S38">
            <v>47.05</v>
          </cell>
          <cell r="T38">
            <v>777.64</v>
          </cell>
          <cell r="U38">
            <v>759.94</v>
          </cell>
          <cell r="V38">
            <v>767.41</v>
          </cell>
          <cell r="W38">
            <v>17.699999999999932</v>
          </cell>
          <cell r="X38">
            <v>4.3333000000000004</v>
          </cell>
          <cell r="Y38">
            <v>6.1170999999999998</v>
          </cell>
          <cell r="Z38">
            <v>5.35</v>
          </cell>
          <cell r="AA38">
            <v>-1.7837999999999994</v>
          </cell>
          <cell r="AB38">
            <v>194.46</v>
          </cell>
          <cell r="AC38">
            <v>185.58</v>
          </cell>
          <cell r="AD38">
            <v>191.77</v>
          </cell>
          <cell r="AE38">
            <v>8.8799999999999955</v>
          </cell>
          <cell r="AF38">
            <v>0</v>
          </cell>
          <cell r="AG38">
            <v>761.06</v>
          </cell>
          <cell r="AH38">
            <v>6.0805999999999996</v>
          </cell>
          <cell r="AI38">
            <v>0</v>
          </cell>
          <cell r="AJ38">
            <v>0</v>
          </cell>
          <cell r="AK38">
            <v>762.31</v>
          </cell>
          <cell r="AL38">
            <v>5.8861999999999997</v>
          </cell>
          <cell r="AM38">
            <v>955.99</v>
          </cell>
        </row>
        <row r="39">
          <cell r="E39" t="str">
            <v>지역건설공학과</v>
          </cell>
          <cell r="F39">
            <v>236</v>
          </cell>
          <cell r="G39">
            <v>7</v>
          </cell>
          <cell r="H39">
            <v>4.25</v>
          </cell>
          <cell r="I39">
            <v>0</v>
          </cell>
          <cell r="J39">
            <v>0</v>
          </cell>
          <cell r="K39">
            <v>0</v>
          </cell>
          <cell r="L39">
            <v>6.29</v>
          </cell>
          <cell r="M39">
            <v>7.57</v>
          </cell>
          <cell r="N39">
            <v>5.86</v>
          </cell>
          <cell r="O39">
            <v>5.21</v>
          </cell>
          <cell r="P39">
            <v>86.14</v>
          </cell>
          <cell r="Q39">
            <v>73.290000000000006</v>
          </cell>
          <cell r="R39">
            <v>89.14</v>
          </cell>
          <cell r="S39">
            <v>46.79</v>
          </cell>
          <cell r="T39">
            <v>783.7</v>
          </cell>
          <cell r="U39">
            <v>769.89</v>
          </cell>
          <cell r="V39">
            <v>777.54</v>
          </cell>
          <cell r="W39">
            <v>13.810000000000059</v>
          </cell>
          <cell r="X39">
            <v>3.5167000000000002</v>
          </cell>
          <cell r="Y39">
            <v>5.0564999999999998</v>
          </cell>
          <cell r="Z39">
            <v>4.28</v>
          </cell>
          <cell r="AA39">
            <v>-1.5397999999999996</v>
          </cell>
          <cell r="AB39">
            <v>194.3</v>
          </cell>
          <cell r="AC39">
            <v>186.49</v>
          </cell>
          <cell r="AD39">
            <v>190.78</v>
          </cell>
          <cell r="AE39">
            <v>7.8100000000000023</v>
          </cell>
          <cell r="AF39">
            <v>0</v>
          </cell>
          <cell r="AG39">
            <v>769.89</v>
          </cell>
          <cell r="AH39">
            <v>5.0564999999999998</v>
          </cell>
          <cell r="AI39">
            <v>0</v>
          </cell>
          <cell r="AJ39">
            <v>0</v>
          </cell>
          <cell r="AK39">
            <v>778.03</v>
          </cell>
          <cell r="AL39">
            <v>4.2358000000000002</v>
          </cell>
          <cell r="AM39">
            <v>964.52</v>
          </cell>
        </row>
        <row r="40">
          <cell r="E40" t="str">
            <v>생물산업기계공학과</v>
          </cell>
          <cell r="F40">
            <v>237</v>
          </cell>
          <cell r="G40">
            <v>4</v>
          </cell>
          <cell r="H40">
            <v>3.625</v>
          </cell>
          <cell r="I40">
            <v>0</v>
          </cell>
          <cell r="J40">
            <v>0</v>
          </cell>
          <cell r="K40">
            <v>0</v>
          </cell>
          <cell r="L40">
            <v>5.75</v>
          </cell>
          <cell r="M40">
            <v>7.25</v>
          </cell>
          <cell r="N40">
            <v>6</v>
          </cell>
          <cell r="O40">
            <v>5.25</v>
          </cell>
          <cell r="P40">
            <v>95.5</v>
          </cell>
          <cell r="Q40">
            <v>75</v>
          </cell>
          <cell r="R40">
            <v>88.5</v>
          </cell>
          <cell r="S40">
            <v>48</v>
          </cell>
          <cell r="T40">
            <v>792.92</v>
          </cell>
          <cell r="U40">
            <v>782.7</v>
          </cell>
          <cell r="V40">
            <v>786.56</v>
          </cell>
          <cell r="W40">
            <v>10.219999999999914</v>
          </cell>
          <cell r="X40">
            <v>2.5097999999999998</v>
          </cell>
          <cell r="Y40">
            <v>3.8412999999999999</v>
          </cell>
          <cell r="Z40">
            <v>3.31</v>
          </cell>
          <cell r="AA40">
            <v>-1.3315000000000001</v>
          </cell>
          <cell r="AB40">
            <v>197.46</v>
          </cell>
          <cell r="AC40">
            <v>189.58</v>
          </cell>
          <cell r="AD40">
            <v>193.03</v>
          </cell>
          <cell r="AE40">
            <v>7.8799999999999955</v>
          </cell>
          <cell r="AF40">
            <v>0</v>
          </cell>
          <cell r="AG40">
            <v>784.83</v>
          </cell>
          <cell r="AH40">
            <v>3.5771999999999999</v>
          </cell>
          <cell r="AI40">
            <v>0</v>
          </cell>
          <cell r="AJ40">
            <v>0</v>
          </cell>
          <cell r="AK40">
            <v>784.83</v>
          </cell>
          <cell r="AL40">
            <v>3.5771999999999999</v>
          </cell>
          <cell r="AM40">
            <v>974.41</v>
          </cell>
        </row>
        <row r="41">
          <cell r="E41" t="str">
            <v>생물환경화학과</v>
          </cell>
          <cell r="F41">
            <v>238</v>
          </cell>
          <cell r="G41">
            <v>8</v>
          </cell>
          <cell r="H41">
            <v>6.166666666666667</v>
          </cell>
          <cell r="I41">
            <v>0</v>
          </cell>
          <cell r="J41">
            <v>0</v>
          </cell>
          <cell r="K41">
            <v>0</v>
          </cell>
          <cell r="L41">
            <v>5.25</v>
          </cell>
          <cell r="M41">
            <v>4.88</v>
          </cell>
          <cell r="N41">
            <v>5.63</v>
          </cell>
          <cell r="O41">
            <v>4.4400000000000004</v>
          </cell>
          <cell r="P41">
            <v>98</v>
          </cell>
          <cell r="Q41">
            <v>100.38</v>
          </cell>
          <cell r="R41">
            <v>94.25</v>
          </cell>
          <cell r="S41">
            <v>51.63</v>
          </cell>
          <cell r="T41">
            <v>786.12</v>
          </cell>
          <cell r="U41">
            <v>773.38</v>
          </cell>
          <cell r="V41">
            <v>779.27</v>
          </cell>
          <cell r="W41">
            <v>12.740000000000009</v>
          </cell>
          <cell r="X41">
            <v>3.3723000000000001</v>
          </cell>
          <cell r="Y41">
            <v>4.7541000000000002</v>
          </cell>
          <cell r="Z41">
            <v>4.1500000000000004</v>
          </cell>
          <cell r="AA41">
            <v>-1.3818000000000001</v>
          </cell>
          <cell r="AB41">
            <v>195.49</v>
          </cell>
          <cell r="AC41">
            <v>190.44</v>
          </cell>
          <cell r="AD41">
            <v>192.63</v>
          </cell>
          <cell r="AE41">
            <v>5.0500000000000114</v>
          </cell>
          <cell r="AF41">
            <v>0</v>
          </cell>
          <cell r="AG41">
            <v>777.24</v>
          </cell>
          <cell r="AH41">
            <v>4.3832000000000004</v>
          </cell>
          <cell r="AI41">
            <v>0</v>
          </cell>
          <cell r="AJ41">
            <v>0</v>
          </cell>
          <cell r="AK41">
            <v>773.38</v>
          </cell>
          <cell r="AL41">
            <v>4.7541000000000002</v>
          </cell>
          <cell r="AM41">
            <v>968.87</v>
          </cell>
        </row>
        <row r="42">
          <cell r="E42" t="str">
            <v>식품공학과</v>
          </cell>
          <cell r="F42">
            <v>239</v>
          </cell>
          <cell r="G42">
            <v>4</v>
          </cell>
          <cell r="H42">
            <v>7.2727272727272725</v>
          </cell>
          <cell r="I42">
            <v>0</v>
          </cell>
          <cell r="J42">
            <v>0</v>
          </cell>
          <cell r="K42">
            <v>0</v>
          </cell>
          <cell r="L42">
            <v>5.25</v>
          </cell>
          <cell r="M42">
            <v>5</v>
          </cell>
          <cell r="N42">
            <v>4.75</v>
          </cell>
          <cell r="O42">
            <v>4</v>
          </cell>
          <cell r="P42">
            <v>100.25</v>
          </cell>
          <cell r="Q42">
            <v>95.5</v>
          </cell>
          <cell r="R42">
            <v>101.75</v>
          </cell>
          <cell r="S42">
            <v>54.75</v>
          </cell>
          <cell r="T42">
            <v>786.21</v>
          </cell>
          <cell r="U42">
            <v>773.57</v>
          </cell>
          <cell r="V42">
            <v>778.95</v>
          </cell>
          <cell r="W42">
            <v>12.639999999999986</v>
          </cell>
          <cell r="X42">
            <v>3.3696000000000002</v>
          </cell>
          <cell r="Y42">
            <v>4.7422000000000004</v>
          </cell>
          <cell r="Z42">
            <v>4.1500000000000004</v>
          </cell>
          <cell r="AA42">
            <v>-1.3726000000000003</v>
          </cell>
          <cell r="AB42">
            <v>196.79</v>
          </cell>
          <cell r="AC42">
            <v>190.4</v>
          </cell>
          <cell r="AD42">
            <v>194.08</v>
          </cell>
          <cell r="AE42">
            <v>6.3899999999999864</v>
          </cell>
          <cell r="AF42">
            <v>0</v>
          </cell>
          <cell r="AG42">
            <v>773.57</v>
          </cell>
          <cell r="AH42">
            <v>4.7422000000000004</v>
          </cell>
          <cell r="AI42">
            <v>0</v>
          </cell>
          <cell r="AJ42">
            <v>0</v>
          </cell>
          <cell r="AK42">
            <v>773.57</v>
          </cell>
          <cell r="AL42">
            <v>4.7422000000000004</v>
          </cell>
          <cell r="AM42">
            <v>969.74</v>
          </cell>
        </row>
        <row r="43">
          <cell r="E43" t="str">
            <v>동물소재공학과</v>
          </cell>
          <cell r="F43">
            <v>240</v>
          </cell>
          <cell r="G43">
            <v>3</v>
          </cell>
          <cell r="H43">
            <v>3.5555555555555554</v>
          </cell>
          <cell r="I43">
            <v>0</v>
          </cell>
          <cell r="J43">
            <v>0</v>
          </cell>
          <cell r="K43">
            <v>0</v>
          </cell>
          <cell r="L43">
            <v>4.33</v>
          </cell>
          <cell r="M43">
            <v>3.67</v>
          </cell>
          <cell r="N43">
            <v>5.33</v>
          </cell>
          <cell r="O43">
            <v>3.17</v>
          </cell>
          <cell r="P43">
            <v>109</v>
          </cell>
          <cell r="Q43">
            <v>115.33</v>
          </cell>
          <cell r="R43">
            <v>98</v>
          </cell>
          <cell r="S43">
            <v>59.83</v>
          </cell>
          <cell r="T43">
            <v>771.55</v>
          </cell>
          <cell r="U43">
            <v>755.38</v>
          </cell>
          <cell r="V43">
            <v>764.14</v>
          </cell>
          <cell r="W43">
            <v>16.169999999999959</v>
          </cell>
          <cell r="X43">
            <v>4.9074</v>
          </cell>
          <cell r="Y43">
            <v>6.5156000000000001</v>
          </cell>
          <cell r="Z43">
            <v>5.63</v>
          </cell>
          <cell r="AA43">
            <v>-1.6082000000000001</v>
          </cell>
          <cell r="AB43">
            <v>198.2</v>
          </cell>
          <cell r="AC43">
            <v>189.66</v>
          </cell>
          <cell r="AD43">
            <v>193.75</v>
          </cell>
          <cell r="AE43">
            <v>8.539999999999992</v>
          </cell>
          <cell r="AF43">
            <v>0</v>
          </cell>
          <cell r="AG43">
            <v>755.38</v>
          </cell>
          <cell r="AH43">
            <v>6.5156000000000001</v>
          </cell>
          <cell r="AI43">
            <v>0</v>
          </cell>
          <cell r="AJ43">
            <v>0</v>
          </cell>
          <cell r="AK43">
            <v>755.38</v>
          </cell>
          <cell r="AL43">
            <v>6.5156000000000001</v>
          </cell>
          <cell r="AM43">
            <v>948.77</v>
          </cell>
        </row>
        <row r="44">
          <cell r="E44" t="str">
            <v>동물생명공학과</v>
          </cell>
          <cell r="F44">
            <v>241</v>
          </cell>
          <cell r="G44">
            <v>6</v>
          </cell>
          <cell r="H44">
            <v>3.2</v>
          </cell>
          <cell r="I44">
            <v>0</v>
          </cell>
          <cell r="J44">
            <v>0</v>
          </cell>
          <cell r="K44">
            <v>0</v>
          </cell>
          <cell r="L44">
            <v>5</v>
          </cell>
          <cell r="M44">
            <v>4.33</v>
          </cell>
          <cell r="N44">
            <v>5.5</v>
          </cell>
          <cell r="O44">
            <v>3.67</v>
          </cell>
          <cell r="P44">
            <v>101.17</v>
          </cell>
          <cell r="Q44">
            <v>104.33</v>
          </cell>
          <cell r="R44">
            <v>94</v>
          </cell>
          <cell r="S44">
            <v>56.17</v>
          </cell>
          <cell r="T44">
            <v>782.21</v>
          </cell>
          <cell r="U44">
            <v>757.47</v>
          </cell>
          <cell r="V44">
            <v>767.73</v>
          </cell>
          <cell r="W44">
            <v>24.740000000000009</v>
          </cell>
          <cell r="X44">
            <v>3.9032</v>
          </cell>
          <cell r="Y44">
            <v>6.2691999999999997</v>
          </cell>
          <cell r="Z44">
            <v>5.33</v>
          </cell>
          <cell r="AA44">
            <v>-2.3659999999999997</v>
          </cell>
          <cell r="AB44">
            <v>196.89</v>
          </cell>
          <cell r="AC44">
            <v>189</v>
          </cell>
          <cell r="AD44">
            <v>191.73</v>
          </cell>
          <cell r="AE44">
            <v>7.8899999999999864</v>
          </cell>
          <cell r="AF44">
            <v>0</v>
          </cell>
          <cell r="AG44">
            <v>760.55</v>
          </cell>
          <cell r="AH44">
            <v>6.0865</v>
          </cell>
          <cell r="AI44">
            <v>0</v>
          </cell>
          <cell r="AJ44">
            <v>0</v>
          </cell>
          <cell r="AK44">
            <v>762.67</v>
          </cell>
          <cell r="AL44">
            <v>5.8548</v>
          </cell>
          <cell r="AM44">
            <v>954.09</v>
          </cell>
        </row>
        <row r="45">
          <cell r="E45" t="str">
            <v>국어교육과</v>
          </cell>
          <cell r="F45">
            <v>141</v>
          </cell>
          <cell r="G45">
            <v>6</v>
          </cell>
          <cell r="H45">
            <v>7.875</v>
          </cell>
          <cell r="I45">
            <v>0</v>
          </cell>
          <cell r="J45">
            <v>0</v>
          </cell>
          <cell r="K45">
            <v>0</v>
          </cell>
          <cell r="L45">
            <v>2</v>
          </cell>
          <cell r="M45">
            <v>2.17</v>
          </cell>
          <cell r="N45">
            <v>2.33</v>
          </cell>
          <cell r="O45">
            <v>1.42</v>
          </cell>
          <cell r="P45">
            <v>126.33</v>
          </cell>
          <cell r="Q45">
            <v>129</v>
          </cell>
          <cell r="R45">
            <v>123.83</v>
          </cell>
          <cell r="S45">
            <v>67.17</v>
          </cell>
          <cell r="T45">
            <v>797.37</v>
          </cell>
          <cell r="U45">
            <v>791.96</v>
          </cell>
          <cell r="V45">
            <v>795.23</v>
          </cell>
          <cell r="W45">
            <v>5.4099999999999682</v>
          </cell>
          <cell r="X45">
            <v>1.6880999999999999</v>
          </cell>
          <cell r="Y45">
            <v>2.7</v>
          </cell>
          <cell r="Z45">
            <v>2.09</v>
          </cell>
          <cell r="AA45">
            <v>-1.0119000000000002</v>
          </cell>
          <cell r="AB45">
            <v>195.6</v>
          </cell>
          <cell r="AC45">
            <v>188.24</v>
          </cell>
          <cell r="AD45">
            <v>191.78</v>
          </cell>
          <cell r="AE45">
            <v>7.3599999999999852</v>
          </cell>
          <cell r="AF45">
            <v>0</v>
          </cell>
          <cell r="AG45">
            <v>797.05</v>
          </cell>
          <cell r="AH45">
            <v>1.7787999999999999</v>
          </cell>
          <cell r="AI45">
            <v>0</v>
          </cell>
          <cell r="AJ45">
            <v>0</v>
          </cell>
          <cell r="AK45">
            <v>791.96</v>
          </cell>
          <cell r="AL45">
            <v>2.7</v>
          </cell>
          <cell r="AM45">
            <v>985.72</v>
          </cell>
        </row>
        <row r="46">
          <cell r="E46" t="str">
            <v>독어교육과</v>
          </cell>
          <cell r="F46">
            <v>142</v>
          </cell>
          <cell r="G46">
            <v>1</v>
          </cell>
          <cell r="H46">
            <v>4</v>
          </cell>
          <cell r="I46">
            <v>0</v>
          </cell>
          <cell r="J46">
            <v>0</v>
          </cell>
          <cell r="K46">
            <v>0</v>
          </cell>
          <cell r="L46">
            <v>4</v>
          </cell>
          <cell r="M46">
            <v>2</v>
          </cell>
          <cell r="N46">
            <v>4</v>
          </cell>
          <cell r="O46">
            <v>1.5</v>
          </cell>
          <cell r="P46">
            <v>112</v>
          </cell>
          <cell r="Q46">
            <v>129</v>
          </cell>
          <cell r="R46">
            <v>109</v>
          </cell>
          <cell r="S46">
            <v>65.5</v>
          </cell>
          <cell r="T46">
            <v>790.42</v>
          </cell>
          <cell r="U46">
            <v>790.42</v>
          </cell>
          <cell r="V46">
            <v>790.42</v>
          </cell>
          <cell r="W46">
            <v>0</v>
          </cell>
          <cell r="X46">
            <v>2.9211</v>
          </cell>
          <cell r="Y46">
            <v>2.9211</v>
          </cell>
          <cell r="Z46">
            <v>2.92</v>
          </cell>
          <cell r="AA46">
            <v>0</v>
          </cell>
          <cell r="AB46">
            <v>190.47</v>
          </cell>
          <cell r="AC46">
            <v>190.47</v>
          </cell>
          <cell r="AD46">
            <v>190.47</v>
          </cell>
          <cell r="AE46">
            <v>0</v>
          </cell>
          <cell r="AF46">
            <v>0</v>
          </cell>
          <cell r="AG46">
            <v>790.42</v>
          </cell>
          <cell r="AH46">
            <v>2.9211</v>
          </cell>
          <cell r="AI46">
            <v>0</v>
          </cell>
          <cell r="AJ46">
            <v>0</v>
          </cell>
          <cell r="AK46">
            <v>790.42</v>
          </cell>
          <cell r="AL46">
            <v>2.9211</v>
          </cell>
          <cell r="AM46">
            <v>980.89</v>
          </cell>
        </row>
        <row r="47">
          <cell r="E47" t="str">
            <v>영어교육과</v>
          </cell>
          <cell r="F47">
            <v>143</v>
          </cell>
          <cell r="G47">
            <v>6</v>
          </cell>
          <cell r="H47">
            <v>8.375</v>
          </cell>
          <cell r="I47">
            <v>0</v>
          </cell>
          <cell r="J47">
            <v>0</v>
          </cell>
          <cell r="K47">
            <v>0</v>
          </cell>
          <cell r="L47">
            <v>2.17</v>
          </cell>
          <cell r="M47">
            <v>2.83</v>
          </cell>
          <cell r="N47">
            <v>2.17</v>
          </cell>
          <cell r="O47">
            <v>1.67</v>
          </cell>
          <cell r="P47">
            <v>124.83</v>
          </cell>
          <cell r="Q47">
            <v>121.67</v>
          </cell>
          <cell r="R47">
            <v>125.67</v>
          </cell>
          <cell r="S47">
            <v>66.17</v>
          </cell>
          <cell r="T47">
            <v>797.98</v>
          </cell>
          <cell r="U47">
            <v>794.36</v>
          </cell>
          <cell r="V47">
            <v>796.17</v>
          </cell>
          <cell r="W47">
            <v>3.6200000000000045</v>
          </cell>
          <cell r="X47">
            <v>1.4790000000000001</v>
          </cell>
          <cell r="Y47">
            <v>2.3018999999999998</v>
          </cell>
          <cell r="Z47">
            <v>1.92</v>
          </cell>
          <cell r="AA47">
            <v>-0.82289999999999974</v>
          </cell>
          <cell r="AB47">
            <v>195.32</v>
          </cell>
          <cell r="AC47">
            <v>189.38</v>
          </cell>
          <cell r="AD47">
            <v>192.76</v>
          </cell>
          <cell r="AE47">
            <v>5.9399999999999977</v>
          </cell>
          <cell r="AF47">
            <v>0</v>
          </cell>
          <cell r="AG47">
            <v>794.36</v>
          </cell>
          <cell r="AH47">
            <v>2.3018999999999998</v>
          </cell>
          <cell r="AI47">
            <v>0</v>
          </cell>
          <cell r="AJ47">
            <v>0</v>
          </cell>
          <cell r="AK47">
            <v>797.98</v>
          </cell>
          <cell r="AL47">
            <v>1.5439000000000001</v>
          </cell>
          <cell r="AM47">
            <v>987.36</v>
          </cell>
        </row>
        <row r="48">
          <cell r="E48" t="str">
            <v>교육학과</v>
          </cell>
          <cell r="F48">
            <v>144</v>
          </cell>
          <cell r="G48">
            <v>4</v>
          </cell>
          <cell r="H48">
            <v>9.1428571428571423</v>
          </cell>
          <cell r="I48">
            <v>0</v>
          </cell>
          <cell r="J48">
            <v>0</v>
          </cell>
          <cell r="K48">
            <v>0</v>
          </cell>
          <cell r="L48">
            <v>4.25</v>
          </cell>
          <cell r="M48">
            <v>3.25</v>
          </cell>
          <cell r="N48">
            <v>4.25</v>
          </cell>
          <cell r="O48">
            <v>2.88</v>
          </cell>
          <cell r="P48">
            <v>107.75</v>
          </cell>
          <cell r="Q48">
            <v>116.75</v>
          </cell>
          <cell r="R48">
            <v>107.5</v>
          </cell>
          <cell r="S48">
            <v>60.5</v>
          </cell>
          <cell r="T48">
            <v>798.49</v>
          </cell>
          <cell r="U48">
            <v>793.81</v>
          </cell>
          <cell r="V48">
            <v>795.97</v>
          </cell>
          <cell r="W48">
            <v>4.6800000000000637</v>
          </cell>
          <cell r="X48">
            <v>1.4017999999999999</v>
          </cell>
          <cell r="Y48">
            <v>2.2966000000000002</v>
          </cell>
          <cell r="Z48">
            <v>1.94</v>
          </cell>
          <cell r="AA48">
            <v>-0.89480000000000026</v>
          </cell>
          <cell r="AB48">
            <v>195.51</v>
          </cell>
          <cell r="AC48">
            <v>191.05</v>
          </cell>
          <cell r="AD48">
            <v>193.39</v>
          </cell>
          <cell r="AE48">
            <v>4.4599999999999795</v>
          </cell>
          <cell r="AF48">
            <v>0</v>
          </cell>
          <cell r="AG48">
            <v>793.81</v>
          </cell>
          <cell r="AH48">
            <v>2.2966000000000002</v>
          </cell>
          <cell r="AI48">
            <v>0</v>
          </cell>
          <cell r="AJ48">
            <v>0</v>
          </cell>
          <cell r="AK48">
            <v>793.81</v>
          </cell>
          <cell r="AL48">
            <v>2.2966000000000002</v>
          </cell>
          <cell r="AM48">
            <v>988.54</v>
          </cell>
        </row>
        <row r="49">
          <cell r="E49" t="str">
            <v>윤리교육과</v>
          </cell>
          <cell r="F49">
            <v>145</v>
          </cell>
          <cell r="G49">
            <v>1</v>
          </cell>
          <cell r="H49">
            <v>12.666666666666666</v>
          </cell>
          <cell r="I49">
            <v>0</v>
          </cell>
          <cell r="J49">
            <v>0</v>
          </cell>
          <cell r="K49">
            <v>0</v>
          </cell>
          <cell r="L49">
            <v>5</v>
          </cell>
          <cell r="M49">
            <v>4</v>
          </cell>
          <cell r="N49">
            <v>3</v>
          </cell>
          <cell r="O49">
            <v>2.5</v>
          </cell>
          <cell r="P49">
            <v>102</v>
          </cell>
          <cell r="Q49">
            <v>112</v>
          </cell>
          <cell r="R49">
            <v>125</v>
          </cell>
          <cell r="S49">
            <v>63.5</v>
          </cell>
          <cell r="T49">
            <v>787.91</v>
          </cell>
          <cell r="U49">
            <v>787.91</v>
          </cell>
          <cell r="V49">
            <v>787.91</v>
          </cell>
          <cell r="W49">
            <v>0</v>
          </cell>
          <cell r="X49">
            <v>3.2856999999999998</v>
          </cell>
          <cell r="Y49">
            <v>3.2856999999999998</v>
          </cell>
          <cell r="Z49">
            <v>3.29</v>
          </cell>
          <cell r="AA49">
            <v>0</v>
          </cell>
          <cell r="AB49">
            <v>196.39</v>
          </cell>
          <cell r="AC49">
            <v>196.39</v>
          </cell>
          <cell r="AD49">
            <v>196.39</v>
          </cell>
          <cell r="AE49">
            <v>0</v>
          </cell>
          <cell r="AF49">
            <v>0</v>
          </cell>
          <cell r="AG49">
            <v>787.91</v>
          </cell>
          <cell r="AH49">
            <v>3.2856999999999998</v>
          </cell>
          <cell r="AI49">
            <v>0</v>
          </cell>
          <cell r="AJ49">
            <v>0</v>
          </cell>
          <cell r="AK49">
            <v>787.91</v>
          </cell>
          <cell r="AL49">
            <v>3.2856999999999998</v>
          </cell>
          <cell r="AM49">
            <v>984.3</v>
          </cell>
        </row>
        <row r="50">
          <cell r="E50" t="str">
            <v>사회교육학부</v>
          </cell>
          <cell r="F50">
            <v>146</v>
          </cell>
          <cell r="G50">
            <v>4</v>
          </cell>
          <cell r="H50">
            <v>12.555555555555555</v>
          </cell>
          <cell r="I50">
            <v>0</v>
          </cell>
          <cell r="J50">
            <v>0</v>
          </cell>
          <cell r="K50">
            <v>0</v>
          </cell>
          <cell r="L50">
            <v>3.5</v>
          </cell>
          <cell r="M50">
            <v>4</v>
          </cell>
          <cell r="N50">
            <v>3.75</v>
          </cell>
          <cell r="O50">
            <v>2.13</v>
          </cell>
          <cell r="P50">
            <v>115.25</v>
          </cell>
          <cell r="Q50">
            <v>108.5</v>
          </cell>
          <cell r="R50">
            <v>113.25</v>
          </cell>
          <cell r="S50">
            <v>64</v>
          </cell>
          <cell r="T50">
            <v>796.47</v>
          </cell>
          <cell r="U50">
            <v>792.85</v>
          </cell>
          <cell r="V50">
            <v>794.64</v>
          </cell>
          <cell r="W50">
            <v>3.6200000000000045</v>
          </cell>
          <cell r="X50">
            <v>1.8182</v>
          </cell>
          <cell r="Y50">
            <v>2.5278</v>
          </cell>
          <cell r="Z50">
            <v>2.15</v>
          </cell>
          <cell r="AA50">
            <v>-0.70960000000000001</v>
          </cell>
          <cell r="AB50">
            <v>196.75</v>
          </cell>
          <cell r="AC50">
            <v>192.94</v>
          </cell>
          <cell r="AD50">
            <v>195.33</v>
          </cell>
          <cell r="AE50">
            <v>3.8100000000000023</v>
          </cell>
          <cell r="AF50">
            <v>0</v>
          </cell>
          <cell r="AG50">
            <v>792.85</v>
          </cell>
          <cell r="AH50">
            <v>2.5278</v>
          </cell>
          <cell r="AI50">
            <v>0</v>
          </cell>
          <cell r="AJ50">
            <v>0</v>
          </cell>
          <cell r="AK50">
            <v>792.85</v>
          </cell>
          <cell r="AL50">
            <v>2.5278</v>
          </cell>
          <cell r="AM50">
            <v>989.02</v>
          </cell>
        </row>
        <row r="51">
          <cell r="E51" t="str">
            <v>지리교육과</v>
          </cell>
          <cell r="F51">
            <v>147</v>
          </cell>
          <cell r="G51">
            <v>2</v>
          </cell>
          <cell r="H51">
            <v>9.5</v>
          </cell>
          <cell r="I51">
            <v>0</v>
          </cell>
          <cell r="J51">
            <v>0</v>
          </cell>
          <cell r="K51">
            <v>0</v>
          </cell>
          <cell r="L51">
            <v>1.5</v>
          </cell>
          <cell r="M51">
            <v>3</v>
          </cell>
          <cell r="N51">
            <v>4</v>
          </cell>
          <cell r="O51">
            <v>2</v>
          </cell>
          <cell r="P51">
            <v>132</v>
          </cell>
          <cell r="Q51">
            <v>118</v>
          </cell>
          <cell r="R51">
            <v>113</v>
          </cell>
          <cell r="S51">
            <v>64.5</v>
          </cell>
          <cell r="T51">
            <v>793.81</v>
          </cell>
          <cell r="U51">
            <v>792.52</v>
          </cell>
          <cell r="V51">
            <v>793.17</v>
          </cell>
          <cell r="W51">
            <v>1.2899999999999636</v>
          </cell>
          <cell r="X51">
            <v>2.3248000000000002</v>
          </cell>
          <cell r="Y51">
            <v>2.5</v>
          </cell>
          <cell r="Z51">
            <v>2.41</v>
          </cell>
          <cell r="AA51">
            <v>-0.1751999999999998</v>
          </cell>
          <cell r="AB51">
            <v>195.25</v>
          </cell>
          <cell r="AC51">
            <v>194.77</v>
          </cell>
          <cell r="AD51">
            <v>195.01</v>
          </cell>
          <cell r="AE51">
            <v>0.47999999999998977</v>
          </cell>
          <cell r="AF51">
            <v>0</v>
          </cell>
          <cell r="AG51">
            <v>792.52</v>
          </cell>
          <cell r="AH51">
            <v>2.5</v>
          </cell>
          <cell r="AI51">
            <v>0</v>
          </cell>
          <cell r="AJ51">
            <v>0</v>
          </cell>
          <cell r="AK51">
            <v>792.52</v>
          </cell>
          <cell r="AL51">
            <v>2.5</v>
          </cell>
          <cell r="AM51">
            <v>987.29</v>
          </cell>
        </row>
        <row r="52">
          <cell r="E52" t="str">
            <v>수학교육과</v>
          </cell>
          <cell r="F52">
            <v>247</v>
          </cell>
          <cell r="G52">
            <v>5</v>
          </cell>
          <cell r="H52">
            <v>12.714285714285714</v>
          </cell>
          <cell r="I52">
            <v>0</v>
          </cell>
          <cell r="J52">
            <v>0</v>
          </cell>
          <cell r="K52">
            <v>0</v>
          </cell>
          <cell r="L52">
            <v>3</v>
          </cell>
          <cell r="M52">
            <v>3.6</v>
          </cell>
          <cell r="N52">
            <v>2.8</v>
          </cell>
          <cell r="O52">
            <v>1.7</v>
          </cell>
          <cell r="P52">
            <v>119.2</v>
          </cell>
          <cell r="Q52">
            <v>116.8</v>
          </cell>
          <cell r="R52">
            <v>124.6</v>
          </cell>
          <cell r="S52">
            <v>64.8</v>
          </cell>
          <cell r="T52">
            <v>796.98</v>
          </cell>
          <cell r="U52">
            <v>795.32</v>
          </cell>
          <cell r="V52">
            <v>796.26</v>
          </cell>
          <cell r="W52">
            <v>1.6599999999999682</v>
          </cell>
          <cell r="X52">
            <v>1.843</v>
          </cell>
          <cell r="Y52">
            <v>2.1404999999999998</v>
          </cell>
          <cell r="Z52">
            <v>1.96</v>
          </cell>
          <cell r="AA52">
            <v>-0.29749999999999988</v>
          </cell>
          <cell r="AB52">
            <v>196.19</v>
          </cell>
          <cell r="AC52">
            <v>193.34</v>
          </cell>
          <cell r="AD52">
            <v>194.44</v>
          </cell>
          <cell r="AE52">
            <v>2.8499999999999943</v>
          </cell>
          <cell r="AF52">
            <v>0</v>
          </cell>
          <cell r="AG52">
            <v>795.32</v>
          </cell>
          <cell r="AH52">
            <v>2.1404999999999998</v>
          </cell>
          <cell r="AI52">
            <v>0</v>
          </cell>
          <cell r="AJ52">
            <v>0</v>
          </cell>
          <cell r="AK52">
            <v>795.99</v>
          </cell>
          <cell r="AL52">
            <v>1.9127000000000001</v>
          </cell>
          <cell r="AM52">
            <v>989.96</v>
          </cell>
        </row>
        <row r="53">
          <cell r="E53" t="str">
            <v>과학교육학부(물리교육)</v>
          </cell>
          <cell r="F53">
            <v>249</v>
          </cell>
          <cell r="G53">
            <v>5</v>
          </cell>
          <cell r="H53">
            <v>3.8571428571428572</v>
          </cell>
          <cell r="I53">
            <v>0</v>
          </cell>
          <cell r="J53">
            <v>0</v>
          </cell>
          <cell r="K53">
            <v>0</v>
          </cell>
          <cell r="L53">
            <v>3.6</v>
          </cell>
          <cell r="M53">
            <v>4.2</v>
          </cell>
          <cell r="N53">
            <v>3</v>
          </cell>
          <cell r="O53">
            <v>2.7</v>
          </cell>
          <cell r="P53">
            <v>114.2</v>
          </cell>
          <cell r="Q53">
            <v>109</v>
          </cell>
          <cell r="R53">
            <v>119</v>
          </cell>
          <cell r="S53">
            <v>62.3</v>
          </cell>
          <cell r="T53">
            <v>798.26</v>
          </cell>
          <cell r="U53">
            <v>790.05</v>
          </cell>
          <cell r="V53">
            <v>793.51</v>
          </cell>
          <cell r="W53">
            <v>8.2100000000000364</v>
          </cell>
          <cell r="X53">
            <v>1.4785999999999999</v>
          </cell>
          <cell r="Y53">
            <v>2.9834999999999998</v>
          </cell>
          <cell r="Z53">
            <v>2.3199999999999998</v>
          </cell>
          <cell r="AA53">
            <v>-1.5048999999999999</v>
          </cell>
          <cell r="AB53">
            <v>196.44</v>
          </cell>
          <cell r="AC53">
            <v>188.77</v>
          </cell>
          <cell r="AD53">
            <v>192.96</v>
          </cell>
          <cell r="AE53">
            <v>7.6699999999999875</v>
          </cell>
          <cell r="AF53">
            <v>0</v>
          </cell>
          <cell r="AG53">
            <v>790.19</v>
          </cell>
          <cell r="AH53">
            <v>2.9834999999999998</v>
          </cell>
          <cell r="AI53">
            <v>0</v>
          </cell>
          <cell r="AJ53">
            <v>0</v>
          </cell>
          <cell r="AK53">
            <v>793.22</v>
          </cell>
          <cell r="AL53">
            <v>2.3620999999999999</v>
          </cell>
          <cell r="AM53">
            <v>984.94</v>
          </cell>
        </row>
        <row r="54">
          <cell r="E54" t="str">
            <v>과학교육학부(생물교육)</v>
          </cell>
          <cell r="F54">
            <v>250</v>
          </cell>
          <cell r="G54">
            <v>4</v>
          </cell>
          <cell r="H54">
            <v>6.8571428571428568</v>
          </cell>
          <cell r="I54">
            <v>0</v>
          </cell>
          <cell r="J54">
            <v>0</v>
          </cell>
          <cell r="K54">
            <v>0</v>
          </cell>
          <cell r="L54">
            <v>2.25</v>
          </cell>
          <cell r="M54">
            <v>5.5</v>
          </cell>
          <cell r="N54">
            <v>3.5</v>
          </cell>
          <cell r="O54">
            <v>2</v>
          </cell>
          <cell r="P54">
            <v>124.25</v>
          </cell>
          <cell r="Q54">
            <v>95.75</v>
          </cell>
          <cell r="R54">
            <v>115.25</v>
          </cell>
          <cell r="S54">
            <v>63.5</v>
          </cell>
          <cell r="T54">
            <v>797.46</v>
          </cell>
          <cell r="U54">
            <v>794.97</v>
          </cell>
          <cell r="V54">
            <v>795.78</v>
          </cell>
          <cell r="W54">
            <v>2.4900000000000091</v>
          </cell>
          <cell r="X54">
            <v>1.6941999999999999</v>
          </cell>
          <cell r="Y54">
            <v>2.15</v>
          </cell>
          <cell r="Z54">
            <v>1.99</v>
          </cell>
          <cell r="AA54">
            <v>-0.45579999999999998</v>
          </cell>
          <cell r="AB54">
            <v>196.58</v>
          </cell>
          <cell r="AC54">
            <v>192.02</v>
          </cell>
          <cell r="AD54">
            <v>194.25</v>
          </cell>
          <cell r="AE54">
            <v>4.5600000000000023</v>
          </cell>
          <cell r="AF54">
            <v>0</v>
          </cell>
          <cell r="AG54">
            <v>795.03</v>
          </cell>
          <cell r="AH54">
            <v>2.15</v>
          </cell>
          <cell r="AI54">
            <v>0</v>
          </cell>
          <cell r="AJ54">
            <v>0</v>
          </cell>
          <cell r="AK54">
            <v>795.03</v>
          </cell>
          <cell r="AL54">
            <v>2.15</v>
          </cell>
          <cell r="AM54">
            <v>987.05</v>
          </cell>
        </row>
        <row r="55">
          <cell r="E55" t="str">
            <v>과학교육학부(지구과학교육)</v>
          </cell>
          <cell r="F55">
            <v>251</v>
          </cell>
          <cell r="G55">
            <v>3</v>
          </cell>
          <cell r="H55">
            <v>4.5714285714285712</v>
          </cell>
          <cell r="I55">
            <v>0</v>
          </cell>
          <cell r="J55">
            <v>0</v>
          </cell>
          <cell r="K55">
            <v>0</v>
          </cell>
          <cell r="L55">
            <v>4</v>
          </cell>
          <cell r="M55">
            <v>4.67</v>
          </cell>
          <cell r="N55">
            <v>5</v>
          </cell>
          <cell r="O55">
            <v>2.33</v>
          </cell>
          <cell r="P55">
            <v>110</v>
          </cell>
          <cell r="Q55">
            <v>102</v>
          </cell>
          <cell r="R55">
            <v>99.33</v>
          </cell>
          <cell r="S55">
            <v>63.67</v>
          </cell>
          <cell r="T55">
            <v>793</v>
          </cell>
          <cell r="U55">
            <v>777.39</v>
          </cell>
          <cell r="V55">
            <v>783.79</v>
          </cell>
          <cell r="W55">
            <v>15.610000000000014</v>
          </cell>
          <cell r="X55">
            <v>2.4914000000000001</v>
          </cell>
          <cell r="Y55">
            <v>4.0407000000000002</v>
          </cell>
          <cell r="Z55">
            <v>3.49</v>
          </cell>
          <cell r="AA55">
            <v>-1.5493000000000001</v>
          </cell>
          <cell r="AB55">
            <v>193.07</v>
          </cell>
          <cell r="AC55">
            <v>189.97</v>
          </cell>
          <cell r="AD55">
            <v>191.23</v>
          </cell>
          <cell r="AE55">
            <v>3.0999999999999943</v>
          </cell>
          <cell r="AF55">
            <v>0</v>
          </cell>
          <cell r="AG55">
            <v>777.39</v>
          </cell>
          <cell r="AH55">
            <v>4.0407000000000002</v>
          </cell>
          <cell r="AI55">
            <v>0</v>
          </cell>
          <cell r="AJ55">
            <v>0</v>
          </cell>
          <cell r="AK55">
            <v>777.39</v>
          </cell>
          <cell r="AL55">
            <v>4.0407000000000002</v>
          </cell>
          <cell r="AM55">
            <v>967.36</v>
          </cell>
        </row>
        <row r="56">
          <cell r="E56" t="str">
            <v>과학교육학부(화학교육)</v>
          </cell>
          <cell r="F56">
            <v>252</v>
          </cell>
          <cell r="G56">
            <v>6</v>
          </cell>
          <cell r="H56">
            <v>6.2857142857142856</v>
          </cell>
          <cell r="I56">
            <v>0</v>
          </cell>
          <cell r="J56">
            <v>0</v>
          </cell>
          <cell r="K56">
            <v>0</v>
          </cell>
          <cell r="L56">
            <v>3</v>
          </cell>
          <cell r="M56">
            <v>4.5</v>
          </cell>
          <cell r="N56">
            <v>2.83</v>
          </cell>
          <cell r="O56">
            <v>2.17</v>
          </cell>
          <cell r="P56">
            <v>117.5</v>
          </cell>
          <cell r="Q56">
            <v>104.17</v>
          </cell>
          <cell r="R56">
            <v>121.33</v>
          </cell>
          <cell r="S56">
            <v>63.33</v>
          </cell>
          <cell r="T56">
            <v>797.08</v>
          </cell>
          <cell r="U56">
            <v>790.7</v>
          </cell>
          <cell r="V56">
            <v>794.89</v>
          </cell>
          <cell r="W56">
            <v>6.3799999999999955</v>
          </cell>
          <cell r="X56">
            <v>1.7705</v>
          </cell>
          <cell r="Y56">
            <v>2.7730999999999999</v>
          </cell>
          <cell r="Z56">
            <v>2.14</v>
          </cell>
          <cell r="AA56">
            <v>-1.0025999999999999</v>
          </cell>
          <cell r="AB56">
            <v>196.32</v>
          </cell>
          <cell r="AC56">
            <v>190.52</v>
          </cell>
          <cell r="AD56">
            <v>192.89</v>
          </cell>
          <cell r="AE56">
            <v>5.7999999999999829</v>
          </cell>
          <cell r="AF56">
            <v>0</v>
          </cell>
          <cell r="AG56">
            <v>790.7</v>
          </cell>
          <cell r="AH56">
            <v>2.7730999999999999</v>
          </cell>
          <cell r="AI56">
            <v>0</v>
          </cell>
          <cell r="AJ56">
            <v>0</v>
          </cell>
          <cell r="AK56">
            <v>794.44</v>
          </cell>
          <cell r="AL56">
            <v>2.2823000000000002</v>
          </cell>
          <cell r="AM56">
            <v>985.08</v>
          </cell>
        </row>
        <row r="57">
          <cell r="E57" t="str">
            <v>신문방송학과</v>
          </cell>
          <cell r="F57">
            <v>101</v>
          </cell>
          <cell r="G57">
            <v>2</v>
          </cell>
          <cell r="H57">
            <v>9.25</v>
          </cell>
          <cell r="I57">
            <v>0</v>
          </cell>
          <cell r="J57">
            <v>0</v>
          </cell>
          <cell r="K57">
            <v>0</v>
          </cell>
          <cell r="L57">
            <v>2.5</v>
          </cell>
          <cell r="M57">
            <v>5</v>
          </cell>
          <cell r="N57">
            <v>3.5</v>
          </cell>
          <cell r="O57">
            <v>2.75</v>
          </cell>
          <cell r="P57">
            <v>122</v>
          </cell>
          <cell r="Q57">
            <v>98.5</v>
          </cell>
          <cell r="R57">
            <v>116.5</v>
          </cell>
          <cell r="S57">
            <v>60</v>
          </cell>
          <cell r="T57">
            <v>792.07</v>
          </cell>
          <cell r="U57">
            <v>787.71</v>
          </cell>
          <cell r="V57">
            <v>789.89</v>
          </cell>
          <cell r="W57">
            <v>4.3600000000000136</v>
          </cell>
          <cell r="X57">
            <v>2.6785999999999999</v>
          </cell>
          <cell r="Y57">
            <v>3.2109999999999999</v>
          </cell>
          <cell r="Z57">
            <v>2.94</v>
          </cell>
          <cell r="AA57">
            <v>-0.53239999999999998</v>
          </cell>
          <cell r="AB57">
            <v>197.31</v>
          </cell>
          <cell r="AC57">
            <v>196.16</v>
          </cell>
          <cell r="AD57">
            <v>196.74</v>
          </cell>
          <cell r="AE57">
            <v>1.1500000000000057</v>
          </cell>
          <cell r="AF57">
            <v>0</v>
          </cell>
          <cell r="AG57">
            <v>787.71</v>
          </cell>
          <cell r="AH57">
            <v>3.2109999999999999</v>
          </cell>
          <cell r="AI57">
            <v>0</v>
          </cell>
          <cell r="AJ57">
            <v>0</v>
          </cell>
          <cell r="AK57">
            <v>787.71</v>
          </cell>
          <cell r="AL57">
            <v>3.2109999999999999</v>
          </cell>
          <cell r="AM57">
            <v>985.02</v>
          </cell>
        </row>
        <row r="58">
          <cell r="E58" t="str">
            <v>심리학과</v>
          </cell>
          <cell r="F58">
            <v>102</v>
          </cell>
          <cell r="G58">
            <v>3</v>
          </cell>
          <cell r="H58">
            <v>8.8571428571428577</v>
          </cell>
          <cell r="I58">
            <v>0</v>
          </cell>
          <cell r="J58">
            <v>0</v>
          </cell>
          <cell r="K58">
            <v>0</v>
          </cell>
          <cell r="L58">
            <v>3.67</v>
          </cell>
          <cell r="M58">
            <v>4</v>
          </cell>
          <cell r="N58">
            <v>3.33</v>
          </cell>
          <cell r="O58">
            <v>2.67</v>
          </cell>
          <cell r="P58">
            <v>117</v>
          </cell>
          <cell r="Q58">
            <v>109.67</v>
          </cell>
          <cell r="R58">
            <v>116.33</v>
          </cell>
          <cell r="S58">
            <v>61.5</v>
          </cell>
          <cell r="T58">
            <v>792.19</v>
          </cell>
          <cell r="U58">
            <v>784.6</v>
          </cell>
          <cell r="V58">
            <v>787.46</v>
          </cell>
          <cell r="W58">
            <v>7.5900000000000318</v>
          </cell>
          <cell r="X58">
            <v>2.4174000000000002</v>
          </cell>
          <cell r="Y58">
            <v>3.6518000000000002</v>
          </cell>
          <cell r="Z58">
            <v>3.16</v>
          </cell>
          <cell r="AA58">
            <v>-1.2343999999999999</v>
          </cell>
          <cell r="AB58">
            <v>195.86</v>
          </cell>
          <cell r="AC58">
            <v>189.9</v>
          </cell>
          <cell r="AD58">
            <v>193.43</v>
          </cell>
          <cell r="AE58">
            <v>5.960000000000008</v>
          </cell>
          <cell r="AF58">
            <v>0</v>
          </cell>
          <cell r="AG58">
            <v>784.6</v>
          </cell>
          <cell r="AH58">
            <v>3.6518000000000002</v>
          </cell>
          <cell r="AI58">
            <v>0</v>
          </cell>
          <cell r="AJ58">
            <v>0</v>
          </cell>
          <cell r="AK58">
            <v>784.6</v>
          </cell>
          <cell r="AL58">
            <v>3.6518000000000002</v>
          </cell>
          <cell r="AM58">
            <v>979.14</v>
          </cell>
        </row>
        <row r="59">
          <cell r="E59" t="str">
            <v>사회학과</v>
          </cell>
          <cell r="F59">
            <v>103</v>
          </cell>
          <cell r="G59">
            <v>9</v>
          </cell>
          <cell r="H59">
            <v>8.1666666666666661</v>
          </cell>
          <cell r="I59">
            <v>0</v>
          </cell>
          <cell r="J59">
            <v>0</v>
          </cell>
          <cell r="K59">
            <v>0</v>
          </cell>
          <cell r="L59">
            <v>3.89</v>
          </cell>
          <cell r="M59">
            <v>4.4400000000000004</v>
          </cell>
          <cell r="N59">
            <v>4.5599999999999996</v>
          </cell>
          <cell r="O59">
            <v>3.56</v>
          </cell>
          <cell r="P59">
            <v>113.11</v>
          </cell>
          <cell r="Q59">
            <v>102.89</v>
          </cell>
          <cell r="R59">
            <v>104</v>
          </cell>
          <cell r="S59">
            <v>57.11</v>
          </cell>
          <cell r="T59">
            <v>791.93</v>
          </cell>
          <cell r="U59">
            <v>780.76</v>
          </cell>
          <cell r="V59">
            <v>784.43</v>
          </cell>
          <cell r="W59">
            <v>11.169999999999959</v>
          </cell>
          <cell r="X59">
            <v>2.7170000000000001</v>
          </cell>
          <cell r="Y59">
            <v>4.0332999999999997</v>
          </cell>
          <cell r="Z59">
            <v>3.58</v>
          </cell>
          <cell r="AA59">
            <v>-1.3162999999999996</v>
          </cell>
          <cell r="AB59">
            <v>195.91</v>
          </cell>
          <cell r="AC59">
            <v>191.13</v>
          </cell>
          <cell r="AD59">
            <v>193.32</v>
          </cell>
          <cell r="AE59">
            <v>4.7800000000000011</v>
          </cell>
          <cell r="AF59">
            <v>0</v>
          </cell>
          <cell r="AG59">
            <v>782.39</v>
          </cell>
          <cell r="AH59">
            <v>3.8475999999999999</v>
          </cell>
          <cell r="AI59">
            <v>0</v>
          </cell>
          <cell r="AJ59">
            <v>0</v>
          </cell>
          <cell r="AK59">
            <v>780.76</v>
          </cell>
          <cell r="AL59">
            <v>4</v>
          </cell>
          <cell r="AM59">
            <v>974.31</v>
          </cell>
        </row>
        <row r="60">
          <cell r="E60" t="str">
            <v>정치외교학과</v>
          </cell>
          <cell r="F60">
            <v>104</v>
          </cell>
          <cell r="G60">
            <v>14</v>
          </cell>
          <cell r="H60">
            <v>8.4375</v>
          </cell>
          <cell r="I60">
            <v>0</v>
          </cell>
          <cell r="J60">
            <v>0</v>
          </cell>
          <cell r="K60">
            <v>0</v>
          </cell>
          <cell r="L60">
            <v>4.07</v>
          </cell>
          <cell r="M60">
            <v>4.57</v>
          </cell>
          <cell r="N60">
            <v>4.1399999999999997</v>
          </cell>
          <cell r="O60">
            <v>3.04</v>
          </cell>
          <cell r="P60">
            <v>110.43</v>
          </cell>
          <cell r="Q60">
            <v>103.07</v>
          </cell>
          <cell r="R60">
            <v>108.5</v>
          </cell>
          <cell r="S60">
            <v>59.14</v>
          </cell>
          <cell r="T60">
            <v>796.45</v>
          </cell>
          <cell r="U60">
            <v>781.9</v>
          </cell>
          <cell r="V60">
            <v>788.29</v>
          </cell>
          <cell r="W60">
            <v>14.550000000000068</v>
          </cell>
          <cell r="X60">
            <v>1.9074</v>
          </cell>
          <cell r="Y60">
            <v>3.8279000000000001</v>
          </cell>
          <cell r="Z60">
            <v>3.11</v>
          </cell>
          <cell r="AA60">
            <v>-1.9205000000000001</v>
          </cell>
          <cell r="AB60">
            <v>196.6</v>
          </cell>
          <cell r="AC60">
            <v>189.63</v>
          </cell>
          <cell r="AD60">
            <v>192.76</v>
          </cell>
          <cell r="AE60">
            <v>6.9699999999999989</v>
          </cell>
          <cell r="AF60">
            <v>0</v>
          </cell>
          <cell r="AG60">
            <v>786.33</v>
          </cell>
          <cell r="AH60">
            <v>3.3932000000000002</v>
          </cell>
          <cell r="AI60">
            <v>0</v>
          </cell>
          <cell r="AJ60">
            <v>0</v>
          </cell>
          <cell r="AK60">
            <v>784.45</v>
          </cell>
          <cell r="AL60">
            <v>3.5861999999999998</v>
          </cell>
          <cell r="AM60">
            <v>978.21</v>
          </cell>
        </row>
        <row r="61">
          <cell r="E61" t="str">
            <v>사회복지학과</v>
          </cell>
          <cell r="F61">
            <v>105</v>
          </cell>
          <cell r="G61">
            <v>6</v>
          </cell>
          <cell r="H61">
            <v>7.2857142857142856</v>
          </cell>
          <cell r="I61">
            <v>0</v>
          </cell>
          <cell r="J61">
            <v>0</v>
          </cell>
          <cell r="K61">
            <v>0</v>
          </cell>
          <cell r="L61">
            <v>3.17</v>
          </cell>
          <cell r="M61">
            <v>3.5</v>
          </cell>
          <cell r="N61">
            <v>3.33</v>
          </cell>
          <cell r="O61">
            <v>2.33</v>
          </cell>
          <cell r="P61">
            <v>117.67</v>
          </cell>
          <cell r="Q61">
            <v>114.83</v>
          </cell>
          <cell r="R61">
            <v>118</v>
          </cell>
          <cell r="S61">
            <v>62.92</v>
          </cell>
          <cell r="T61">
            <v>789.8</v>
          </cell>
          <cell r="U61">
            <v>777.66</v>
          </cell>
          <cell r="V61">
            <v>783.02</v>
          </cell>
          <cell r="W61">
            <v>12.139999999999986</v>
          </cell>
          <cell r="X61">
            <v>2.7982</v>
          </cell>
          <cell r="Y61">
            <v>4.3392999999999997</v>
          </cell>
          <cell r="Z61">
            <v>3.74</v>
          </cell>
          <cell r="AA61">
            <v>-1.5410999999999997</v>
          </cell>
          <cell r="AB61">
            <v>194.6</v>
          </cell>
          <cell r="AC61">
            <v>184.72</v>
          </cell>
          <cell r="AD61">
            <v>190.41</v>
          </cell>
          <cell r="AE61">
            <v>9.8799999999999955</v>
          </cell>
          <cell r="AF61">
            <v>0</v>
          </cell>
          <cell r="AG61">
            <v>777.66</v>
          </cell>
          <cell r="AH61">
            <v>4.3392999999999997</v>
          </cell>
          <cell r="AI61">
            <v>0</v>
          </cell>
          <cell r="AJ61">
            <v>0</v>
          </cell>
          <cell r="AK61">
            <v>784.35</v>
          </cell>
          <cell r="AL61">
            <v>3.6356000000000002</v>
          </cell>
          <cell r="AM61">
            <v>971.95</v>
          </cell>
        </row>
        <row r="62">
          <cell r="E62" t="str">
            <v>행정학과</v>
          </cell>
          <cell r="F62">
            <v>106</v>
          </cell>
          <cell r="G62">
            <v>10</v>
          </cell>
          <cell r="H62">
            <v>8.8461538461538467</v>
          </cell>
          <cell r="I62">
            <v>0</v>
          </cell>
          <cell r="J62">
            <v>0</v>
          </cell>
          <cell r="K62">
            <v>0</v>
          </cell>
          <cell r="L62">
            <v>3.2</v>
          </cell>
          <cell r="M62">
            <v>3.5</v>
          </cell>
          <cell r="N62">
            <v>3.5</v>
          </cell>
          <cell r="O62">
            <v>2.15</v>
          </cell>
          <cell r="P62">
            <v>118.1</v>
          </cell>
          <cell r="Q62">
            <v>115.3</v>
          </cell>
          <cell r="R62">
            <v>113.9</v>
          </cell>
          <cell r="S62">
            <v>64.349999999999994</v>
          </cell>
          <cell r="T62">
            <v>793.49</v>
          </cell>
          <cell r="U62">
            <v>788.76</v>
          </cell>
          <cell r="V62">
            <v>791.58</v>
          </cell>
          <cell r="W62">
            <v>4.7300000000000182</v>
          </cell>
          <cell r="X62">
            <v>2.4323999999999999</v>
          </cell>
          <cell r="Y62">
            <v>2.9561000000000002</v>
          </cell>
          <cell r="Z62">
            <v>2.65</v>
          </cell>
          <cell r="AA62">
            <v>-0.52370000000000028</v>
          </cell>
          <cell r="AB62">
            <v>193.84</v>
          </cell>
          <cell r="AC62">
            <v>189.81</v>
          </cell>
          <cell r="AD62">
            <v>192.23</v>
          </cell>
          <cell r="AE62">
            <v>4.0300000000000011</v>
          </cell>
          <cell r="AF62">
            <v>0</v>
          </cell>
          <cell r="AG62">
            <v>789.99</v>
          </cell>
          <cell r="AH62">
            <v>2.7738999999999998</v>
          </cell>
          <cell r="AI62">
            <v>0</v>
          </cell>
          <cell r="AJ62">
            <v>0</v>
          </cell>
          <cell r="AK62">
            <v>792.56</v>
          </cell>
          <cell r="AL62">
            <v>2.5225</v>
          </cell>
          <cell r="AM62">
            <v>982.67</v>
          </cell>
        </row>
        <row r="63">
          <cell r="E63" t="str">
            <v>경영학부</v>
          </cell>
          <cell r="F63">
            <v>161</v>
          </cell>
          <cell r="G63">
            <v>44</v>
          </cell>
          <cell r="H63">
            <v>5.5714285714285712</v>
          </cell>
          <cell r="I63">
            <v>0</v>
          </cell>
          <cell r="J63">
            <v>0</v>
          </cell>
          <cell r="K63">
            <v>0</v>
          </cell>
          <cell r="L63">
            <v>3.66</v>
          </cell>
          <cell r="M63">
            <v>3.18</v>
          </cell>
          <cell r="N63">
            <v>3.64</v>
          </cell>
          <cell r="O63">
            <v>2.4300000000000002</v>
          </cell>
          <cell r="P63">
            <v>113.75</v>
          </cell>
          <cell r="Q63">
            <v>119.23</v>
          </cell>
          <cell r="R63">
            <v>114.27</v>
          </cell>
          <cell r="S63">
            <v>62.26</v>
          </cell>
          <cell r="T63">
            <v>793.44</v>
          </cell>
          <cell r="U63">
            <v>778.01</v>
          </cell>
          <cell r="V63">
            <v>784.47</v>
          </cell>
          <cell r="W63">
            <v>15.430000000000064</v>
          </cell>
          <cell r="X63">
            <v>2.4237000000000002</v>
          </cell>
          <cell r="Y63">
            <v>4.3</v>
          </cell>
          <cell r="Z63">
            <v>3.6</v>
          </cell>
          <cell r="AA63">
            <v>-1.8762999999999996</v>
          </cell>
          <cell r="AB63">
            <v>197.99</v>
          </cell>
          <cell r="AC63">
            <v>186.41</v>
          </cell>
          <cell r="AD63">
            <v>192.73</v>
          </cell>
          <cell r="AE63">
            <v>11.580000000000013</v>
          </cell>
          <cell r="AF63">
            <v>0</v>
          </cell>
          <cell r="AG63">
            <v>780.27</v>
          </cell>
          <cell r="AH63">
            <v>3.9912000000000001</v>
          </cell>
          <cell r="AI63">
            <v>0</v>
          </cell>
          <cell r="AJ63">
            <v>0</v>
          </cell>
          <cell r="AK63">
            <v>783.12</v>
          </cell>
          <cell r="AL63">
            <v>3.7642000000000002</v>
          </cell>
          <cell r="AM63">
            <v>974.77</v>
          </cell>
        </row>
        <row r="64">
          <cell r="E64" t="str">
            <v>경제학부</v>
          </cell>
          <cell r="F64">
            <v>162</v>
          </cell>
          <cell r="G64">
            <v>16</v>
          </cell>
          <cell r="H64">
            <v>6.7142857142857144</v>
          </cell>
          <cell r="I64">
            <v>0</v>
          </cell>
          <cell r="J64">
            <v>0</v>
          </cell>
          <cell r="K64">
            <v>0</v>
          </cell>
          <cell r="L64">
            <v>4</v>
          </cell>
          <cell r="M64">
            <v>3.38</v>
          </cell>
          <cell r="N64">
            <v>3.69</v>
          </cell>
          <cell r="O64">
            <v>2.5299999999999998</v>
          </cell>
          <cell r="P64">
            <v>111.81</v>
          </cell>
          <cell r="Q64">
            <v>116.94</v>
          </cell>
          <cell r="R64">
            <v>113.56</v>
          </cell>
          <cell r="S64">
            <v>62.03</v>
          </cell>
          <cell r="T64">
            <v>786.76</v>
          </cell>
          <cell r="U64">
            <v>776.01</v>
          </cell>
          <cell r="V64">
            <v>780.28</v>
          </cell>
          <cell r="W64">
            <v>10.75</v>
          </cell>
          <cell r="X64">
            <v>3.3069999999999999</v>
          </cell>
          <cell r="Y64">
            <v>4.4828000000000001</v>
          </cell>
          <cell r="Z64">
            <v>4.05</v>
          </cell>
          <cell r="AA64">
            <v>-1.1758000000000002</v>
          </cell>
          <cell r="AB64">
            <v>196.04</v>
          </cell>
          <cell r="AC64">
            <v>187.74</v>
          </cell>
          <cell r="AD64">
            <v>192.46</v>
          </cell>
          <cell r="AE64">
            <v>8.2999999999999829</v>
          </cell>
          <cell r="AF64">
            <v>0</v>
          </cell>
          <cell r="AG64">
            <v>779</v>
          </cell>
          <cell r="AH64">
            <v>4.2241</v>
          </cell>
          <cell r="AI64">
            <v>0</v>
          </cell>
          <cell r="AJ64">
            <v>0</v>
          </cell>
          <cell r="AK64">
            <v>780.64</v>
          </cell>
          <cell r="AL64">
            <v>4.0084999999999997</v>
          </cell>
          <cell r="AM64">
            <v>969.61</v>
          </cell>
        </row>
        <row r="65">
          <cell r="E65" t="str">
            <v>무역학과</v>
          </cell>
          <cell r="F65">
            <v>163</v>
          </cell>
          <cell r="G65">
            <v>23</v>
          </cell>
          <cell r="H65">
            <v>6.7272727272727275</v>
          </cell>
          <cell r="I65">
            <v>0</v>
          </cell>
          <cell r="J65">
            <v>0</v>
          </cell>
          <cell r="K65">
            <v>0</v>
          </cell>
          <cell r="L65">
            <v>4.09</v>
          </cell>
          <cell r="M65">
            <v>4.3899999999999997</v>
          </cell>
          <cell r="N65">
            <v>4.57</v>
          </cell>
          <cell r="O65">
            <v>3.11</v>
          </cell>
          <cell r="P65">
            <v>110.3</v>
          </cell>
          <cell r="Q65">
            <v>103.13</v>
          </cell>
          <cell r="R65">
            <v>105.09</v>
          </cell>
          <cell r="S65">
            <v>59.2</v>
          </cell>
          <cell r="T65">
            <v>795.47</v>
          </cell>
          <cell r="U65">
            <v>781.28</v>
          </cell>
          <cell r="V65">
            <v>787.01</v>
          </cell>
          <cell r="W65">
            <v>14.190000000000055</v>
          </cell>
          <cell r="X65">
            <v>2.1019000000000001</v>
          </cell>
          <cell r="Y65">
            <v>4.0084999999999997</v>
          </cell>
          <cell r="Z65">
            <v>3.27</v>
          </cell>
          <cell r="AA65">
            <v>-1.9065999999999996</v>
          </cell>
          <cell r="AB65">
            <v>196.88</v>
          </cell>
          <cell r="AC65">
            <v>187.77</v>
          </cell>
          <cell r="AD65">
            <v>192.61</v>
          </cell>
          <cell r="AE65">
            <v>9.1099999999999852</v>
          </cell>
          <cell r="AF65">
            <v>0</v>
          </cell>
          <cell r="AG65">
            <v>781.45</v>
          </cell>
          <cell r="AH65">
            <v>3.9211</v>
          </cell>
          <cell r="AI65">
            <v>0</v>
          </cell>
          <cell r="AJ65">
            <v>0</v>
          </cell>
          <cell r="AK65">
            <v>784.46</v>
          </cell>
          <cell r="AL65">
            <v>3.5893000000000002</v>
          </cell>
          <cell r="AM65">
            <v>975.32</v>
          </cell>
        </row>
        <row r="66">
          <cell r="E66" t="str">
            <v>주거환경학과</v>
          </cell>
          <cell r="F66">
            <v>272</v>
          </cell>
          <cell r="G66">
            <v>3</v>
          </cell>
          <cell r="H66">
            <v>9.4</v>
          </cell>
          <cell r="I66">
            <v>0</v>
          </cell>
          <cell r="J66">
            <v>0</v>
          </cell>
          <cell r="K66">
            <v>0</v>
          </cell>
          <cell r="L66">
            <v>5.33</v>
          </cell>
          <cell r="M66">
            <v>6.33</v>
          </cell>
          <cell r="N66">
            <v>6.33</v>
          </cell>
          <cell r="O66">
            <v>4.67</v>
          </cell>
          <cell r="P66">
            <v>97.67</v>
          </cell>
          <cell r="Q66">
            <v>82</v>
          </cell>
          <cell r="R66">
            <v>86.33</v>
          </cell>
          <cell r="S66">
            <v>49.83</v>
          </cell>
          <cell r="T66">
            <v>787.13</v>
          </cell>
          <cell r="U66">
            <v>779.94</v>
          </cell>
          <cell r="V66">
            <v>783.68</v>
          </cell>
          <cell r="W66">
            <v>7.1899999999999409</v>
          </cell>
          <cell r="X66">
            <v>2.9813000000000001</v>
          </cell>
          <cell r="Y66">
            <v>4.0792000000000002</v>
          </cell>
          <cell r="Z66">
            <v>3.56</v>
          </cell>
          <cell r="AA66">
            <v>-1.0979000000000001</v>
          </cell>
          <cell r="AB66">
            <v>197.25</v>
          </cell>
          <cell r="AC66">
            <v>193.37</v>
          </cell>
          <cell r="AD66">
            <v>194.71</v>
          </cell>
          <cell r="AE66">
            <v>3.8799999999999955</v>
          </cell>
          <cell r="AF66">
            <v>0</v>
          </cell>
          <cell r="AG66">
            <v>779.94</v>
          </cell>
          <cell r="AH66">
            <v>4.0792000000000002</v>
          </cell>
          <cell r="AI66">
            <v>0</v>
          </cell>
          <cell r="AJ66">
            <v>0</v>
          </cell>
          <cell r="AK66">
            <v>779.94</v>
          </cell>
          <cell r="AL66">
            <v>4.0792000000000002</v>
          </cell>
          <cell r="AM66">
            <v>977.19</v>
          </cell>
        </row>
        <row r="67">
          <cell r="E67" t="str">
            <v>식품영양학과</v>
          </cell>
          <cell r="F67">
            <v>273</v>
          </cell>
          <cell r="G67">
            <v>6</v>
          </cell>
          <cell r="H67">
            <v>9.7272727272727266</v>
          </cell>
          <cell r="I67">
            <v>0</v>
          </cell>
          <cell r="J67">
            <v>0</v>
          </cell>
          <cell r="K67">
            <v>0</v>
          </cell>
          <cell r="L67">
            <v>4.83</v>
          </cell>
          <cell r="M67">
            <v>5.5</v>
          </cell>
          <cell r="N67">
            <v>5.5</v>
          </cell>
          <cell r="O67">
            <v>4.5</v>
          </cell>
          <cell r="P67">
            <v>102.67</v>
          </cell>
          <cell r="Q67">
            <v>92.67</v>
          </cell>
          <cell r="R67">
            <v>94.5</v>
          </cell>
          <cell r="S67">
            <v>51.92</v>
          </cell>
          <cell r="T67">
            <v>793.82</v>
          </cell>
          <cell r="U67">
            <v>783.45</v>
          </cell>
          <cell r="V67">
            <v>789.23</v>
          </cell>
          <cell r="W67">
            <v>10.370000000000005</v>
          </cell>
          <cell r="X67">
            <v>2.4215</v>
          </cell>
          <cell r="Y67">
            <v>3.7953000000000001</v>
          </cell>
          <cell r="Z67">
            <v>3.02</v>
          </cell>
          <cell r="AA67">
            <v>-1.3738000000000001</v>
          </cell>
          <cell r="AB67">
            <v>196.59</v>
          </cell>
          <cell r="AC67">
            <v>191.88</v>
          </cell>
          <cell r="AD67">
            <v>193.9</v>
          </cell>
          <cell r="AE67">
            <v>4.710000000000008</v>
          </cell>
          <cell r="AF67">
            <v>0</v>
          </cell>
          <cell r="AG67">
            <v>783.45</v>
          </cell>
          <cell r="AH67">
            <v>3.7953000000000001</v>
          </cell>
          <cell r="AI67">
            <v>0</v>
          </cell>
          <cell r="AJ67">
            <v>0</v>
          </cell>
          <cell r="AK67">
            <v>785.05</v>
          </cell>
          <cell r="AL67">
            <v>3.6</v>
          </cell>
          <cell r="AM67">
            <v>980.3</v>
          </cell>
        </row>
        <row r="68">
          <cell r="E68" t="str">
            <v>의류학과</v>
          </cell>
          <cell r="F68">
            <v>274</v>
          </cell>
          <cell r="G68">
            <v>9</v>
          </cell>
          <cell r="H68">
            <v>3.9090909090909092</v>
          </cell>
          <cell r="I68">
            <v>0</v>
          </cell>
          <cell r="J68">
            <v>0</v>
          </cell>
          <cell r="K68">
            <v>0</v>
          </cell>
          <cell r="L68">
            <v>4.22</v>
          </cell>
          <cell r="M68">
            <v>4.78</v>
          </cell>
          <cell r="N68">
            <v>5</v>
          </cell>
          <cell r="O68">
            <v>3.94</v>
          </cell>
          <cell r="P68">
            <v>109.56</v>
          </cell>
          <cell r="Q68">
            <v>102.44</v>
          </cell>
          <cell r="R68">
            <v>100.11</v>
          </cell>
          <cell r="S68">
            <v>55.33</v>
          </cell>
          <cell r="T68">
            <v>786.37</v>
          </cell>
          <cell r="U68">
            <v>763.05</v>
          </cell>
          <cell r="V68">
            <v>773.56</v>
          </cell>
          <cell r="W68">
            <v>23.32000000000005</v>
          </cell>
          <cell r="X68">
            <v>3.45</v>
          </cell>
          <cell r="Y68">
            <v>5.75</v>
          </cell>
          <cell r="Z68">
            <v>4.7</v>
          </cell>
          <cell r="AA68">
            <v>-2.2999999999999998</v>
          </cell>
          <cell r="AB68">
            <v>197.01</v>
          </cell>
          <cell r="AC68">
            <v>191.2</v>
          </cell>
          <cell r="AD68">
            <v>193.86</v>
          </cell>
          <cell r="AE68">
            <v>5.8100000000000023</v>
          </cell>
          <cell r="AF68">
            <v>0</v>
          </cell>
          <cell r="AG68">
            <v>764.15</v>
          </cell>
          <cell r="AH68">
            <v>5.5858999999999996</v>
          </cell>
          <cell r="AI68">
            <v>0</v>
          </cell>
          <cell r="AJ68">
            <v>0</v>
          </cell>
          <cell r="AK68">
            <v>763.05</v>
          </cell>
          <cell r="AL68">
            <v>5.75</v>
          </cell>
          <cell r="AM68">
            <v>960.06</v>
          </cell>
        </row>
        <row r="69">
          <cell r="E69" t="str">
            <v>아동학과</v>
          </cell>
          <cell r="F69">
            <v>275</v>
          </cell>
          <cell r="G69">
            <v>4</v>
          </cell>
          <cell r="H69">
            <v>10.428571428571429</v>
          </cell>
          <cell r="I69">
            <v>0</v>
          </cell>
          <cell r="J69">
            <v>0</v>
          </cell>
          <cell r="K69">
            <v>0</v>
          </cell>
          <cell r="L69">
            <v>5</v>
          </cell>
          <cell r="M69">
            <v>5</v>
          </cell>
          <cell r="N69">
            <v>5</v>
          </cell>
          <cell r="O69">
            <v>3.88</v>
          </cell>
          <cell r="P69">
            <v>100.75</v>
          </cell>
          <cell r="Q69">
            <v>98.5</v>
          </cell>
          <cell r="R69">
            <v>104.5</v>
          </cell>
          <cell r="S69">
            <v>54.88</v>
          </cell>
          <cell r="T69">
            <v>791.62</v>
          </cell>
          <cell r="U69">
            <v>784.72</v>
          </cell>
          <cell r="V69">
            <v>787.51</v>
          </cell>
          <cell r="W69">
            <v>6.8999999999999773</v>
          </cell>
          <cell r="X69">
            <v>2.6537999999999999</v>
          </cell>
          <cell r="Y69">
            <v>3.6132</v>
          </cell>
          <cell r="Z69">
            <v>3.21</v>
          </cell>
          <cell r="AA69">
            <v>-0.95940000000000003</v>
          </cell>
          <cell r="AB69">
            <v>195.35</v>
          </cell>
          <cell r="AC69">
            <v>191.56</v>
          </cell>
          <cell r="AD69">
            <v>192.96</v>
          </cell>
          <cell r="AE69">
            <v>3.789999999999992</v>
          </cell>
          <cell r="AF69">
            <v>0</v>
          </cell>
          <cell r="AG69">
            <v>784.72</v>
          </cell>
          <cell r="AH69">
            <v>3.6132</v>
          </cell>
          <cell r="AI69">
            <v>0</v>
          </cell>
          <cell r="AJ69">
            <v>0</v>
          </cell>
          <cell r="AK69">
            <v>784.72</v>
          </cell>
          <cell r="AL69">
            <v>3.6132</v>
          </cell>
          <cell r="AM69">
            <v>977.42</v>
          </cell>
        </row>
        <row r="70">
          <cell r="E70" t="str">
            <v>산업디자인과(디지털생활기기디자인)</v>
          </cell>
          <cell r="F70">
            <v>331</v>
          </cell>
          <cell r="G70">
            <v>6</v>
          </cell>
          <cell r="H70">
            <v>6.8571428571428568</v>
          </cell>
          <cell r="I70">
            <v>0</v>
          </cell>
          <cell r="J70">
            <v>0</v>
          </cell>
          <cell r="K70">
            <v>0</v>
          </cell>
          <cell r="L70">
            <v>4</v>
          </cell>
          <cell r="M70">
            <v>5</v>
          </cell>
          <cell r="N70">
            <v>5.33</v>
          </cell>
          <cell r="O70">
            <v>4.67</v>
          </cell>
          <cell r="P70">
            <v>111.33</v>
          </cell>
          <cell r="Q70">
            <v>73.67</v>
          </cell>
          <cell r="R70">
            <v>94</v>
          </cell>
          <cell r="S70">
            <v>50.67</v>
          </cell>
          <cell r="T70">
            <v>778.18</v>
          </cell>
          <cell r="U70">
            <v>775.23</v>
          </cell>
          <cell r="V70">
            <v>776.39</v>
          </cell>
          <cell r="W70">
            <v>2.9499999999999318</v>
          </cell>
          <cell r="X70">
            <v>4.2526999999999999</v>
          </cell>
          <cell r="Y70">
            <v>4.5444000000000004</v>
          </cell>
          <cell r="Z70">
            <v>4.42</v>
          </cell>
          <cell r="AA70">
            <v>-0.29170000000000051</v>
          </cell>
          <cell r="AB70">
            <v>195.21</v>
          </cell>
          <cell r="AC70">
            <v>189.43</v>
          </cell>
          <cell r="AD70">
            <v>192.62</v>
          </cell>
          <cell r="AE70">
            <v>5.7800000000000011</v>
          </cell>
          <cell r="AF70">
            <v>0</v>
          </cell>
          <cell r="AG70">
            <v>775.33</v>
          </cell>
          <cell r="AH70">
            <v>4.5444000000000004</v>
          </cell>
          <cell r="AI70">
            <v>0</v>
          </cell>
          <cell r="AJ70">
            <v>0</v>
          </cell>
          <cell r="AK70">
            <v>777.77</v>
          </cell>
          <cell r="AL70">
            <v>4.2526999999999999</v>
          </cell>
          <cell r="AM70">
            <v>967.2</v>
          </cell>
        </row>
        <row r="71">
          <cell r="E71" t="str">
            <v>산업디자인과(디지털커뮤니케이션디자인)</v>
          </cell>
          <cell r="F71">
            <v>332</v>
          </cell>
          <cell r="G71">
            <v>5</v>
          </cell>
          <cell r="H71">
            <v>5.2857142857142856</v>
          </cell>
          <cell r="I71">
            <v>0</v>
          </cell>
          <cell r="J71">
            <v>0</v>
          </cell>
          <cell r="K71">
            <v>0</v>
          </cell>
          <cell r="L71">
            <v>4</v>
          </cell>
          <cell r="M71">
            <v>5.6</v>
          </cell>
          <cell r="N71">
            <v>4.5999999999999996</v>
          </cell>
          <cell r="O71">
            <v>3.9</v>
          </cell>
          <cell r="P71">
            <v>110.4</v>
          </cell>
          <cell r="Q71">
            <v>94.4</v>
          </cell>
          <cell r="R71">
            <v>102.2</v>
          </cell>
          <cell r="S71">
            <v>55.6</v>
          </cell>
          <cell r="T71">
            <v>792.29</v>
          </cell>
          <cell r="U71">
            <v>776.54</v>
          </cell>
          <cell r="V71">
            <v>784.02</v>
          </cell>
          <cell r="W71">
            <v>15.75</v>
          </cell>
          <cell r="X71">
            <v>2.6436999999999999</v>
          </cell>
          <cell r="Y71">
            <v>4.4405000000000001</v>
          </cell>
          <cell r="Z71">
            <v>3.61</v>
          </cell>
          <cell r="AA71">
            <v>-1.7968000000000002</v>
          </cell>
          <cell r="AB71">
            <v>194.54</v>
          </cell>
          <cell r="AC71">
            <v>188.81</v>
          </cell>
          <cell r="AD71">
            <v>191.63</v>
          </cell>
          <cell r="AE71">
            <v>5.7299999999999898</v>
          </cell>
          <cell r="AF71">
            <v>0</v>
          </cell>
          <cell r="AG71">
            <v>776.54</v>
          </cell>
          <cell r="AH71">
            <v>4.4405000000000001</v>
          </cell>
          <cell r="AI71">
            <v>0</v>
          </cell>
          <cell r="AJ71">
            <v>0</v>
          </cell>
          <cell r="AK71">
            <v>784.75</v>
          </cell>
          <cell r="AL71">
            <v>3.5693999999999999</v>
          </cell>
          <cell r="AM71">
            <v>974</v>
          </cell>
        </row>
        <row r="72">
          <cell r="E72" t="str">
            <v>산업디자인과(디지털미디어디자인)</v>
          </cell>
          <cell r="F72">
            <v>333</v>
          </cell>
          <cell r="G72">
            <v>3</v>
          </cell>
          <cell r="H72">
            <v>4.333333333333333</v>
          </cell>
          <cell r="I72">
            <v>0</v>
          </cell>
          <cell r="J72">
            <v>0</v>
          </cell>
          <cell r="K72">
            <v>0</v>
          </cell>
          <cell r="L72">
            <v>3.67</v>
          </cell>
          <cell r="M72">
            <v>4.67</v>
          </cell>
          <cell r="N72">
            <v>5.67</v>
          </cell>
          <cell r="O72">
            <v>4</v>
          </cell>
          <cell r="P72">
            <v>113.67</v>
          </cell>
          <cell r="Q72">
            <v>102.67</v>
          </cell>
          <cell r="R72">
            <v>91.33</v>
          </cell>
          <cell r="S72">
            <v>55</v>
          </cell>
          <cell r="T72">
            <v>792.06</v>
          </cell>
          <cell r="U72">
            <v>766.15</v>
          </cell>
          <cell r="V72">
            <v>779.4</v>
          </cell>
          <cell r="W72">
            <v>25.909999999999968</v>
          </cell>
          <cell r="X72">
            <v>2.6212</v>
          </cell>
          <cell r="Y72">
            <v>5.4512</v>
          </cell>
          <cell r="Z72">
            <v>4.07</v>
          </cell>
          <cell r="AA72">
            <v>-2.83</v>
          </cell>
          <cell r="AB72">
            <v>195.86</v>
          </cell>
          <cell r="AC72">
            <v>190.57</v>
          </cell>
          <cell r="AD72">
            <v>193.22</v>
          </cell>
          <cell r="AE72">
            <v>5.2900000000000205</v>
          </cell>
          <cell r="AF72">
            <v>0</v>
          </cell>
          <cell r="AG72">
            <v>766.15</v>
          </cell>
          <cell r="AH72">
            <v>5.4512</v>
          </cell>
          <cell r="AI72">
            <v>0</v>
          </cell>
          <cell r="AJ72">
            <v>0</v>
          </cell>
          <cell r="AK72">
            <v>766.15</v>
          </cell>
          <cell r="AL72">
            <v>5.4512</v>
          </cell>
          <cell r="AM72">
            <v>962.01</v>
          </cell>
        </row>
        <row r="73">
          <cell r="E73" t="str">
            <v>국어국문학과</v>
          </cell>
          <cell r="F73">
            <v>181</v>
          </cell>
          <cell r="G73">
            <v>13</v>
          </cell>
          <cell r="H73">
            <v>7.8235294117647056</v>
          </cell>
          <cell r="I73">
            <v>0</v>
          </cell>
          <cell r="J73">
            <v>0</v>
          </cell>
          <cell r="K73">
            <v>0</v>
          </cell>
          <cell r="L73">
            <v>2.69</v>
          </cell>
          <cell r="M73">
            <v>4.62</v>
          </cell>
          <cell r="N73">
            <v>3.46</v>
          </cell>
          <cell r="O73">
            <v>2.65</v>
          </cell>
          <cell r="P73">
            <v>122.85</v>
          </cell>
          <cell r="Q73">
            <v>103.92</v>
          </cell>
          <cell r="R73">
            <v>114.38</v>
          </cell>
          <cell r="S73">
            <v>62</v>
          </cell>
          <cell r="T73">
            <v>792.63</v>
          </cell>
          <cell r="U73">
            <v>780.1</v>
          </cell>
          <cell r="V73">
            <v>785.15</v>
          </cell>
          <cell r="W73">
            <v>12.529999999999973</v>
          </cell>
          <cell r="X73">
            <v>2.4575999999999998</v>
          </cell>
          <cell r="Y73">
            <v>4.0430999999999999</v>
          </cell>
          <cell r="Z73">
            <v>3.46</v>
          </cell>
          <cell r="AA73">
            <v>-1.5855000000000001</v>
          </cell>
          <cell r="AB73">
            <v>195.72</v>
          </cell>
          <cell r="AC73">
            <v>187.22</v>
          </cell>
          <cell r="AD73">
            <v>192.08</v>
          </cell>
          <cell r="AE73">
            <v>8.5</v>
          </cell>
          <cell r="AF73">
            <v>0</v>
          </cell>
          <cell r="AG73">
            <v>786.62</v>
          </cell>
          <cell r="AH73">
            <v>3.3418999999999999</v>
          </cell>
          <cell r="AI73">
            <v>0</v>
          </cell>
          <cell r="AJ73">
            <v>0</v>
          </cell>
          <cell r="AK73">
            <v>781.71</v>
          </cell>
          <cell r="AL73">
            <v>3.9304000000000001</v>
          </cell>
          <cell r="AM73">
            <v>975.16</v>
          </cell>
        </row>
        <row r="74">
          <cell r="E74" t="str">
            <v>독어독문학과</v>
          </cell>
          <cell r="F74">
            <v>182</v>
          </cell>
          <cell r="G74">
            <v>18</v>
          </cell>
          <cell r="H74">
            <v>4.1578947368421053</v>
          </cell>
          <cell r="I74">
            <v>0</v>
          </cell>
          <cell r="J74">
            <v>0</v>
          </cell>
          <cell r="K74">
            <v>0</v>
          </cell>
          <cell r="L74">
            <v>3.89</v>
          </cell>
          <cell r="M74">
            <v>4.6100000000000003</v>
          </cell>
          <cell r="N74">
            <v>4.67</v>
          </cell>
          <cell r="O74">
            <v>3.36</v>
          </cell>
          <cell r="P74">
            <v>111.61</v>
          </cell>
          <cell r="Q74">
            <v>100.56</v>
          </cell>
          <cell r="R74">
            <v>102.22</v>
          </cell>
          <cell r="S74">
            <v>58.33</v>
          </cell>
          <cell r="T74">
            <v>787.4</v>
          </cell>
          <cell r="U74">
            <v>764.14</v>
          </cell>
          <cell r="V74">
            <v>772.4</v>
          </cell>
          <cell r="W74">
            <v>23.259999999999991</v>
          </cell>
          <cell r="X74">
            <v>3.25</v>
          </cell>
          <cell r="Y74">
            <v>5.6</v>
          </cell>
          <cell r="Z74">
            <v>4.8</v>
          </cell>
          <cell r="AA74">
            <v>-2.3499999999999996</v>
          </cell>
          <cell r="AB74">
            <v>195.49</v>
          </cell>
          <cell r="AC74">
            <v>185.91</v>
          </cell>
          <cell r="AD74">
            <v>191.47</v>
          </cell>
          <cell r="AE74">
            <v>9.5800000000000125</v>
          </cell>
          <cell r="AF74">
            <v>0</v>
          </cell>
          <cell r="AG74">
            <v>764.14</v>
          </cell>
          <cell r="AH74">
            <v>5.6</v>
          </cell>
          <cell r="AI74">
            <v>0</v>
          </cell>
          <cell r="AJ74">
            <v>0</v>
          </cell>
          <cell r="AK74">
            <v>769.4</v>
          </cell>
          <cell r="AL74">
            <v>5.0861999999999998</v>
          </cell>
          <cell r="AM74">
            <v>960.04</v>
          </cell>
        </row>
        <row r="75">
          <cell r="E75" t="str">
            <v>프랑스학과</v>
          </cell>
          <cell r="F75">
            <v>183</v>
          </cell>
          <cell r="G75">
            <v>13</v>
          </cell>
          <cell r="H75">
            <v>4.5625</v>
          </cell>
          <cell r="I75">
            <v>0</v>
          </cell>
          <cell r="J75">
            <v>0</v>
          </cell>
          <cell r="K75">
            <v>0</v>
          </cell>
          <cell r="L75">
            <v>4.3099999999999996</v>
          </cell>
          <cell r="M75">
            <v>4.6900000000000004</v>
          </cell>
          <cell r="N75">
            <v>4.38</v>
          </cell>
          <cell r="O75">
            <v>3.38</v>
          </cell>
          <cell r="P75">
            <v>109.31</v>
          </cell>
          <cell r="Q75">
            <v>100.08</v>
          </cell>
          <cell r="R75">
            <v>105.85</v>
          </cell>
          <cell r="S75">
            <v>57.23</v>
          </cell>
          <cell r="T75">
            <v>781.88</v>
          </cell>
          <cell r="U75">
            <v>771.92</v>
          </cell>
          <cell r="V75">
            <v>776.29</v>
          </cell>
          <cell r="W75">
            <v>9.9600000000000364</v>
          </cell>
          <cell r="X75">
            <v>3.8395999999999999</v>
          </cell>
          <cell r="Y75">
            <v>4.8772000000000002</v>
          </cell>
          <cell r="Z75">
            <v>4.43</v>
          </cell>
          <cell r="AA75">
            <v>-1.0376000000000003</v>
          </cell>
          <cell r="AB75">
            <v>196.43</v>
          </cell>
          <cell r="AC75">
            <v>187.66</v>
          </cell>
          <cell r="AD75">
            <v>193.08</v>
          </cell>
          <cell r="AE75">
            <v>8.7700000000000102</v>
          </cell>
          <cell r="AF75">
            <v>0</v>
          </cell>
          <cell r="AG75">
            <v>776.77</v>
          </cell>
          <cell r="AH75">
            <v>4.4131999999999998</v>
          </cell>
          <cell r="AI75">
            <v>0</v>
          </cell>
          <cell r="AJ75">
            <v>0</v>
          </cell>
          <cell r="AK75">
            <v>772.01</v>
          </cell>
          <cell r="AL75">
            <v>4.8448000000000002</v>
          </cell>
          <cell r="AM75">
            <v>965.98</v>
          </cell>
        </row>
        <row r="76">
          <cell r="E76" t="str">
            <v>스페인.중남미어문학과</v>
          </cell>
          <cell r="F76">
            <v>184</v>
          </cell>
          <cell r="G76">
            <v>10</v>
          </cell>
          <cell r="H76">
            <v>5.3636363636363633</v>
          </cell>
          <cell r="I76">
            <v>0</v>
          </cell>
          <cell r="J76">
            <v>0</v>
          </cell>
          <cell r="K76">
            <v>0</v>
          </cell>
          <cell r="L76">
            <v>4</v>
          </cell>
          <cell r="M76">
            <v>4.7</v>
          </cell>
          <cell r="N76">
            <v>4.2</v>
          </cell>
          <cell r="O76">
            <v>3</v>
          </cell>
          <cell r="P76">
            <v>111.6</v>
          </cell>
          <cell r="Q76">
            <v>101.8</v>
          </cell>
          <cell r="R76">
            <v>109.6</v>
          </cell>
          <cell r="S76">
            <v>60.15</v>
          </cell>
          <cell r="T76">
            <v>786.21</v>
          </cell>
          <cell r="U76">
            <v>774.04</v>
          </cell>
          <cell r="V76">
            <v>777.85</v>
          </cell>
          <cell r="W76">
            <v>12.170000000000073</v>
          </cell>
          <cell r="X76">
            <v>3.3332999999999999</v>
          </cell>
          <cell r="Y76">
            <v>4.6666999999999996</v>
          </cell>
          <cell r="Z76">
            <v>4.28</v>
          </cell>
          <cell r="AA76">
            <v>-1.3333999999999997</v>
          </cell>
          <cell r="AB76">
            <v>195.56</v>
          </cell>
          <cell r="AC76">
            <v>189.52</v>
          </cell>
          <cell r="AD76">
            <v>192.87</v>
          </cell>
          <cell r="AE76">
            <v>6.039999999999992</v>
          </cell>
          <cell r="AF76">
            <v>0</v>
          </cell>
          <cell r="AG76">
            <v>774.04</v>
          </cell>
          <cell r="AH76">
            <v>4.6666999999999996</v>
          </cell>
          <cell r="AI76">
            <v>0</v>
          </cell>
          <cell r="AJ76">
            <v>0</v>
          </cell>
          <cell r="AK76">
            <v>776.45</v>
          </cell>
          <cell r="AL76">
            <v>4.4565000000000001</v>
          </cell>
          <cell r="AM76">
            <v>968.99</v>
          </cell>
        </row>
        <row r="77">
          <cell r="E77" t="str">
            <v>영어영문학과</v>
          </cell>
          <cell r="F77">
            <v>185</v>
          </cell>
          <cell r="G77">
            <v>20</v>
          </cell>
          <cell r="H77">
            <v>5.8181818181818183</v>
          </cell>
          <cell r="I77">
            <v>0</v>
          </cell>
          <cell r="J77">
            <v>0</v>
          </cell>
          <cell r="K77">
            <v>0</v>
          </cell>
          <cell r="L77">
            <v>3.35</v>
          </cell>
          <cell r="M77">
            <v>3.6</v>
          </cell>
          <cell r="N77">
            <v>3.3</v>
          </cell>
          <cell r="O77">
            <v>2.93</v>
          </cell>
          <cell r="P77">
            <v>116.15</v>
          </cell>
          <cell r="Q77">
            <v>114.1</v>
          </cell>
          <cell r="R77">
            <v>116.55</v>
          </cell>
          <cell r="S77">
            <v>60.65</v>
          </cell>
          <cell r="T77">
            <v>794.33</v>
          </cell>
          <cell r="U77">
            <v>783.86</v>
          </cell>
          <cell r="V77">
            <v>788.39</v>
          </cell>
          <cell r="W77">
            <v>10.470000000000027</v>
          </cell>
          <cell r="X77">
            <v>2.2829999999999999</v>
          </cell>
          <cell r="Y77">
            <v>3.7368000000000001</v>
          </cell>
          <cell r="Z77">
            <v>3.1</v>
          </cell>
          <cell r="AA77">
            <v>-1.4538000000000002</v>
          </cell>
          <cell r="AB77">
            <v>195.59</v>
          </cell>
          <cell r="AC77">
            <v>187.56</v>
          </cell>
          <cell r="AD77">
            <v>192.14</v>
          </cell>
          <cell r="AE77">
            <v>8.0300000000000011</v>
          </cell>
          <cell r="AF77">
            <v>0</v>
          </cell>
          <cell r="AG77">
            <v>783.86</v>
          </cell>
          <cell r="AH77">
            <v>3.7368000000000001</v>
          </cell>
          <cell r="AI77">
            <v>0</v>
          </cell>
          <cell r="AJ77">
            <v>0</v>
          </cell>
          <cell r="AK77">
            <v>785.61</v>
          </cell>
          <cell r="AL77">
            <v>3.4321999999999999</v>
          </cell>
          <cell r="AM77">
            <v>977.98</v>
          </cell>
        </row>
        <row r="78">
          <cell r="E78" t="str">
            <v>일어일문학과</v>
          </cell>
          <cell r="F78">
            <v>186</v>
          </cell>
          <cell r="G78">
            <v>3</v>
          </cell>
          <cell r="H78">
            <v>9.8181818181818183</v>
          </cell>
          <cell r="I78">
            <v>0</v>
          </cell>
          <cell r="J78">
            <v>0</v>
          </cell>
          <cell r="K78">
            <v>0</v>
          </cell>
          <cell r="L78">
            <v>5.33</v>
          </cell>
          <cell r="M78">
            <v>3.67</v>
          </cell>
          <cell r="N78">
            <v>4</v>
          </cell>
          <cell r="O78">
            <v>4.5</v>
          </cell>
          <cell r="P78">
            <v>99</v>
          </cell>
          <cell r="Q78">
            <v>112.33</v>
          </cell>
          <cell r="R78">
            <v>111.33</v>
          </cell>
          <cell r="S78">
            <v>51.33</v>
          </cell>
          <cell r="T78">
            <v>793.52</v>
          </cell>
          <cell r="U78">
            <v>782.97</v>
          </cell>
          <cell r="V78">
            <v>787.57</v>
          </cell>
          <cell r="W78">
            <v>10.549999999999955</v>
          </cell>
          <cell r="X78">
            <v>2.4016000000000002</v>
          </cell>
          <cell r="Y78">
            <v>3.8290999999999999</v>
          </cell>
          <cell r="Z78">
            <v>3.19</v>
          </cell>
          <cell r="AA78">
            <v>-1.4274999999999998</v>
          </cell>
          <cell r="AB78">
            <v>194.64</v>
          </cell>
          <cell r="AC78">
            <v>191.05</v>
          </cell>
          <cell r="AD78">
            <v>193.12</v>
          </cell>
          <cell r="AE78">
            <v>3.589999999999975</v>
          </cell>
          <cell r="AF78">
            <v>0</v>
          </cell>
          <cell r="AG78">
            <v>786.21</v>
          </cell>
          <cell r="AH78">
            <v>3.3246000000000002</v>
          </cell>
          <cell r="AI78">
            <v>0</v>
          </cell>
          <cell r="AJ78">
            <v>0</v>
          </cell>
          <cell r="AK78">
            <v>786.21</v>
          </cell>
          <cell r="AL78">
            <v>3.3246000000000002</v>
          </cell>
          <cell r="AM78">
            <v>977.26</v>
          </cell>
        </row>
        <row r="79">
          <cell r="E79" t="str">
            <v>중어중문학과</v>
          </cell>
          <cell r="F79">
            <v>187</v>
          </cell>
          <cell r="G79">
            <v>11</v>
          </cell>
          <cell r="H79">
            <v>5.2352941176470589</v>
          </cell>
          <cell r="I79">
            <v>0</v>
          </cell>
          <cell r="J79">
            <v>0</v>
          </cell>
          <cell r="K79">
            <v>0</v>
          </cell>
          <cell r="L79">
            <v>4.55</v>
          </cell>
          <cell r="M79">
            <v>4.18</v>
          </cell>
          <cell r="N79">
            <v>4.2699999999999996</v>
          </cell>
          <cell r="O79">
            <v>3.64</v>
          </cell>
          <cell r="P79">
            <v>107.64</v>
          </cell>
          <cell r="Q79">
            <v>105.27</v>
          </cell>
          <cell r="R79">
            <v>108.18</v>
          </cell>
          <cell r="S79">
            <v>56.64</v>
          </cell>
          <cell r="T79">
            <v>795.98</v>
          </cell>
          <cell r="U79">
            <v>780.5</v>
          </cell>
          <cell r="V79">
            <v>786.99</v>
          </cell>
          <cell r="W79">
            <v>15.480000000000018</v>
          </cell>
          <cell r="X79">
            <v>2.0609999999999999</v>
          </cell>
          <cell r="Y79">
            <v>4.069</v>
          </cell>
          <cell r="Z79">
            <v>3.29</v>
          </cell>
          <cell r="AA79">
            <v>-2.008</v>
          </cell>
          <cell r="AB79">
            <v>194.5</v>
          </cell>
          <cell r="AC79">
            <v>189.78</v>
          </cell>
          <cell r="AD79">
            <v>192.72</v>
          </cell>
          <cell r="AE79">
            <v>4.7199999999999989</v>
          </cell>
          <cell r="AF79">
            <v>0</v>
          </cell>
          <cell r="AG79">
            <v>780.5</v>
          </cell>
          <cell r="AH79">
            <v>4.069</v>
          </cell>
          <cell r="AI79">
            <v>0</v>
          </cell>
          <cell r="AJ79">
            <v>0</v>
          </cell>
          <cell r="AK79">
            <v>784.9</v>
          </cell>
          <cell r="AL79">
            <v>3.5505</v>
          </cell>
          <cell r="AM79">
            <v>976.88</v>
          </cell>
        </row>
        <row r="80">
          <cell r="E80" t="str">
            <v>문헌정보학과</v>
          </cell>
          <cell r="F80">
            <v>192</v>
          </cell>
          <cell r="G80">
            <v>7</v>
          </cell>
          <cell r="H80">
            <v>8.1875</v>
          </cell>
          <cell r="I80">
            <v>0</v>
          </cell>
          <cell r="J80">
            <v>0</v>
          </cell>
          <cell r="K80">
            <v>0</v>
          </cell>
          <cell r="L80">
            <v>4.43</v>
          </cell>
          <cell r="M80">
            <v>4.29</v>
          </cell>
          <cell r="N80">
            <v>4.1399999999999997</v>
          </cell>
          <cell r="O80">
            <v>3.29</v>
          </cell>
          <cell r="P80">
            <v>107.29</v>
          </cell>
          <cell r="Q80">
            <v>105</v>
          </cell>
          <cell r="R80">
            <v>108.86</v>
          </cell>
          <cell r="S80">
            <v>58</v>
          </cell>
          <cell r="T80">
            <v>799.21</v>
          </cell>
          <cell r="U80">
            <v>786.73</v>
          </cell>
          <cell r="V80">
            <v>790.48</v>
          </cell>
          <cell r="W80">
            <v>12.480000000000018</v>
          </cell>
          <cell r="X80">
            <v>1.1841999999999999</v>
          </cell>
          <cell r="Y80">
            <v>3.3277000000000001</v>
          </cell>
          <cell r="Z80">
            <v>2.81</v>
          </cell>
          <cell r="AA80">
            <v>-2.1435000000000004</v>
          </cell>
          <cell r="AB80">
            <v>195.39</v>
          </cell>
          <cell r="AC80">
            <v>190.28</v>
          </cell>
          <cell r="AD80">
            <v>194.01</v>
          </cell>
          <cell r="AE80">
            <v>5.1099999999999852</v>
          </cell>
          <cell r="AF80">
            <v>0</v>
          </cell>
          <cell r="AG80">
            <v>786.73</v>
          </cell>
          <cell r="AH80">
            <v>3.2523</v>
          </cell>
          <cell r="AI80">
            <v>0</v>
          </cell>
          <cell r="AJ80">
            <v>0</v>
          </cell>
          <cell r="AK80">
            <v>788.36</v>
          </cell>
          <cell r="AL80">
            <v>3.2202999999999999</v>
          </cell>
          <cell r="AM80">
            <v>981.38</v>
          </cell>
        </row>
        <row r="81">
          <cell r="E81" t="str">
            <v>고고문화인류학과</v>
          </cell>
          <cell r="F81">
            <v>193</v>
          </cell>
          <cell r="G81">
            <v>11</v>
          </cell>
          <cell r="H81">
            <v>4.4615384615384617</v>
          </cell>
          <cell r="I81">
            <v>0</v>
          </cell>
          <cell r="J81">
            <v>0</v>
          </cell>
          <cell r="K81">
            <v>0</v>
          </cell>
          <cell r="L81">
            <v>4.09</v>
          </cell>
          <cell r="M81">
            <v>4.82</v>
          </cell>
          <cell r="N81">
            <v>4.6399999999999997</v>
          </cell>
          <cell r="O81">
            <v>3.36</v>
          </cell>
          <cell r="P81">
            <v>111.09</v>
          </cell>
          <cell r="Q81">
            <v>99.73</v>
          </cell>
          <cell r="R81">
            <v>104.55</v>
          </cell>
          <cell r="S81">
            <v>58</v>
          </cell>
          <cell r="T81">
            <v>787.72</v>
          </cell>
          <cell r="U81">
            <v>772.32</v>
          </cell>
          <cell r="V81">
            <v>778.9</v>
          </cell>
          <cell r="W81">
            <v>15.399999999999977</v>
          </cell>
          <cell r="X81">
            <v>3.1415999999999999</v>
          </cell>
          <cell r="Y81">
            <v>4.8509000000000002</v>
          </cell>
          <cell r="Z81">
            <v>4.17</v>
          </cell>
          <cell r="AA81">
            <v>-1.7093000000000003</v>
          </cell>
          <cell r="AB81">
            <v>195.24</v>
          </cell>
          <cell r="AC81">
            <v>189.51</v>
          </cell>
          <cell r="AD81">
            <v>192.74</v>
          </cell>
          <cell r="AE81">
            <v>5.7300000000000182</v>
          </cell>
          <cell r="AF81">
            <v>0</v>
          </cell>
          <cell r="AG81">
            <v>772.32</v>
          </cell>
          <cell r="AH81">
            <v>4.8509000000000002</v>
          </cell>
          <cell r="AI81">
            <v>0</v>
          </cell>
          <cell r="AJ81">
            <v>0</v>
          </cell>
          <cell r="AK81">
            <v>775.49</v>
          </cell>
          <cell r="AL81">
            <v>4.5636000000000001</v>
          </cell>
          <cell r="AM81">
            <v>967.33</v>
          </cell>
        </row>
        <row r="82">
          <cell r="E82" t="str">
            <v>사학과</v>
          </cell>
          <cell r="F82">
            <v>194</v>
          </cell>
          <cell r="G82">
            <v>14</v>
          </cell>
          <cell r="H82">
            <v>5</v>
          </cell>
          <cell r="I82">
            <v>0</v>
          </cell>
          <cell r="J82">
            <v>0</v>
          </cell>
          <cell r="K82">
            <v>0</v>
          </cell>
          <cell r="L82">
            <v>4.21</v>
          </cell>
          <cell r="M82">
            <v>4.5</v>
          </cell>
          <cell r="N82">
            <v>4.71</v>
          </cell>
          <cell r="O82">
            <v>3.14</v>
          </cell>
          <cell r="P82">
            <v>109</v>
          </cell>
          <cell r="Q82">
            <v>103.93</v>
          </cell>
          <cell r="R82">
            <v>104</v>
          </cell>
          <cell r="S82">
            <v>59.64</v>
          </cell>
          <cell r="T82">
            <v>787.93</v>
          </cell>
          <cell r="U82">
            <v>778.36</v>
          </cell>
          <cell r="V82">
            <v>782.81</v>
          </cell>
          <cell r="W82">
            <v>9.5699999999999363</v>
          </cell>
          <cell r="X82">
            <v>3.1351</v>
          </cell>
          <cell r="Y82">
            <v>4.2373000000000003</v>
          </cell>
          <cell r="Z82">
            <v>3.76</v>
          </cell>
          <cell r="AA82">
            <v>-1.1022000000000003</v>
          </cell>
          <cell r="AB82">
            <v>197.45</v>
          </cell>
          <cell r="AC82">
            <v>190.45</v>
          </cell>
          <cell r="AD82">
            <v>193.38</v>
          </cell>
          <cell r="AE82">
            <v>7</v>
          </cell>
          <cell r="AF82">
            <v>0</v>
          </cell>
          <cell r="AG82">
            <v>778.36</v>
          </cell>
          <cell r="AH82">
            <v>4.2373000000000003</v>
          </cell>
          <cell r="AI82">
            <v>0</v>
          </cell>
          <cell r="AJ82">
            <v>0</v>
          </cell>
          <cell r="AK82">
            <v>780.06</v>
          </cell>
          <cell r="AL82">
            <v>4.0602999999999998</v>
          </cell>
          <cell r="AM82">
            <v>972.75</v>
          </cell>
        </row>
        <row r="83">
          <cell r="E83" t="str">
            <v>철학과</v>
          </cell>
          <cell r="F83">
            <v>195</v>
          </cell>
          <cell r="G83">
            <v>14</v>
          </cell>
          <cell r="H83">
            <v>4.2941176470588234</v>
          </cell>
          <cell r="I83">
            <v>0</v>
          </cell>
          <cell r="J83">
            <v>0</v>
          </cell>
          <cell r="K83">
            <v>0</v>
          </cell>
          <cell r="L83">
            <v>4.07</v>
          </cell>
          <cell r="M83">
            <v>5.86</v>
          </cell>
          <cell r="N83">
            <v>5.07</v>
          </cell>
          <cell r="O83">
            <v>3.29</v>
          </cell>
          <cell r="P83">
            <v>111.14</v>
          </cell>
          <cell r="Q83">
            <v>90.14</v>
          </cell>
          <cell r="R83">
            <v>100</v>
          </cell>
          <cell r="S83">
            <v>58.79</v>
          </cell>
          <cell r="T83">
            <v>789.71</v>
          </cell>
          <cell r="U83">
            <v>773.96</v>
          </cell>
          <cell r="V83">
            <v>780.32</v>
          </cell>
          <cell r="W83">
            <v>15.75</v>
          </cell>
          <cell r="X83">
            <v>2.7433999999999998</v>
          </cell>
          <cell r="Y83">
            <v>4.6963999999999997</v>
          </cell>
          <cell r="Z83">
            <v>3.98</v>
          </cell>
          <cell r="AA83">
            <v>-1.9529999999999998</v>
          </cell>
          <cell r="AB83">
            <v>197.77</v>
          </cell>
          <cell r="AC83">
            <v>189.5</v>
          </cell>
          <cell r="AD83">
            <v>192.13</v>
          </cell>
          <cell r="AE83">
            <v>8.2700000000000102</v>
          </cell>
          <cell r="AF83">
            <v>0</v>
          </cell>
          <cell r="AG83">
            <v>773.96</v>
          </cell>
          <cell r="AH83">
            <v>4.6963999999999997</v>
          </cell>
          <cell r="AI83">
            <v>0</v>
          </cell>
          <cell r="AJ83">
            <v>0</v>
          </cell>
          <cell r="AK83">
            <v>776.96</v>
          </cell>
          <cell r="AL83">
            <v>4.375</v>
          </cell>
          <cell r="AM83">
            <v>968.24</v>
          </cell>
        </row>
        <row r="84">
          <cell r="E84" t="str">
            <v>생물과학부</v>
          </cell>
          <cell r="F84">
            <v>294</v>
          </cell>
          <cell r="G84">
            <v>24</v>
          </cell>
          <cell r="H84">
            <v>3.2647058823529411</v>
          </cell>
          <cell r="I84">
            <v>0</v>
          </cell>
          <cell r="J84">
            <v>0</v>
          </cell>
          <cell r="K84">
            <v>0</v>
          </cell>
          <cell r="L84">
            <v>2.75</v>
          </cell>
          <cell r="M84">
            <v>5.29</v>
          </cell>
          <cell r="N84">
            <v>3.63</v>
          </cell>
          <cell r="O84">
            <v>2.83</v>
          </cell>
          <cell r="P84">
            <v>120.67</v>
          </cell>
          <cell r="Q84">
            <v>95.21</v>
          </cell>
          <cell r="R84">
            <v>114.17</v>
          </cell>
          <cell r="S84">
            <v>60.35</v>
          </cell>
          <cell r="T84">
            <v>793.79</v>
          </cell>
          <cell r="U84">
            <v>769.42</v>
          </cell>
          <cell r="V84">
            <v>782.23</v>
          </cell>
          <cell r="W84">
            <v>24.370000000000005</v>
          </cell>
          <cell r="X84">
            <v>2.4462999999999999</v>
          </cell>
          <cell r="Y84">
            <v>5.1322000000000001</v>
          </cell>
          <cell r="Z84">
            <v>3.8</v>
          </cell>
          <cell r="AA84">
            <v>-2.6859000000000002</v>
          </cell>
          <cell r="AB84">
            <v>196.52</v>
          </cell>
          <cell r="AC84">
            <v>186.58</v>
          </cell>
          <cell r="AD84">
            <v>191.46</v>
          </cell>
          <cell r="AE84">
            <v>9.9399999999999977</v>
          </cell>
          <cell r="AF84">
            <v>0</v>
          </cell>
          <cell r="AG84">
            <v>770.14</v>
          </cell>
          <cell r="AH84">
            <v>5.056</v>
          </cell>
          <cell r="AI84">
            <v>0</v>
          </cell>
          <cell r="AJ84">
            <v>0</v>
          </cell>
          <cell r="AK84">
            <v>774.37</v>
          </cell>
          <cell r="AL84">
            <v>4.6562999999999999</v>
          </cell>
          <cell r="AM84">
            <v>967.25</v>
          </cell>
        </row>
        <row r="85">
          <cell r="E85" t="str">
            <v>과학학과</v>
          </cell>
          <cell r="F85">
            <v>296</v>
          </cell>
          <cell r="G85">
            <v>6</v>
          </cell>
          <cell r="H85">
            <v>3.4444444444444446</v>
          </cell>
          <cell r="I85">
            <v>0</v>
          </cell>
          <cell r="J85">
            <v>0</v>
          </cell>
          <cell r="K85">
            <v>0</v>
          </cell>
          <cell r="L85">
            <v>5.5</v>
          </cell>
          <cell r="M85">
            <v>3.33</v>
          </cell>
          <cell r="N85">
            <v>6</v>
          </cell>
          <cell r="O85">
            <v>4.08</v>
          </cell>
          <cell r="P85">
            <v>94.17</v>
          </cell>
          <cell r="Q85">
            <v>118</v>
          </cell>
          <cell r="R85">
            <v>89.67</v>
          </cell>
          <cell r="S85">
            <v>54.92</v>
          </cell>
          <cell r="T85">
            <v>779.64</v>
          </cell>
          <cell r="U85">
            <v>759.87</v>
          </cell>
          <cell r="V85">
            <v>769.33</v>
          </cell>
          <cell r="W85">
            <v>19.769999999999982</v>
          </cell>
          <cell r="X85">
            <v>4.0887000000000002</v>
          </cell>
          <cell r="Y85">
            <v>6.1066000000000003</v>
          </cell>
          <cell r="Z85">
            <v>5.13</v>
          </cell>
          <cell r="AA85">
            <v>-2.0179</v>
          </cell>
          <cell r="AB85">
            <v>194.64</v>
          </cell>
          <cell r="AC85">
            <v>186.24</v>
          </cell>
          <cell r="AD85">
            <v>191.08</v>
          </cell>
          <cell r="AE85">
            <v>8.3999999999999773</v>
          </cell>
          <cell r="AF85">
            <v>0</v>
          </cell>
          <cell r="AG85">
            <v>759.87</v>
          </cell>
          <cell r="AH85">
            <v>6.1066000000000003</v>
          </cell>
          <cell r="AI85">
            <v>0</v>
          </cell>
          <cell r="AJ85">
            <v>0</v>
          </cell>
          <cell r="AK85">
            <v>765.22</v>
          </cell>
          <cell r="AL85">
            <v>5.5359999999999996</v>
          </cell>
          <cell r="AM85">
            <v>953.68</v>
          </cell>
        </row>
        <row r="86">
          <cell r="E86" t="str">
            <v>반도체과학기술학과</v>
          </cell>
          <cell r="F86">
            <v>297</v>
          </cell>
          <cell r="G86">
            <v>1</v>
          </cell>
          <cell r="H86">
            <v>2</v>
          </cell>
          <cell r="I86">
            <v>0</v>
          </cell>
          <cell r="J86">
            <v>0</v>
          </cell>
          <cell r="K86">
            <v>0</v>
          </cell>
          <cell r="L86">
            <v>4</v>
          </cell>
          <cell r="M86">
            <v>7</v>
          </cell>
          <cell r="N86">
            <v>5</v>
          </cell>
          <cell r="O86">
            <v>2.5</v>
          </cell>
          <cell r="P86">
            <v>116</v>
          </cell>
          <cell r="Q86">
            <v>78</v>
          </cell>
          <cell r="R86">
            <v>98</v>
          </cell>
          <cell r="S86">
            <v>60.5</v>
          </cell>
          <cell r="T86">
            <v>780.16</v>
          </cell>
          <cell r="U86">
            <v>780.16</v>
          </cell>
          <cell r="V86">
            <v>780.16</v>
          </cell>
          <cell r="W86">
            <v>0</v>
          </cell>
          <cell r="X86">
            <v>4.0991999999999997</v>
          </cell>
          <cell r="Y86">
            <v>4.0991999999999997</v>
          </cell>
          <cell r="Z86">
            <v>4.0999999999999996</v>
          </cell>
          <cell r="AA86">
            <v>0</v>
          </cell>
          <cell r="AB86">
            <v>188.8</v>
          </cell>
          <cell r="AC86">
            <v>188.8</v>
          </cell>
          <cell r="AD86">
            <v>188.8</v>
          </cell>
          <cell r="AE86">
            <v>0</v>
          </cell>
          <cell r="AF86">
            <v>0</v>
          </cell>
          <cell r="AG86">
            <v>780.16</v>
          </cell>
          <cell r="AH86">
            <v>4.0991999999999997</v>
          </cell>
          <cell r="AI86">
            <v>0</v>
          </cell>
          <cell r="AJ86">
            <v>0</v>
          </cell>
          <cell r="AK86">
            <v>780.16</v>
          </cell>
          <cell r="AL86">
            <v>4.0991999999999997</v>
          </cell>
          <cell r="AM86">
            <v>968.96</v>
          </cell>
        </row>
        <row r="87">
          <cell r="E87" t="str">
            <v>수의예과</v>
          </cell>
          <cell r="F87">
            <v>298</v>
          </cell>
          <cell r="G87">
            <v>12</v>
          </cell>
          <cell r="H87">
            <v>6.5</v>
          </cell>
          <cell r="I87">
            <v>0</v>
          </cell>
          <cell r="J87">
            <v>0</v>
          </cell>
          <cell r="K87">
            <v>0</v>
          </cell>
          <cell r="L87">
            <v>1.83</v>
          </cell>
          <cell r="M87">
            <v>4</v>
          </cell>
          <cell r="N87">
            <v>1.92</v>
          </cell>
          <cell r="O87">
            <v>1.71</v>
          </cell>
          <cell r="P87">
            <v>127.5</v>
          </cell>
          <cell r="Q87">
            <v>110.83</v>
          </cell>
          <cell r="R87">
            <v>128.41999999999999</v>
          </cell>
          <cell r="S87">
            <v>65.38</v>
          </cell>
          <cell r="T87">
            <v>798.23</v>
          </cell>
          <cell r="U87">
            <v>795</v>
          </cell>
          <cell r="V87">
            <v>796.33</v>
          </cell>
          <cell r="W87">
            <v>3.2300000000000182</v>
          </cell>
          <cell r="X87">
            <v>1.4435</v>
          </cell>
          <cell r="Y87">
            <v>2.1654</v>
          </cell>
          <cell r="Z87">
            <v>1.85</v>
          </cell>
          <cell r="AA87">
            <v>-0.72189999999999999</v>
          </cell>
          <cell r="AB87">
            <v>194.4</v>
          </cell>
          <cell r="AC87">
            <v>191.22</v>
          </cell>
          <cell r="AD87">
            <v>193.14</v>
          </cell>
          <cell r="AE87">
            <v>3.1800000000000068</v>
          </cell>
          <cell r="AF87">
            <v>0</v>
          </cell>
          <cell r="AG87">
            <v>795.45</v>
          </cell>
          <cell r="AH87">
            <v>1.7857000000000001</v>
          </cell>
          <cell r="AI87">
            <v>0</v>
          </cell>
          <cell r="AJ87">
            <v>0</v>
          </cell>
          <cell r="AK87">
            <v>795.05</v>
          </cell>
          <cell r="AL87">
            <v>2.1120000000000001</v>
          </cell>
          <cell r="AM87">
            <v>988.45</v>
          </cell>
        </row>
        <row r="88">
          <cell r="E88" t="str">
            <v>물리학과</v>
          </cell>
          <cell r="F88">
            <v>381</v>
          </cell>
          <cell r="G88">
            <v>5</v>
          </cell>
          <cell r="H88">
            <v>1.1666666666666667</v>
          </cell>
          <cell r="I88">
            <v>0</v>
          </cell>
          <cell r="J88">
            <v>0</v>
          </cell>
          <cell r="K88">
            <v>0</v>
          </cell>
          <cell r="L88">
            <v>4</v>
          </cell>
          <cell r="M88">
            <v>6.2</v>
          </cell>
          <cell r="N88">
            <v>4.5999999999999996</v>
          </cell>
          <cell r="O88">
            <v>3.7</v>
          </cell>
          <cell r="P88">
            <v>112.2</v>
          </cell>
          <cell r="Q88">
            <v>89.4</v>
          </cell>
          <cell r="R88">
            <v>104.2</v>
          </cell>
          <cell r="S88">
            <v>56.2</v>
          </cell>
          <cell r="T88">
            <v>787.11</v>
          </cell>
          <cell r="U88">
            <v>759.34</v>
          </cell>
          <cell r="V88">
            <v>772.57</v>
          </cell>
          <cell r="W88">
            <v>27.769999999999982</v>
          </cell>
          <cell r="X88">
            <v>3.3730000000000002</v>
          </cell>
          <cell r="Y88">
            <v>5.9206000000000003</v>
          </cell>
          <cell r="Z88">
            <v>4.76</v>
          </cell>
          <cell r="AA88">
            <v>-2.5476000000000001</v>
          </cell>
          <cell r="AB88">
            <v>195.27</v>
          </cell>
          <cell r="AC88">
            <v>184.4</v>
          </cell>
          <cell r="AD88">
            <v>191.16</v>
          </cell>
          <cell r="AE88">
            <v>10.870000000000005</v>
          </cell>
          <cell r="AF88">
            <v>0</v>
          </cell>
          <cell r="AG88">
            <v>759.34</v>
          </cell>
          <cell r="AH88">
            <v>5.9206000000000003</v>
          </cell>
          <cell r="AI88">
            <v>0</v>
          </cell>
          <cell r="AJ88">
            <v>0</v>
          </cell>
          <cell r="AK88">
            <v>764.37</v>
          </cell>
          <cell r="AL88">
            <v>5.5937999999999999</v>
          </cell>
          <cell r="AM88">
            <v>955.76</v>
          </cell>
        </row>
        <row r="89">
          <cell r="E89" t="str">
            <v>지구환경과학과</v>
          </cell>
          <cell r="F89">
            <v>382</v>
          </cell>
          <cell r="G89">
            <v>7</v>
          </cell>
          <cell r="H89">
            <v>3.1</v>
          </cell>
          <cell r="I89">
            <v>0</v>
          </cell>
          <cell r="J89">
            <v>0</v>
          </cell>
          <cell r="K89">
            <v>0</v>
          </cell>
          <cell r="L89">
            <v>3.57</v>
          </cell>
          <cell r="M89">
            <v>5.14</v>
          </cell>
          <cell r="N89">
            <v>4.71</v>
          </cell>
          <cell r="O89">
            <v>2.71</v>
          </cell>
          <cell r="P89">
            <v>114.57</v>
          </cell>
          <cell r="Q89">
            <v>98.29</v>
          </cell>
          <cell r="R89">
            <v>105.14</v>
          </cell>
          <cell r="S89">
            <v>61.71</v>
          </cell>
          <cell r="T89">
            <v>785.86</v>
          </cell>
          <cell r="U89">
            <v>769.65</v>
          </cell>
          <cell r="V89">
            <v>778.21</v>
          </cell>
          <cell r="W89">
            <v>16.210000000000036</v>
          </cell>
          <cell r="X89">
            <v>3.3666999999999998</v>
          </cell>
          <cell r="Y89">
            <v>5.0968</v>
          </cell>
          <cell r="Z89">
            <v>4.2</v>
          </cell>
          <cell r="AA89">
            <v>-1.7301000000000002</v>
          </cell>
          <cell r="AB89">
            <v>195.43</v>
          </cell>
          <cell r="AC89">
            <v>187.89</v>
          </cell>
          <cell r="AD89">
            <v>192.05</v>
          </cell>
          <cell r="AE89">
            <v>7.5400000000000205</v>
          </cell>
          <cell r="AF89">
            <v>0</v>
          </cell>
          <cell r="AG89">
            <v>772.56</v>
          </cell>
          <cell r="AH89">
            <v>4.7832999999999997</v>
          </cell>
          <cell r="AI89">
            <v>0</v>
          </cell>
          <cell r="AJ89">
            <v>0</v>
          </cell>
          <cell r="AK89">
            <v>769.65</v>
          </cell>
          <cell r="AL89">
            <v>5.0968</v>
          </cell>
          <cell r="AM89">
            <v>962.74</v>
          </cell>
        </row>
        <row r="90">
          <cell r="E90" t="str">
            <v>화학과</v>
          </cell>
          <cell r="F90">
            <v>383</v>
          </cell>
          <cell r="G90">
            <v>15</v>
          </cell>
          <cell r="H90">
            <v>3.4</v>
          </cell>
          <cell r="I90">
            <v>0</v>
          </cell>
          <cell r="J90">
            <v>0</v>
          </cell>
          <cell r="K90">
            <v>0</v>
          </cell>
          <cell r="L90">
            <v>4</v>
          </cell>
          <cell r="M90">
            <v>5.6</v>
          </cell>
          <cell r="N90">
            <v>3.93</v>
          </cell>
          <cell r="O90">
            <v>3.53</v>
          </cell>
          <cell r="P90">
            <v>111.8</v>
          </cell>
          <cell r="Q90">
            <v>94.27</v>
          </cell>
          <cell r="R90">
            <v>111.8</v>
          </cell>
          <cell r="S90">
            <v>57.93</v>
          </cell>
          <cell r="T90">
            <v>790.92</v>
          </cell>
          <cell r="U90">
            <v>781.32</v>
          </cell>
          <cell r="V90">
            <v>785.09</v>
          </cell>
          <cell r="W90">
            <v>9.5999999999999091</v>
          </cell>
          <cell r="X90">
            <v>2.8544999999999998</v>
          </cell>
          <cell r="Y90">
            <v>3.9685000000000001</v>
          </cell>
          <cell r="Z90">
            <v>3.53</v>
          </cell>
          <cell r="AA90">
            <v>-1.1140000000000003</v>
          </cell>
          <cell r="AB90">
            <v>194.54</v>
          </cell>
          <cell r="AC90">
            <v>187.46</v>
          </cell>
          <cell r="AD90">
            <v>191.42</v>
          </cell>
          <cell r="AE90">
            <v>7.0799999999999841</v>
          </cell>
          <cell r="AF90">
            <v>0</v>
          </cell>
          <cell r="AG90">
            <v>782.11</v>
          </cell>
          <cell r="AH90">
            <v>3.8740000000000001</v>
          </cell>
          <cell r="AI90">
            <v>0</v>
          </cell>
          <cell r="AJ90">
            <v>0</v>
          </cell>
          <cell r="AK90">
            <v>782.37</v>
          </cell>
          <cell r="AL90">
            <v>3.7806999999999999</v>
          </cell>
          <cell r="AM90">
            <v>974.36</v>
          </cell>
        </row>
        <row r="91">
          <cell r="E91" t="str">
            <v>수학과</v>
          </cell>
          <cell r="F91">
            <v>384</v>
          </cell>
          <cell r="G91">
            <v>7</v>
          </cell>
          <cell r="H91">
            <v>6.7</v>
          </cell>
          <cell r="I91">
            <v>0</v>
          </cell>
          <cell r="J91">
            <v>0</v>
          </cell>
          <cell r="K91">
            <v>0</v>
          </cell>
          <cell r="L91">
            <v>3.86</v>
          </cell>
          <cell r="M91">
            <v>4.1399999999999997</v>
          </cell>
          <cell r="N91">
            <v>4</v>
          </cell>
          <cell r="O91">
            <v>3.14</v>
          </cell>
          <cell r="P91">
            <v>114.14</v>
          </cell>
          <cell r="Q91">
            <v>107</v>
          </cell>
          <cell r="R91">
            <v>111</v>
          </cell>
          <cell r="S91">
            <v>58.79</v>
          </cell>
          <cell r="T91">
            <v>789.66</v>
          </cell>
          <cell r="U91">
            <v>782.04</v>
          </cell>
          <cell r="V91">
            <v>786.35</v>
          </cell>
          <cell r="W91">
            <v>7.6200000000000045</v>
          </cell>
          <cell r="X91">
            <v>2.8559999999999999</v>
          </cell>
          <cell r="Y91">
            <v>3.7967</v>
          </cell>
          <cell r="Z91">
            <v>3.36</v>
          </cell>
          <cell r="AA91">
            <v>-0.94070000000000009</v>
          </cell>
          <cell r="AB91">
            <v>194.18</v>
          </cell>
          <cell r="AC91">
            <v>187.92</v>
          </cell>
          <cell r="AD91">
            <v>191.65</v>
          </cell>
          <cell r="AE91">
            <v>6.2600000000000193</v>
          </cell>
          <cell r="AF91">
            <v>0</v>
          </cell>
          <cell r="AG91">
            <v>783.24</v>
          </cell>
          <cell r="AH91">
            <v>3.7823000000000002</v>
          </cell>
          <cell r="AI91">
            <v>0</v>
          </cell>
          <cell r="AJ91">
            <v>0</v>
          </cell>
          <cell r="AK91">
            <v>782.04</v>
          </cell>
          <cell r="AL91">
            <v>3.7967</v>
          </cell>
          <cell r="AM91">
            <v>976.22</v>
          </cell>
        </row>
        <row r="92">
          <cell r="E92" t="str">
            <v>통계정보과학과</v>
          </cell>
          <cell r="F92">
            <v>385</v>
          </cell>
          <cell r="G92">
            <v>6</v>
          </cell>
          <cell r="H92">
            <v>3.7777777777777777</v>
          </cell>
          <cell r="I92">
            <v>0</v>
          </cell>
          <cell r="J92">
            <v>0</v>
          </cell>
          <cell r="K92">
            <v>0</v>
          </cell>
          <cell r="L92">
            <v>4.83</v>
          </cell>
          <cell r="M92">
            <v>4.5</v>
          </cell>
          <cell r="N92">
            <v>4.33</v>
          </cell>
          <cell r="O92">
            <v>3.17</v>
          </cell>
          <cell r="P92">
            <v>104</v>
          </cell>
          <cell r="Q92">
            <v>103.17</v>
          </cell>
          <cell r="R92">
            <v>107.67</v>
          </cell>
          <cell r="S92">
            <v>58.25</v>
          </cell>
          <cell r="T92">
            <v>786.27</v>
          </cell>
          <cell r="U92">
            <v>774.08</v>
          </cell>
          <cell r="V92">
            <v>780.63</v>
          </cell>
          <cell r="W92">
            <v>12.189999999999941</v>
          </cell>
          <cell r="X92">
            <v>3.4274</v>
          </cell>
          <cell r="Y92">
            <v>4.6829000000000001</v>
          </cell>
          <cell r="Z92">
            <v>3.99</v>
          </cell>
          <cell r="AA92">
            <v>-1.2555000000000001</v>
          </cell>
          <cell r="AB92">
            <v>194.64</v>
          </cell>
          <cell r="AC92">
            <v>192.05</v>
          </cell>
          <cell r="AD92">
            <v>193.11</v>
          </cell>
          <cell r="AE92">
            <v>2.589999999999975</v>
          </cell>
          <cell r="AF92">
            <v>0</v>
          </cell>
          <cell r="AG92">
            <v>774.08</v>
          </cell>
          <cell r="AH92">
            <v>4.6829000000000001</v>
          </cell>
          <cell r="AI92">
            <v>0</v>
          </cell>
          <cell r="AJ92">
            <v>0</v>
          </cell>
          <cell r="AK92">
            <v>776.8</v>
          </cell>
          <cell r="AL92">
            <v>4.3983999999999996</v>
          </cell>
          <cell r="AM92">
            <v>968.85</v>
          </cell>
        </row>
        <row r="93">
          <cell r="E93" t="str">
            <v>생명공학부</v>
          </cell>
          <cell r="F93">
            <v>451</v>
          </cell>
          <cell r="G93">
            <v>8</v>
          </cell>
          <cell r="H93">
            <v>1.3703703703703705</v>
          </cell>
          <cell r="I93">
            <v>0</v>
          </cell>
          <cell r="J93">
            <v>0</v>
          </cell>
          <cell r="K93">
            <v>0</v>
          </cell>
          <cell r="L93">
            <v>4</v>
          </cell>
          <cell r="M93">
            <v>6.25</v>
          </cell>
          <cell r="N93">
            <v>3.25</v>
          </cell>
          <cell r="O93">
            <v>3.38</v>
          </cell>
          <cell r="P93">
            <v>111.13</v>
          </cell>
          <cell r="Q93">
            <v>87.13</v>
          </cell>
          <cell r="R93">
            <v>118.38</v>
          </cell>
          <cell r="S93">
            <v>57.56</v>
          </cell>
          <cell r="T93">
            <v>787.41</v>
          </cell>
          <cell r="U93">
            <v>770</v>
          </cell>
          <cell r="V93">
            <v>776.33</v>
          </cell>
          <cell r="W93">
            <v>17.409999999999968</v>
          </cell>
          <cell r="X93">
            <v>3.2583000000000002</v>
          </cell>
          <cell r="Y93">
            <v>5.032</v>
          </cell>
          <cell r="Z93">
            <v>4.41</v>
          </cell>
          <cell r="AA93">
            <v>-1.7736999999999998</v>
          </cell>
          <cell r="AB93">
            <v>193.23</v>
          </cell>
          <cell r="AC93">
            <v>183.46</v>
          </cell>
          <cell r="AD93">
            <v>190.26</v>
          </cell>
          <cell r="AE93">
            <v>9.7699999999999818</v>
          </cell>
          <cell r="AF93">
            <v>0</v>
          </cell>
          <cell r="AG93">
            <v>770</v>
          </cell>
          <cell r="AH93">
            <v>5.032</v>
          </cell>
          <cell r="AI93">
            <v>0</v>
          </cell>
          <cell r="AJ93">
            <v>0</v>
          </cell>
          <cell r="AK93">
            <v>776.18</v>
          </cell>
          <cell r="AL93">
            <v>4.4836</v>
          </cell>
          <cell r="AM93">
            <v>959.64</v>
          </cell>
        </row>
        <row r="94">
          <cell r="E94" t="str">
            <v>생명자원유통경제학과</v>
          </cell>
          <cell r="F94">
            <v>456</v>
          </cell>
          <cell r="G94">
            <v>3</v>
          </cell>
          <cell r="H94">
            <v>7</v>
          </cell>
          <cell r="I94">
            <v>0</v>
          </cell>
          <cell r="J94">
            <v>0</v>
          </cell>
          <cell r="K94">
            <v>0</v>
          </cell>
          <cell r="L94">
            <v>6</v>
          </cell>
          <cell r="M94">
            <v>4.33</v>
          </cell>
          <cell r="N94">
            <v>5</v>
          </cell>
          <cell r="O94">
            <v>4</v>
          </cell>
          <cell r="P94">
            <v>88.67</v>
          </cell>
          <cell r="Q94">
            <v>106</v>
          </cell>
          <cell r="R94">
            <v>98.67</v>
          </cell>
          <cell r="S94">
            <v>55.67</v>
          </cell>
          <cell r="T94">
            <v>784.84</v>
          </cell>
          <cell r="U94">
            <v>779.29</v>
          </cell>
          <cell r="V94">
            <v>781.76</v>
          </cell>
          <cell r="W94">
            <v>5.5500000000000682</v>
          </cell>
          <cell r="X94">
            <v>3.6154000000000002</v>
          </cell>
          <cell r="Y94">
            <v>4.2018000000000004</v>
          </cell>
          <cell r="Z94">
            <v>3.94</v>
          </cell>
          <cell r="AA94">
            <v>-0.58640000000000025</v>
          </cell>
          <cell r="AB94">
            <v>195.17</v>
          </cell>
          <cell r="AC94">
            <v>191.8</v>
          </cell>
          <cell r="AD94">
            <v>192.95</v>
          </cell>
          <cell r="AE94">
            <v>3.3699999999999761</v>
          </cell>
          <cell r="AF94">
            <v>0</v>
          </cell>
          <cell r="AG94">
            <v>779.29</v>
          </cell>
          <cell r="AH94">
            <v>4.2018000000000004</v>
          </cell>
          <cell r="AI94">
            <v>0</v>
          </cell>
          <cell r="AJ94">
            <v>0</v>
          </cell>
          <cell r="AK94">
            <v>779.29</v>
          </cell>
          <cell r="AL94">
            <v>4.2018000000000004</v>
          </cell>
          <cell r="AM94">
            <v>971.16</v>
          </cell>
        </row>
        <row r="95">
          <cell r="E95" t="str">
            <v>한약자원학과</v>
          </cell>
          <cell r="F95">
            <v>458</v>
          </cell>
          <cell r="G95">
            <v>7</v>
          </cell>
          <cell r="H95">
            <v>4.8</v>
          </cell>
          <cell r="I95">
            <v>0</v>
          </cell>
          <cell r="J95">
            <v>0</v>
          </cell>
          <cell r="K95">
            <v>0</v>
          </cell>
          <cell r="L95">
            <v>5.43</v>
          </cell>
          <cell r="M95">
            <v>5.14</v>
          </cell>
          <cell r="N95">
            <v>5.86</v>
          </cell>
          <cell r="O95">
            <v>4.8600000000000003</v>
          </cell>
          <cell r="P95">
            <v>93.71</v>
          </cell>
          <cell r="Q95">
            <v>95</v>
          </cell>
          <cell r="R95">
            <v>91.71</v>
          </cell>
          <cell r="S95">
            <v>50.64</v>
          </cell>
          <cell r="T95">
            <v>776.51</v>
          </cell>
          <cell r="U95">
            <v>758.74</v>
          </cell>
          <cell r="V95">
            <v>767.76</v>
          </cell>
          <cell r="W95">
            <v>17.769999999999982</v>
          </cell>
          <cell r="X95">
            <v>4.4684999999999997</v>
          </cell>
          <cell r="Y95">
            <v>6.2393000000000001</v>
          </cell>
          <cell r="Z95">
            <v>5.32</v>
          </cell>
          <cell r="AA95">
            <v>-1.7708000000000004</v>
          </cell>
          <cell r="AB95">
            <v>194.94</v>
          </cell>
          <cell r="AC95">
            <v>188.17</v>
          </cell>
          <cell r="AD95">
            <v>192.89</v>
          </cell>
          <cell r="AE95">
            <v>6.7700000000000102</v>
          </cell>
          <cell r="AF95">
            <v>0</v>
          </cell>
          <cell r="AG95">
            <v>759.35</v>
          </cell>
          <cell r="AH95">
            <v>6.1757999999999997</v>
          </cell>
          <cell r="AI95">
            <v>0</v>
          </cell>
          <cell r="AJ95">
            <v>0</v>
          </cell>
          <cell r="AK95">
            <v>759.94</v>
          </cell>
          <cell r="AL95">
            <v>6.0787000000000004</v>
          </cell>
          <cell r="AM95">
            <v>952.32</v>
          </cell>
        </row>
        <row r="96">
          <cell r="E96" t="str">
            <v>환경조경디자인학과</v>
          </cell>
          <cell r="F96">
            <v>459</v>
          </cell>
          <cell r="G96">
            <v>7</v>
          </cell>
          <cell r="H96">
            <v>4.833333333333333</v>
          </cell>
          <cell r="I96">
            <v>0</v>
          </cell>
          <cell r="J96">
            <v>0</v>
          </cell>
          <cell r="K96">
            <v>0</v>
          </cell>
          <cell r="L96">
            <v>5</v>
          </cell>
          <cell r="M96">
            <v>5.43</v>
          </cell>
          <cell r="N96">
            <v>5.86</v>
          </cell>
          <cell r="O96">
            <v>4.3600000000000003</v>
          </cell>
          <cell r="P96">
            <v>101.43</v>
          </cell>
          <cell r="Q96">
            <v>93.71</v>
          </cell>
          <cell r="R96">
            <v>89.29</v>
          </cell>
          <cell r="S96">
            <v>52.64</v>
          </cell>
          <cell r="T96">
            <v>780.28</v>
          </cell>
          <cell r="U96">
            <v>762.83</v>
          </cell>
          <cell r="V96">
            <v>770.32</v>
          </cell>
          <cell r="W96">
            <v>17.449999999999932</v>
          </cell>
          <cell r="X96">
            <v>4.0909000000000004</v>
          </cell>
          <cell r="Y96">
            <v>5.72</v>
          </cell>
          <cell r="Z96">
            <v>5</v>
          </cell>
          <cell r="AA96">
            <v>-1.6290999999999993</v>
          </cell>
          <cell r="AB96">
            <v>196.02</v>
          </cell>
          <cell r="AC96">
            <v>188.87</v>
          </cell>
          <cell r="AD96">
            <v>191.7</v>
          </cell>
          <cell r="AE96">
            <v>7.1500000000000057</v>
          </cell>
          <cell r="AF96">
            <v>0</v>
          </cell>
          <cell r="AG96">
            <v>764.71</v>
          </cell>
          <cell r="AH96">
            <v>5.5454999999999997</v>
          </cell>
          <cell r="AI96">
            <v>0</v>
          </cell>
          <cell r="AJ96">
            <v>0</v>
          </cell>
          <cell r="AK96">
            <v>762.83</v>
          </cell>
          <cell r="AL96">
            <v>5.72</v>
          </cell>
          <cell r="AM96">
            <v>958.85</v>
          </cell>
        </row>
      </sheetData>
      <sheetData sheetId="6">
        <row r="4">
          <cell r="D4" t="str">
            <v>간호학과</v>
          </cell>
          <cell r="E4">
            <v>28</v>
          </cell>
          <cell r="F4">
            <v>379</v>
          </cell>
          <cell r="G4">
            <v>13.535714285714286</v>
          </cell>
          <cell r="H4">
            <v>28</v>
          </cell>
          <cell r="I4">
            <v>21</v>
          </cell>
          <cell r="J4">
            <v>21</v>
          </cell>
          <cell r="P4" t="str">
            <v>3.29</v>
          </cell>
          <cell r="Q4" t="str">
            <v>3.71</v>
          </cell>
          <cell r="R4">
            <v>3.81</v>
          </cell>
          <cell r="S4" t="str">
            <v>2.95</v>
          </cell>
          <cell r="T4">
            <v>115.67</v>
          </cell>
          <cell r="U4">
            <v>111.95</v>
          </cell>
          <cell r="V4">
            <v>112.9</v>
          </cell>
          <cell r="W4">
            <v>59.74</v>
          </cell>
          <cell r="X4">
            <v>799.45</v>
          </cell>
          <cell r="Y4">
            <v>794.71</v>
          </cell>
          <cell r="Z4">
            <v>796.82</v>
          </cell>
          <cell r="AA4">
            <v>1.39</v>
          </cell>
          <cell r="AB4">
            <v>1.1499999999999999</v>
          </cell>
          <cell r="AC4" t="str">
            <v>2.23</v>
          </cell>
          <cell r="AD4" t="str">
            <v>1.77</v>
          </cell>
          <cell r="AE4" t="str">
            <v>0.31</v>
          </cell>
          <cell r="AF4" t="str">
            <v>191.89</v>
          </cell>
          <cell r="AG4" t="str">
            <v>190.1</v>
          </cell>
          <cell r="AH4" t="str">
            <v>191.03</v>
          </cell>
          <cell r="AI4" t="str">
            <v>0.38</v>
          </cell>
          <cell r="AK4" t="str">
            <v>715.11</v>
          </cell>
          <cell r="AL4" t="str">
            <v>2.23</v>
          </cell>
          <cell r="AM4" t="str">
            <v>986.4</v>
          </cell>
          <cell r="AO4" t="str">
            <v>715.58</v>
          </cell>
          <cell r="AP4" t="str">
            <v>2.03</v>
          </cell>
          <cell r="AQ4" t="str">
            <v>986.94</v>
          </cell>
        </row>
        <row r="5">
          <cell r="D5" t="str">
            <v>IT응용시스템공학과</v>
          </cell>
          <cell r="E5">
            <v>20</v>
          </cell>
          <cell r="F5">
            <v>121</v>
          </cell>
          <cell r="G5">
            <v>6.05</v>
          </cell>
          <cell r="H5">
            <v>20</v>
          </cell>
          <cell r="I5">
            <v>18</v>
          </cell>
          <cell r="J5">
            <v>18</v>
          </cell>
          <cell r="P5" t="str">
            <v>5.5</v>
          </cell>
          <cell r="Q5" t="str">
            <v>6.61</v>
          </cell>
          <cell r="R5">
            <v>5.67</v>
          </cell>
          <cell r="S5" t="str">
            <v>5.14</v>
          </cell>
          <cell r="T5">
            <v>96.67</v>
          </cell>
          <cell r="U5">
            <v>82</v>
          </cell>
          <cell r="V5">
            <v>91.89</v>
          </cell>
          <cell r="W5">
            <v>48.53</v>
          </cell>
          <cell r="X5">
            <v>799.01</v>
          </cell>
          <cell r="Y5">
            <v>775.42</v>
          </cell>
          <cell r="Z5">
            <v>783.53</v>
          </cell>
          <cell r="AA5">
            <v>6.33</v>
          </cell>
          <cell r="AB5">
            <v>1.21</v>
          </cell>
          <cell r="AC5" t="str">
            <v>4.55</v>
          </cell>
          <cell r="AD5" t="str">
            <v>3.61</v>
          </cell>
          <cell r="AE5" t="str">
            <v>0.84</v>
          </cell>
          <cell r="AF5" t="str">
            <v>194.94</v>
          </cell>
          <cell r="AG5" t="str">
            <v>187.7</v>
          </cell>
          <cell r="AH5" t="str">
            <v>192.41</v>
          </cell>
          <cell r="AI5" t="str">
            <v>1.56</v>
          </cell>
          <cell r="AK5" t="str">
            <v>700.42</v>
          </cell>
          <cell r="AL5" t="str">
            <v>4.05</v>
          </cell>
          <cell r="AM5" t="str">
            <v>968.12</v>
          </cell>
          <cell r="AO5" t="str">
            <v>699.77</v>
          </cell>
          <cell r="AP5" t="str">
            <v>4.16</v>
          </cell>
          <cell r="AQ5" t="str">
            <v>969.94</v>
          </cell>
        </row>
        <row r="6">
          <cell r="D6" t="str">
            <v>IT정보공학부(소프트웨어공학)</v>
          </cell>
          <cell r="E6">
            <v>13</v>
          </cell>
          <cell r="F6">
            <v>25</v>
          </cell>
          <cell r="G6">
            <v>1.9230769230769231</v>
          </cell>
          <cell r="H6">
            <v>4</v>
          </cell>
          <cell r="I6">
            <v>4</v>
          </cell>
          <cell r="J6">
            <v>4</v>
          </cell>
          <cell r="P6" t="str">
            <v>4.25</v>
          </cell>
          <cell r="Q6" t="str">
            <v>5.75</v>
          </cell>
          <cell r="R6">
            <v>4.75</v>
          </cell>
          <cell r="S6" t="str">
            <v>3.63</v>
          </cell>
          <cell r="T6">
            <v>109.25</v>
          </cell>
          <cell r="U6">
            <v>91.25</v>
          </cell>
          <cell r="V6">
            <v>103.5</v>
          </cell>
          <cell r="W6">
            <v>56.75</v>
          </cell>
          <cell r="X6">
            <v>781.52</v>
          </cell>
          <cell r="Y6">
            <v>761.72</v>
          </cell>
          <cell r="Z6">
            <v>773.12</v>
          </cell>
          <cell r="AA6">
            <v>8.7200000000000006</v>
          </cell>
          <cell r="AB6">
            <v>3.9</v>
          </cell>
          <cell r="AC6" t="str">
            <v>5.89</v>
          </cell>
          <cell r="AD6" t="str">
            <v>4.77</v>
          </cell>
          <cell r="AE6" t="str">
            <v>0.87</v>
          </cell>
          <cell r="AF6" t="str">
            <v>196.58</v>
          </cell>
          <cell r="AG6" t="str">
            <v>192.51</v>
          </cell>
          <cell r="AH6" t="str">
            <v>194.55</v>
          </cell>
          <cell r="AI6" t="str">
            <v>2.04</v>
          </cell>
          <cell r="AK6" t="str">
            <v>681.72</v>
          </cell>
          <cell r="AL6" t="str">
            <v>5.89</v>
          </cell>
          <cell r="AM6" t="str">
            <v>954.81</v>
          </cell>
          <cell r="AO6" t="str">
            <v>691.2</v>
          </cell>
          <cell r="AP6" t="str">
            <v>4.97</v>
          </cell>
          <cell r="AQ6" t="str">
            <v>963.71</v>
          </cell>
        </row>
        <row r="7">
          <cell r="D7" t="str">
            <v>IT정보공학부(컴퓨터시스템공학)</v>
          </cell>
          <cell r="E7">
            <v>17</v>
          </cell>
          <cell r="F7">
            <v>45</v>
          </cell>
          <cell r="G7">
            <v>2.6470588235294117</v>
          </cell>
          <cell r="H7">
            <v>5</v>
          </cell>
          <cell r="I7">
            <v>5</v>
          </cell>
          <cell r="J7">
            <v>5</v>
          </cell>
          <cell r="P7" t="str">
            <v>4</v>
          </cell>
          <cell r="Q7" t="str">
            <v>6.4</v>
          </cell>
          <cell r="R7">
            <v>4.8</v>
          </cell>
          <cell r="S7" t="str">
            <v>3.9</v>
          </cell>
          <cell r="T7">
            <v>113.4</v>
          </cell>
          <cell r="U7">
            <v>83.2</v>
          </cell>
          <cell r="V7">
            <v>103.2</v>
          </cell>
          <cell r="W7">
            <v>55.7</v>
          </cell>
          <cell r="X7">
            <v>772.86</v>
          </cell>
          <cell r="Y7">
            <v>760.47</v>
          </cell>
          <cell r="Z7">
            <v>767.63</v>
          </cell>
          <cell r="AA7">
            <v>5.44</v>
          </cell>
          <cell r="AB7">
            <v>4.8</v>
          </cell>
          <cell r="AC7" t="str">
            <v>5.97</v>
          </cell>
          <cell r="AD7" t="str">
            <v>5.31</v>
          </cell>
          <cell r="AE7" t="str">
            <v>0.51</v>
          </cell>
          <cell r="AF7" t="str">
            <v>193.24</v>
          </cell>
          <cell r="AG7" t="str">
            <v>189.43</v>
          </cell>
          <cell r="AH7" t="str">
            <v>192.38</v>
          </cell>
          <cell r="AI7" t="str">
            <v>1.66</v>
          </cell>
          <cell r="AK7" t="str">
            <v>680.47</v>
          </cell>
          <cell r="AL7" t="str">
            <v>5.97</v>
          </cell>
          <cell r="AM7" t="str">
            <v>953.71</v>
          </cell>
          <cell r="AO7" t="str">
            <v>683.81</v>
          </cell>
          <cell r="AP7" t="str">
            <v>5.64</v>
          </cell>
          <cell r="AQ7" t="str">
            <v>957.03</v>
          </cell>
        </row>
        <row r="8">
          <cell r="D8" t="str">
            <v>건축공학과</v>
          </cell>
          <cell r="E8">
            <v>24</v>
          </cell>
          <cell r="F8">
            <v>161</v>
          </cell>
          <cell r="G8">
            <v>6.708333333333333</v>
          </cell>
          <cell r="H8">
            <v>24</v>
          </cell>
          <cell r="I8">
            <v>14</v>
          </cell>
          <cell r="J8">
            <v>15</v>
          </cell>
          <cell r="P8" t="str">
            <v>5.33</v>
          </cell>
          <cell r="Q8" t="str">
            <v>6.4</v>
          </cell>
          <cell r="R8">
            <v>5.47</v>
          </cell>
          <cell r="S8" t="str">
            <v>4.5</v>
          </cell>
          <cell r="T8">
            <v>98</v>
          </cell>
          <cell r="U8">
            <v>84.67</v>
          </cell>
          <cell r="V8">
            <v>94.67</v>
          </cell>
          <cell r="W8">
            <v>51.93</v>
          </cell>
          <cell r="X8">
            <v>795.01</v>
          </cell>
          <cell r="Y8">
            <v>784.71</v>
          </cell>
          <cell r="Z8">
            <v>789.09</v>
          </cell>
          <cell r="AA8">
            <v>3.36</v>
          </cell>
          <cell r="AB8">
            <v>2.08</v>
          </cell>
          <cell r="AC8" t="str">
            <v>3.58</v>
          </cell>
          <cell r="AD8" t="str">
            <v>2.99</v>
          </cell>
          <cell r="AE8" t="str">
            <v>0.47</v>
          </cell>
          <cell r="AF8" t="str">
            <v>192.58</v>
          </cell>
          <cell r="AG8" t="str">
            <v>187.13</v>
          </cell>
          <cell r="AH8" t="str">
            <v>191.1</v>
          </cell>
          <cell r="AI8" t="str">
            <v>1.41</v>
          </cell>
          <cell r="AK8" t="str">
            <v>704.71</v>
          </cell>
          <cell r="AL8" t="str">
            <v>3.43</v>
          </cell>
          <cell r="AM8" t="str">
            <v>976.21</v>
          </cell>
          <cell r="AO8" t="str">
            <v>706.22</v>
          </cell>
          <cell r="AP8" t="str">
            <v>3.41</v>
          </cell>
          <cell r="AQ8" t="str">
            <v>977.72</v>
          </cell>
        </row>
        <row r="9">
          <cell r="D9" t="str">
            <v>고분자.나노공학과</v>
          </cell>
          <cell r="E9">
            <v>25</v>
          </cell>
          <cell r="F9">
            <v>189</v>
          </cell>
          <cell r="G9">
            <v>7.56</v>
          </cell>
          <cell r="H9">
            <v>25</v>
          </cell>
          <cell r="I9">
            <v>16</v>
          </cell>
          <cell r="J9">
            <v>16</v>
          </cell>
          <cell r="P9" t="str">
            <v>3.63</v>
          </cell>
          <cell r="Q9" t="str">
            <v>4.31</v>
          </cell>
          <cell r="R9">
            <v>4.5599999999999996</v>
          </cell>
          <cell r="S9" t="str">
            <v>3.25</v>
          </cell>
          <cell r="T9">
            <v>113.88</v>
          </cell>
          <cell r="U9">
            <v>107.31</v>
          </cell>
          <cell r="V9">
            <v>104.63</v>
          </cell>
          <cell r="W9">
            <v>58.91</v>
          </cell>
          <cell r="X9">
            <v>789.6</v>
          </cell>
          <cell r="Y9">
            <v>776.63</v>
          </cell>
          <cell r="Z9">
            <v>782.39</v>
          </cell>
          <cell r="AA9">
            <v>4.04</v>
          </cell>
          <cell r="AB9">
            <v>2.82</v>
          </cell>
          <cell r="AC9" t="str">
            <v>4.42</v>
          </cell>
          <cell r="AD9" t="str">
            <v>3.79</v>
          </cell>
          <cell r="AE9" t="str">
            <v>0.48</v>
          </cell>
          <cell r="AF9" t="str">
            <v>193.24</v>
          </cell>
          <cell r="AG9" t="str">
            <v>187.24</v>
          </cell>
          <cell r="AH9" t="str">
            <v>190.79</v>
          </cell>
          <cell r="AI9" t="str">
            <v>1.7</v>
          </cell>
          <cell r="AK9" t="str">
            <v>701.29</v>
          </cell>
          <cell r="AL9" t="str">
            <v>3.94</v>
          </cell>
          <cell r="AM9" t="str">
            <v>968.85</v>
          </cell>
          <cell r="AO9" t="str">
            <v>697.93</v>
          </cell>
          <cell r="AP9" t="str">
            <v>4.29</v>
          </cell>
          <cell r="AQ9" t="str">
            <v>969.33</v>
          </cell>
        </row>
        <row r="10">
          <cell r="D10" t="str">
            <v>기계공학과</v>
          </cell>
          <cell r="E10">
            <v>38</v>
          </cell>
          <cell r="F10">
            <v>142</v>
          </cell>
          <cell r="G10">
            <v>3.736842105263158</v>
          </cell>
          <cell r="H10">
            <v>38</v>
          </cell>
          <cell r="I10">
            <v>28</v>
          </cell>
          <cell r="J10">
            <v>28</v>
          </cell>
          <cell r="P10" t="str">
            <v>3.86</v>
          </cell>
          <cell r="Q10" t="str">
            <v>5.18</v>
          </cell>
          <cell r="R10">
            <v>4.21</v>
          </cell>
          <cell r="S10" t="str">
            <v>3.46</v>
          </cell>
          <cell r="T10">
            <v>111.93</v>
          </cell>
          <cell r="U10">
            <v>97.39</v>
          </cell>
          <cell r="V10">
            <v>107.36</v>
          </cell>
          <cell r="W10">
            <v>57.29</v>
          </cell>
          <cell r="X10">
            <v>789.34</v>
          </cell>
          <cell r="Y10">
            <v>772.75</v>
          </cell>
          <cell r="Z10">
            <v>780.25</v>
          </cell>
          <cell r="AA10">
            <v>3.92</v>
          </cell>
          <cell r="AB10">
            <v>2.94</v>
          </cell>
          <cell r="AC10" t="str">
            <v>4.75</v>
          </cell>
          <cell r="AD10" t="str">
            <v>4.05</v>
          </cell>
          <cell r="AE10" t="str">
            <v>0.41</v>
          </cell>
          <cell r="AF10" t="str">
            <v>194.29</v>
          </cell>
          <cell r="AG10" t="str">
            <v>187.38</v>
          </cell>
          <cell r="AH10" t="str">
            <v>191.71</v>
          </cell>
          <cell r="AI10" t="str">
            <v>1.64</v>
          </cell>
          <cell r="AK10" t="str">
            <v>697.35</v>
          </cell>
          <cell r="AL10" t="str">
            <v>4.33</v>
          </cell>
          <cell r="AM10" t="str">
            <v>964.73</v>
          </cell>
          <cell r="AO10" t="str">
            <v>697.1</v>
          </cell>
          <cell r="AP10" t="str">
            <v>4.32</v>
          </cell>
          <cell r="AQ10" t="str">
            <v>968.2</v>
          </cell>
        </row>
        <row r="11">
          <cell r="D11" t="str">
            <v>기계설계공학부</v>
          </cell>
          <cell r="E11">
            <v>39</v>
          </cell>
          <cell r="F11">
            <v>86</v>
          </cell>
          <cell r="G11">
            <v>2.2051282051282053</v>
          </cell>
          <cell r="H11">
            <v>12</v>
          </cell>
          <cell r="I11">
            <v>12</v>
          </cell>
          <cell r="J11">
            <v>12</v>
          </cell>
          <cell r="P11" t="str">
            <v>4.25</v>
          </cell>
          <cell r="Q11" t="str">
            <v>5.92</v>
          </cell>
          <cell r="R11">
            <v>4.42</v>
          </cell>
          <cell r="S11" t="str">
            <v>3.88</v>
          </cell>
          <cell r="T11">
            <v>107.25</v>
          </cell>
          <cell r="U11">
            <v>89.83</v>
          </cell>
          <cell r="V11">
            <v>106</v>
          </cell>
          <cell r="W11">
            <v>56</v>
          </cell>
          <cell r="X11">
            <v>783.01</v>
          </cell>
          <cell r="Y11">
            <v>749.2</v>
          </cell>
          <cell r="Z11">
            <v>769</v>
          </cell>
          <cell r="AA11">
            <v>9.36</v>
          </cell>
          <cell r="AB11">
            <v>3.81</v>
          </cell>
          <cell r="AC11" t="str">
            <v>7.33</v>
          </cell>
          <cell r="AD11" t="str">
            <v>5.2</v>
          </cell>
          <cell r="AE11" t="str">
            <v>0.97</v>
          </cell>
          <cell r="AF11" t="str">
            <v>193.75</v>
          </cell>
          <cell r="AG11" t="str">
            <v>188.96</v>
          </cell>
          <cell r="AH11" t="str">
            <v>191.85</v>
          </cell>
          <cell r="AI11" t="str">
            <v>1.81</v>
          </cell>
          <cell r="AK11" t="str">
            <v>669.2</v>
          </cell>
          <cell r="AL11" t="str">
            <v>7.33</v>
          </cell>
          <cell r="AM11" t="str">
            <v>942.35</v>
          </cell>
          <cell r="AO11" t="str">
            <v>685.46</v>
          </cell>
          <cell r="AP11" t="str">
            <v>5.55</v>
          </cell>
          <cell r="AQ11" t="str">
            <v>958.47</v>
          </cell>
        </row>
        <row r="12">
          <cell r="D12" t="str">
            <v>기계시스템공학부</v>
          </cell>
          <cell r="E12">
            <v>40</v>
          </cell>
          <cell r="F12">
            <v>137</v>
          </cell>
          <cell r="G12">
            <v>3.4249999999999998</v>
          </cell>
          <cell r="H12">
            <v>40</v>
          </cell>
          <cell r="I12">
            <v>33</v>
          </cell>
          <cell r="J12">
            <v>33</v>
          </cell>
          <cell r="P12" t="str">
            <v>4.76</v>
          </cell>
          <cell r="Q12" t="str">
            <v>5.76</v>
          </cell>
          <cell r="R12">
            <v>5.42</v>
          </cell>
          <cell r="S12" t="str">
            <v>4.15</v>
          </cell>
          <cell r="T12">
            <v>103.91</v>
          </cell>
          <cell r="U12">
            <v>90.18</v>
          </cell>
          <cell r="V12">
            <v>94.97</v>
          </cell>
          <cell r="W12">
            <v>54.41</v>
          </cell>
          <cell r="X12">
            <v>791.47</v>
          </cell>
          <cell r="Y12">
            <v>768.97</v>
          </cell>
          <cell r="Z12">
            <v>777.43</v>
          </cell>
          <cell r="AA12">
            <v>6.03</v>
          </cell>
          <cell r="AB12">
            <v>2.72</v>
          </cell>
          <cell r="AC12" t="str">
            <v>5.22</v>
          </cell>
          <cell r="AD12" t="str">
            <v>4.31</v>
          </cell>
          <cell r="AE12" t="str">
            <v>0.67</v>
          </cell>
          <cell r="AF12" t="str">
            <v>196.65</v>
          </cell>
          <cell r="AG12" t="str">
            <v>186.96</v>
          </cell>
          <cell r="AH12" t="str">
            <v>191.47</v>
          </cell>
          <cell r="AI12" t="str">
            <v>2.29</v>
          </cell>
          <cell r="AK12" t="str">
            <v>689.61</v>
          </cell>
          <cell r="AL12" t="str">
            <v>5.08</v>
          </cell>
          <cell r="AM12" t="str">
            <v>958.51</v>
          </cell>
          <cell r="AO12" t="str">
            <v>695.16</v>
          </cell>
          <cell r="AP12" t="str">
            <v>4.51</v>
          </cell>
          <cell r="AQ12" t="str">
            <v>963.92</v>
          </cell>
        </row>
        <row r="13">
          <cell r="D13" t="str">
            <v>도시공학과</v>
          </cell>
          <cell r="E13">
            <v>11</v>
          </cell>
          <cell r="F13">
            <v>47</v>
          </cell>
          <cell r="G13">
            <v>4.2727272727272725</v>
          </cell>
          <cell r="H13">
            <v>11</v>
          </cell>
          <cell r="I13">
            <v>7</v>
          </cell>
          <cell r="J13">
            <v>7</v>
          </cell>
          <cell r="P13" t="str">
            <v>3.71</v>
          </cell>
          <cell r="Q13" t="str">
            <v>5.86</v>
          </cell>
          <cell r="R13">
            <v>4.71</v>
          </cell>
          <cell r="S13" t="str">
            <v>4.43</v>
          </cell>
          <cell r="T13">
            <v>113.43</v>
          </cell>
          <cell r="U13">
            <v>90.43</v>
          </cell>
          <cell r="V13">
            <v>103.14</v>
          </cell>
          <cell r="W13">
            <v>53.43</v>
          </cell>
          <cell r="X13">
            <v>789.63</v>
          </cell>
          <cell r="Y13">
            <v>779.61</v>
          </cell>
          <cell r="Z13">
            <v>783.1</v>
          </cell>
          <cell r="AA13">
            <v>3.33</v>
          </cell>
          <cell r="AB13">
            <v>2.88</v>
          </cell>
          <cell r="AC13" t="str">
            <v>4.17</v>
          </cell>
          <cell r="AD13" t="str">
            <v>3.76</v>
          </cell>
          <cell r="AE13" t="str">
            <v>0.42</v>
          </cell>
          <cell r="AF13" t="str">
            <v>194.78</v>
          </cell>
          <cell r="AG13" t="str">
            <v>187.26</v>
          </cell>
          <cell r="AH13" t="str">
            <v>192.05</v>
          </cell>
          <cell r="AI13" t="str">
            <v>2.33</v>
          </cell>
          <cell r="AK13" t="str">
            <v>704.21</v>
          </cell>
          <cell r="AL13" t="str">
            <v>3.68</v>
          </cell>
          <cell r="AM13" t="str">
            <v>971.47</v>
          </cell>
          <cell r="AO13" t="str">
            <v>699.61</v>
          </cell>
          <cell r="AP13" t="str">
            <v>4.17</v>
          </cell>
          <cell r="AQ13" t="str">
            <v>972.77</v>
          </cell>
        </row>
        <row r="14">
          <cell r="D14" t="str">
            <v>바이오메디컬공학부</v>
          </cell>
          <cell r="E14">
            <v>20</v>
          </cell>
          <cell r="F14">
            <v>64</v>
          </cell>
          <cell r="G14">
            <v>3.2</v>
          </cell>
          <cell r="H14">
            <v>20</v>
          </cell>
          <cell r="I14">
            <v>18</v>
          </cell>
          <cell r="J14">
            <v>17</v>
          </cell>
          <cell r="P14" t="str">
            <v>5</v>
          </cell>
          <cell r="Q14" t="str">
            <v>6.24</v>
          </cell>
          <cell r="R14">
            <v>5.47</v>
          </cell>
          <cell r="S14" t="str">
            <v>4.35</v>
          </cell>
          <cell r="T14">
            <v>101.94</v>
          </cell>
          <cell r="U14">
            <v>86</v>
          </cell>
          <cell r="V14">
            <v>96.24</v>
          </cell>
          <cell r="W14">
            <v>52.76</v>
          </cell>
          <cell r="X14">
            <v>790.51</v>
          </cell>
          <cell r="Y14">
            <v>768.79</v>
          </cell>
          <cell r="Z14">
            <v>775.06</v>
          </cell>
          <cell r="AA14">
            <v>5.44</v>
          </cell>
          <cell r="AB14">
            <v>2.9</v>
          </cell>
          <cell r="AC14" t="str">
            <v>5.16</v>
          </cell>
          <cell r="AD14" t="str">
            <v>4.56</v>
          </cell>
          <cell r="AE14" t="str">
            <v>0.56</v>
          </cell>
          <cell r="AF14" t="str">
            <v>194.58</v>
          </cell>
          <cell r="AG14" t="str">
            <v>188.1</v>
          </cell>
          <cell r="AH14" t="str">
            <v>192.04</v>
          </cell>
          <cell r="AI14" t="str">
            <v>1.8</v>
          </cell>
          <cell r="AK14" t="str">
            <v>691.27</v>
          </cell>
          <cell r="AL14" t="str">
            <v>4.93</v>
          </cell>
          <cell r="AM14" t="str">
            <v>961.14</v>
          </cell>
          <cell r="AO14" t="str">
            <v>692.37</v>
          </cell>
          <cell r="AP14" t="str">
            <v>4.85</v>
          </cell>
          <cell r="AQ14" t="str">
            <v>963.57</v>
          </cell>
        </row>
        <row r="15">
          <cell r="D15" t="str">
            <v>사회기반공학과</v>
          </cell>
          <cell r="E15">
            <v>12</v>
          </cell>
          <cell r="F15">
            <v>63</v>
          </cell>
          <cell r="G15">
            <v>5.25</v>
          </cell>
          <cell r="H15">
            <v>12</v>
          </cell>
          <cell r="I15">
            <v>10</v>
          </cell>
          <cell r="J15">
            <v>10</v>
          </cell>
          <cell r="P15" t="str">
            <v>5.8</v>
          </cell>
          <cell r="Q15" t="str">
            <v>7.3</v>
          </cell>
          <cell r="R15">
            <v>6.4</v>
          </cell>
          <cell r="S15" t="str">
            <v>5.35</v>
          </cell>
          <cell r="T15">
            <v>93</v>
          </cell>
          <cell r="U15">
            <v>74.599999999999994</v>
          </cell>
          <cell r="V15">
            <v>84.3</v>
          </cell>
          <cell r="W15">
            <v>46.7</v>
          </cell>
          <cell r="X15">
            <v>785.36</v>
          </cell>
          <cell r="Y15">
            <v>767.68</v>
          </cell>
          <cell r="Z15">
            <v>773.25</v>
          </cell>
          <cell r="AA15">
            <v>5.45</v>
          </cell>
          <cell r="AB15">
            <v>3.53</v>
          </cell>
          <cell r="AC15" t="str">
            <v>5.29</v>
          </cell>
          <cell r="AD15" t="str">
            <v>4.76</v>
          </cell>
          <cell r="AE15" t="str">
            <v>0.54</v>
          </cell>
          <cell r="AF15" t="str">
            <v>194.85</v>
          </cell>
          <cell r="AG15" t="str">
            <v>190.22</v>
          </cell>
          <cell r="AH15" t="str">
            <v>191.75</v>
          </cell>
          <cell r="AI15" t="str">
            <v>1.52</v>
          </cell>
          <cell r="AK15" t="str">
            <v>687.68</v>
          </cell>
          <cell r="AL15" t="str">
            <v>5.29</v>
          </cell>
          <cell r="AM15" t="str">
            <v>961.06</v>
          </cell>
          <cell r="AO15" t="str">
            <v>689.56</v>
          </cell>
          <cell r="AP15" t="str">
            <v>5.1</v>
          </cell>
          <cell r="AQ15" t="str">
            <v>962.07</v>
          </cell>
        </row>
        <row r="16">
          <cell r="D16" t="str">
            <v>산업정보시스템공학과</v>
          </cell>
          <cell r="E16">
            <v>22</v>
          </cell>
          <cell r="F16">
            <v>107</v>
          </cell>
          <cell r="G16">
            <v>4.8636363636363633</v>
          </cell>
          <cell r="H16">
            <v>22</v>
          </cell>
          <cell r="I16">
            <v>19</v>
          </cell>
          <cell r="J16">
            <v>18</v>
          </cell>
          <cell r="P16" t="str">
            <v>5.72</v>
          </cell>
          <cell r="Q16" t="str">
            <v>5</v>
          </cell>
          <cell r="R16">
            <v>5.94</v>
          </cell>
          <cell r="S16" t="str">
            <v>5.14</v>
          </cell>
          <cell r="T16">
            <v>93.67</v>
          </cell>
          <cell r="U16">
            <v>97.56</v>
          </cell>
          <cell r="V16">
            <v>88.78</v>
          </cell>
          <cell r="W16">
            <v>48.67</v>
          </cell>
          <cell r="X16">
            <v>788.92</v>
          </cell>
          <cell r="Y16">
            <v>775.07</v>
          </cell>
          <cell r="Z16">
            <v>780.13</v>
          </cell>
          <cell r="AA16">
            <v>4.13</v>
          </cell>
          <cell r="AB16">
            <v>2.93</v>
          </cell>
          <cell r="AC16" t="str">
            <v>4.58</v>
          </cell>
          <cell r="AD16" t="str">
            <v>3.99</v>
          </cell>
          <cell r="AE16" t="str">
            <v>0.49</v>
          </cell>
          <cell r="AF16" t="str">
            <v>194.24</v>
          </cell>
          <cell r="AG16" t="str">
            <v>186.69</v>
          </cell>
          <cell r="AH16" t="str">
            <v>191.38</v>
          </cell>
          <cell r="AI16" t="str">
            <v>1.97</v>
          </cell>
          <cell r="AK16" t="str">
            <v>696.42</v>
          </cell>
          <cell r="AL16" t="str">
            <v>4.47</v>
          </cell>
          <cell r="AM16" t="str">
            <v>967.3</v>
          </cell>
          <cell r="AO16" t="str">
            <v>696.85</v>
          </cell>
          <cell r="AP16" t="str">
            <v>4.42</v>
          </cell>
          <cell r="AQ16" t="str">
            <v>968.45</v>
          </cell>
        </row>
        <row r="17">
          <cell r="D17" t="str">
            <v>섬유소재시스템공학과</v>
          </cell>
          <cell r="E17">
            <v>20</v>
          </cell>
          <cell r="F17">
            <v>88</v>
          </cell>
          <cell r="G17">
            <v>4.4000000000000004</v>
          </cell>
          <cell r="H17">
            <v>20</v>
          </cell>
          <cell r="I17">
            <v>17</v>
          </cell>
          <cell r="J17">
            <v>17</v>
          </cell>
          <cell r="P17" t="str">
            <v>4.65</v>
          </cell>
          <cell r="Q17" t="str">
            <v>5.88</v>
          </cell>
          <cell r="R17">
            <v>5.71</v>
          </cell>
          <cell r="S17" t="str">
            <v>4.47</v>
          </cell>
          <cell r="T17">
            <v>104.88</v>
          </cell>
          <cell r="U17">
            <v>90.18</v>
          </cell>
          <cell r="V17">
            <v>92.88</v>
          </cell>
          <cell r="W17">
            <v>52.21</v>
          </cell>
          <cell r="X17">
            <v>783.62</v>
          </cell>
          <cell r="Y17">
            <v>759.64</v>
          </cell>
          <cell r="Z17">
            <v>767.35</v>
          </cell>
          <cell r="AA17">
            <v>5.65</v>
          </cell>
          <cell r="AB17">
            <v>3.7</v>
          </cell>
          <cell r="AC17" t="str">
            <v>6.22</v>
          </cell>
          <cell r="AD17" t="str">
            <v>5.33</v>
          </cell>
          <cell r="AE17" t="str">
            <v>0.57</v>
          </cell>
          <cell r="AF17" t="str">
            <v>194.86</v>
          </cell>
          <cell r="AG17" t="str">
            <v>189.17</v>
          </cell>
          <cell r="AH17" t="str">
            <v>192.24</v>
          </cell>
          <cell r="AI17" t="str">
            <v>1.92</v>
          </cell>
          <cell r="AK17" t="str">
            <v>679.64</v>
          </cell>
          <cell r="AL17" t="str">
            <v>6.22</v>
          </cell>
          <cell r="AM17" t="str">
            <v>954</v>
          </cell>
          <cell r="AO17" t="str">
            <v>681.64</v>
          </cell>
          <cell r="AP17" t="str">
            <v>5.86</v>
          </cell>
          <cell r="AQ17" t="str">
            <v>954.53</v>
          </cell>
        </row>
        <row r="18">
          <cell r="D18" t="str">
            <v>신소재공학부(금속시스템공학)</v>
          </cell>
          <cell r="E18">
            <v>20</v>
          </cell>
          <cell r="F18">
            <v>49</v>
          </cell>
          <cell r="G18">
            <v>2.4500000000000002</v>
          </cell>
          <cell r="H18">
            <v>11</v>
          </cell>
          <cell r="I18">
            <v>10</v>
          </cell>
          <cell r="J18">
            <v>10</v>
          </cell>
          <cell r="P18" t="str">
            <v>4.5</v>
          </cell>
          <cell r="Q18" t="str">
            <v>5.7</v>
          </cell>
          <cell r="R18">
            <v>4.0999999999999996</v>
          </cell>
          <cell r="S18" t="str">
            <v>3.8</v>
          </cell>
          <cell r="T18">
            <v>106.8</v>
          </cell>
          <cell r="U18">
            <v>93.4</v>
          </cell>
          <cell r="V18">
            <v>108</v>
          </cell>
          <cell r="W18">
            <v>56.1</v>
          </cell>
          <cell r="X18">
            <v>782</v>
          </cell>
          <cell r="Y18">
            <v>759.24</v>
          </cell>
          <cell r="Z18">
            <v>770.06</v>
          </cell>
          <cell r="AA18">
            <v>6.5</v>
          </cell>
          <cell r="AB18">
            <v>3.92</v>
          </cell>
          <cell r="AC18" t="str">
            <v>6.1</v>
          </cell>
          <cell r="AD18" t="str">
            <v>5.06</v>
          </cell>
          <cell r="AE18" t="str">
            <v>0.62</v>
          </cell>
          <cell r="AF18" t="str">
            <v>193.19</v>
          </cell>
          <cell r="AG18" t="str">
            <v>188.1</v>
          </cell>
          <cell r="AH18" t="str">
            <v>191</v>
          </cell>
          <cell r="AI18" t="str">
            <v>1.71</v>
          </cell>
          <cell r="AK18" t="str">
            <v>679.24</v>
          </cell>
          <cell r="AL18" t="str">
            <v>6.1</v>
          </cell>
          <cell r="AM18" t="str">
            <v>952.43</v>
          </cell>
          <cell r="AO18" t="str">
            <v>689.01</v>
          </cell>
          <cell r="AP18" t="str">
            <v>5.19</v>
          </cell>
          <cell r="AQ18" t="str">
            <v>957.11</v>
          </cell>
        </row>
        <row r="19">
          <cell r="D19" t="str">
            <v>신소재공학부(전자재료공학)</v>
          </cell>
          <cell r="E19">
            <v>24</v>
          </cell>
          <cell r="F19">
            <v>54</v>
          </cell>
          <cell r="G19">
            <v>2.25</v>
          </cell>
          <cell r="H19">
            <v>13</v>
          </cell>
          <cell r="I19">
            <v>11</v>
          </cell>
          <cell r="J19">
            <v>11</v>
          </cell>
          <cell r="P19" t="str">
            <v>4.09</v>
          </cell>
          <cell r="Q19" t="str">
            <v>5.73</v>
          </cell>
          <cell r="R19">
            <v>4.45</v>
          </cell>
          <cell r="S19" t="str">
            <v>3.59</v>
          </cell>
          <cell r="T19">
            <v>111.09</v>
          </cell>
          <cell r="U19">
            <v>91.73</v>
          </cell>
          <cell r="V19">
            <v>106.45</v>
          </cell>
          <cell r="W19">
            <v>56.73</v>
          </cell>
          <cell r="X19">
            <v>782.82</v>
          </cell>
          <cell r="Y19">
            <v>762.17</v>
          </cell>
          <cell r="Z19">
            <v>775.24</v>
          </cell>
          <cell r="AA19">
            <v>7.92</v>
          </cell>
          <cell r="AB19">
            <v>3.75</v>
          </cell>
          <cell r="AC19" t="str">
            <v>5.77</v>
          </cell>
          <cell r="AD19" t="str">
            <v>4.53</v>
          </cell>
          <cell r="AE19" t="str">
            <v>0.78</v>
          </cell>
          <cell r="AF19" t="str">
            <v>195.09</v>
          </cell>
          <cell r="AG19" t="str">
            <v>187.15</v>
          </cell>
          <cell r="AH19" t="str">
            <v>192.55</v>
          </cell>
          <cell r="AI19" t="str">
            <v>2.28</v>
          </cell>
          <cell r="AK19" t="str">
            <v>682.17</v>
          </cell>
          <cell r="AL19" t="str">
            <v>5.77</v>
          </cell>
          <cell r="AM19" t="str">
            <v>954.85</v>
          </cell>
          <cell r="AO19" t="str">
            <v>685.23</v>
          </cell>
          <cell r="AP19" t="str">
            <v>5.53</v>
          </cell>
          <cell r="AQ19" t="str">
            <v>958.62</v>
          </cell>
        </row>
        <row r="20">
          <cell r="D20" t="str">
            <v>신소재공학부(정보소재공학)</v>
          </cell>
          <cell r="E20">
            <v>24</v>
          </cell>
          <cell r="F20">
            <v>65</v>
          </cell>
          <cell r="G20">
            <v>2.7083333333333335</v>
          </cell>
          <cell r="H20">
            <v>11</v>
          </cell>
          <cell r="I20">
            <v>9</v>
          </cell>
          <cell r="J20">
            <v>9</v>
          </cell>
          <cell r="P20" t="str">
            <v>4.44</v>
          </cell>
          <cell r="Q20" t="str">
            <v>5.44</v>
          </cell>
          <cell r="R20">
            <v>4.67</v>
          </cell>
          <cell r="S20" t="str">
            <v>3.56</v>
          </cell>
          <cell r="T20">
            <v>106.56</v>
          </cell>
          <cell r="U20">
            <v>96.33</v>
          </cell>
          <cell r="V20">
            <v>102.78</v>
          </cell>
          <cell r="W20">
            <v>57.22</v>
          </cell>
          <cell r="X20">
            <v>786.01</v>
          </cell>
          <cell r="Y20">
            <v>764.97</v>
          </cell>
          <cell r="Z20">
            <v>772.25</v>
          </cell>
          <cell r="AA20">
            <v>7.29</v>
          </cell>
          <cell r="AB20">
            <v>3.45</v>
          </cell>
          <cell r="AC20" t="str">
            <v>5.54</v>
          </cell>
          <cell r="AD20" t="str">
            <v>4.84</v>
          </cell>
          <cell r="AE20" t="str">
            <v>0.71</v>
          </cell>
          <cell r="AF20" t="str">
            <v>195.08</v>
          </cell>
          <cell r="AG20" t="str">
            <v>189.93</v>
          </cell>
          <cell r="AH20" t="str">
            <v>191.63</v>
          </cell>
          <cell r="AI20" t="str">
            <v>1.66</v>
          </cell>
          <cell r="AK20" t="str">
            <v>684.97</v>
          </cell>
          <cell r="AL20" t="str">
            <v>5.54</v>
          </cell>
          <cell r="AM20" t="str">
            <v>956.54</v>
          </cell>
          <cell r="AO20" t="str">
            <v>688.49</v>
          </cell>
          <cell r="AP20" t="str">
            <v>5.2</v>
          </cell>
          <cell r="AQ20" t="str">
            <v>959.65</v>
          </cell>
        </row>
        <row r="21">
          <cell r="D21" t="str">
            <v>자원.에너지공학과</v>
          </cell>
          <cell r="E21">
            <v>15</v>
          </cell>
          <cell r="F21">
            <v>74</v>
          </cell>
          <cell r="G21">
            <v>4.9333333333333336</v>
          </cell>
          <cell r="H21">
            <v>15</v>
          </cell>
          <cell r="I21">
            <v>12</v>
          </cell>
          <cell r="J21">
            <v>12</v>
          </cell>
          <cell r="P21" t="str">
            <v>5.25</v>
          </cell>
          <cell r="Q21" t="str">
            <v>5.92</v>
          </cell>
          <cell r="R21">
            <v>5</v>
          </cell>
          <cell r="S21" t="str">
            <v>3.75</v>
          </cell>
          <cell r="T21">
            <v>99.92</v>
          </cell>
          <cell r="U21">
            <v>90.33</v>
          </cell>
          <cell r="V21">
            <v>98.25</v>
          </cell>
          <cell r="W21">
            <v>55.71</v>
          </cell>
          <cell r="X21">
            <v>788.6</v>
          </cell>
          <cell r="Y21">
            <v>770.8</v>
          </cell>
          <cell r="Z21">
            <v>776.53</v>
          </cell>
          <cell r="AA21">
            <v>5.42</v>
          </cell>
          <cell r="AB21">
            <v>3.08</v>
          </cell>
          <cell r="AC21" t="str">
            <v>4.99</v>
          </cell>
          <cell r="AD21" t="str">
            <v>4.41</v>
          </cell>
          <cell r="AE21" t="str">
            <v>0.58</v>
          </cell>
          <cell r="AF21" t="str">
            <v>193.28</v>
          </cell>
          <cell r="AG21" t="str">
            <v>189.7</v>
          </cell>
          <cell r="AH21" t="str">
            <v>191.65</v>
          </cell>
          <cell r="AI21" t="str">
            <v>1.2</v>
          </cell>
          <cell r="AK21" t="str">
            <v>690.8</v>
          </cell>
          <cell r="AL21" t="str">
            <v>4.99</v>
          </cell>
          <cell r="AM21" t="str">
            <v>962.81</v>
          </cell>
          <cell r="AO21" t="str">
            <v>691.2</v>
          </cell>
          <cell r="AP21" t="str">
            <v>4.95</v>
          </cell>
          <cell r="AQ21" t="str">
            <v>963.05</v>
          </cell>
        </row>
        <row r="22">
          <cell r="D22" t="str">
            <v>전기공학과</v>
          </cell>
          <cell r="E22">
            <v>20</v>
          </cell>
          <cell r="F22">
            <v>96</v>
          </cell>
          <cell r="G22">
            <v>4.8</v>
          </cell>
          <cell r="H22">
            <v>20</v>
          </cell>
          <cell r="I22">
            <v>13</v>
          </cell>
          <cell r="J22">
            <v>13</v>
          </cell>
          <cell r="P22" t="str">
            <v>4.08</v>
          </cell>
          <cell r="Q22" t="str">
            <v>5.69</v>
          </cell>
          <cell r="R22">
            <v>3.92</v>
          </cell>
          <cell r="S22" t="str">
            <v>3.88</v>
          </cell>
          <cell r="T22">
            <v>110.38</v>
          </cell>
          <cell r="U22">
            <v>91.92</v>
          </cell>
          <cell r="V22">
            <v>111.31</v>
          </cell>
          <cell r="W22">
            <v>55.5</v>
          </cell>
          <cell r="X22">
            <v>780.45</v>
          </cell>
          <cell r="Y22">
            <v>774.23</v>
          </cell>
          <cell r="Z22">
            <v>777.7</v>
          </cell>
          <cell r="AA22">
            <v>1.76</v>
          </cell>
          <cell r="AB22">
            <v>4.0199999999999996</v>
          </cell>
          <cell r="AC22" t="str">
            <v>4.67</v>
          </cell>
          <cell r="AD22" t="str">
            <v>4.33</v>
          </cell>
          <cell r="AE22" t="str">
            <v>0.18</v>
          </cell>
          <cell r="AF22" t="str">
            <v>193.43</v>
          </cell>
          <cell r="AG22" t="str">
            <v>189.61</v>
          </cell>
          <cell r="AH22" t="str">
            <v>191.3</v>
          </cell>
          <cell r="AI22" t="str">
            <v>1.28</v>
          </cell>
          <cell r="AK22" t="str">
            <v>694.23</v>
          </cell>
          <cell r="AL22" t="str">
            <v>4.67</v>
          </cell>
          <cell r="AM22" t="str">
            <v>966.19</v>
          </cell>
          <cell r="AO22" t="str">
            <v>697.26</v>
          </cell>
          <cell r="AP22" t="str">
            <v>4.37</v>
          </cell>
          <cell r="AQ22" t="str">
            <v>967.95</v>
          </cell>
        </row>
        <row r="23">
          <cell r="D23" t="str">
            <v>전자공학부</v>
          </cell>
          <cell r="E23">
            <v>69</v>
          </cell>
          <cell r="F23">
            <v>217</v>
          </cell>
          <cell r="G23">
            <v>3.1449275362318843</v>
          </cell>
          <cell r="H23">
            <v>69</v>
          </cell>
          <cell r="I23">
            <v>60</v>
          </cell>
          <cell r="J23">
            <v>60</v>
          </cell>
          <cell r="P23" t="str">
            <v>3.98</v>
          </cell>
          <cell r="Q23" t="str">
            <v>5.35</v>
          </cell>
          <cell r="R23">
            <v>4.72</v>
          </cell>
          <cell r="S23" t="str">
            <v>3.52</v>
          </cell>
          <cell r="T23">
            <v>110.95</v>
          </cell>
          <cell r="U23">
            <v>96.32</v>
          </cell>
          <cell r="V23">
            <v>103.62</v>
          </cell>
          <cell r="W23">
            <v>57.58</v>
          </cell>
          <cell r="X23">
            <v>789.54</v>
          </cell>
          <cell r="Y23">
            <v>757.83</v>
          </cell>
          <cell r="Z23">
            <v>772.83</v>
          </cell>
          <cell r="AA23">
            <v>6.99</v>
          </cell>
          <cell r="AB23">
            <v>2.98</v>
          </cell>
          <cell r="AC23" t="str">
            <v>6.43</v>
          </cell>
          <cell r="AD23" t="str">
            <v>4.79</v>
          </cell>
          <cell r="AE23" t="str">
            <v>0.7</v>
          </cell>
          <cell r="AF23" t="str">
            <v>195.02</v>
          </cell>
          <cell r="AG23" t="str">
            <v>186.56</v>
          </cell>
          <cell r="AH23" t="str">
            <v>191.33</v>
          </cell>
          <cell r="AI23" t="str">
            <v>1.92</v>
          </cell>
          <cell r="AK23" t="str">
            <v>677.86</v>
          </cell>
          <cell r="AL23" t="str">
            <v>6.43</v>
          </cell>
          <cell r="AM23" t="str">
            <v>947.15</v>
          </cell>
          <cell r="AO23" t="str">
            <v>687.8</v>
          </cell>
          <cell r="AP23" t="str">
            <v>5.28</v>
          </cell>
          <cell r="AQ23" t="str">
            <v>957.87</v>
          </cell>
        </row>
        <row r="24">
          <cell r="D24" t="str">
            <v>컴퓨터공학부</v>
          </cell>
          <cell r="E24">
            <v>36</v>
          </cell>
          <cell r="F24">
            <v>90</v>
          </cell>
          <cell r="G24">
            <v>2.5</v>
          </cell>
          <cell r="H24">
            <v>17</v>
          </cell>
          <cell r="I24">
            <v>14</v>
          </cell>
          <cell r="J24">
            <v>14</v>
          </cell>
          <cell r="P24" t="str">
            <v>4.14</v>
          </cell>
          <cell r="Q24" t="str">
            <v>5.79</v>
          </cell>
          <cell r="R24">
            <v>4.43</v>
          </cell>
          <cell r="S24" t="str">
            <v>3.61</v>
          </cell>
          <cell r="T24">
            <v>110.14</v>
          </cell>
          <cell r="U24">
            <v>90.57</v>
          </cell>
          <cell r="V24">
            <v>106.21</v>
          </cell>
          <cell r="W24">
            <v>56.71</v>
          </cell>
          <cell r="X24">
            <v>781.48</v>
          </cell>
          <cell r="Y24">
            <v>755.29</v>
          </cell>
          <cell r="Z24">
            <v>771.26</v>
          </cell>
          <cell r="AA24">
            <v>6.8</v>
          </cell>
          <cell r="AB24">
            <v>3.96</v>
          </cell>
          <cell r="AC24" t="str">
            <v>6.61</v>
          </cell>
          <cell r="AD24" t="str">
            <v>4.95</v>
          </cell>
          <cell r="AE24" t="str">
            <v>0.69</v>
          </cell>
          <cell r="AF24" t="str">
            <v>195.61</v>
          </cell>
          <cell r="AG24" t="str">
            <v>188.49</v>
          </cell>
          <cell r="AH24" t="str">
            <v>191.9</v>
          </cell>
          <cell r="AI24" t="str">
            <v>2.33</v>
          </cell>
          <cell r="AK24" t="str">
            <v>675.29</v>
          </cell>
          <cell r="AL24" t="str">
            <v>6.61</v>
          </cell>
          <cell r="AM24" t="str">
            <v>947.38</v>
          </cell>
          <cell r="AO24" t="str">
            <v>688.97</v>
          </cell>
          <cell r="AP24" t="str">
            <v>5.2</v>
          </cell>
          <cell r="AQ24" t="str">
            <v>960.78</v>
          </cell>
        </row>
        <row r="25">
          <cell r="D25" t="str">
            <v>토목공학과</v>
          </cell>
          <cell r="E25">
            <v>22</v>
          </cell>
          <cell r="F25">
            <v>144</v>
          </cell>
          <cell r="G25">
            <v>6.5454545454545459</v>
          </cell>
          <cell r="H25">
            <v>22</v>
          </cell>
          <cell r="I25">
            <v>12</v>
          </cell>
          <cell r="J25">
            <v>12</v>
          </cell>
          <cell r="P25" t="str">
            <v>4.67</v>
          </cell>
          <cell r="Q25" t="str">
            <v>5.75</v>
          </cell>
          <cell r="R25">
            <v>5.25</v>
          </cell>
          <cell r="S25" t="str">
            <v>4.08</v>
          </cell>
          <cell r="T25">
            <v>104.33</v>
          </cell>
          <cell r="U25">
            <v>92.25</v>
          </cell>
          <cell r="V25">
            <v>94.83</v>
          </cell>
          <cell r="W25">
            <v>54.29</v>
          </cell>
          <cell r="X25">
            <v>788.24</v>
          </cell>
          <cell r="Y25">
            <v>777.77</v>
          </cell>
          <cell r="Z25">
            <v>782.57</v>
          </cell>
          <cell r="AA25">
            <v>3.22</v>
          </cell>
          <cell r="AB25">
            <v>3.26</v>
          </cell>
          <cell r="AC25" t="str">
            <v>4.34</v>
          </cell>
          <cell r="AD25" t="str">
            <v>3.84</v>
          </cell>
          <cell r="AE25" t="str">
            <v>0.34</v>
          </cell>
          <cell r="AF25" t="str">
            <v>193.46</v>
          </cell>
          <cell r="AG25" t="str">
            <v>190.14</v>
          </cell>
          <cell r="AH25" t="str">
            <v>191.4</v>
          </cell>
          <cell r="AI25" t="str">
            <v>1.03</v>
          </cell>
          <cell r="AK25" t="str">
            <v>697.77</v>
          </cell>
          <cell r="AL25" t="str">
            <v>4.34</v>
          </cell>
          <cell r="AM25" t="str">
            <v>970.31</v>
          </cell>
          <cell r="AO25" t="str">
            <v>698.96</v>
          </cell>
          <cell r="AP25" t="str">
            <v>4.22</v>
          </cell>
          <cell r="AQ25" t="str">
            <v>971.04</v>
          </cell>
        </row>
        <row r="26">
          <cell r="D26" t="str">
            <v>항공우주공학과</v>
          </cell>
          <cell r="E26">
            <v>19</v>
          </cell>
          <cell r="F26">
            <v>77</v>
          </cell>
          <cell r="G26">
            <v>4.0526315789473681</v>
          </cell>
          <cell r="H26">
            <v>10</v>
          </cell>
          <cell r="I26">
            <v>6</v>
          </cell>
          <cell r="J26">
            <v>6</v>
          </cell>
          <cell r="P26" t="str">
            <v>3.83</v>
          </cell>
          <cell r="Q26" t="str">
            <v>5.67</v>
          </cell>
          <cell r="R26">
            <v>4.33</v>
          </cell>
          <cell r="S26" t="str">
            <v>2.67</v>
          </cell>
          <cell r="T26">
            <v>113</v>
          </cell>
          <cell r="U26">
            <v>95.17</v>
          </cell>
          <cell r="V26">
            <v>107.5</v>
          </cell>
          <cell r="W26">
            <v>61.42</v>
          </cell>
          <cell r="X26">
            <v>781.43</v>
          </cell>
          <cell r="Y26">
            <v>767.37</v>
          </cell>
          <cell r="Z26">
            <v>775.28</v>
          </cell>
          <cell r="AA26">
            <v>5.89</v>
          </cell>
          <cell r="AB26">
            <v>3.98</v>
          </cell>
          <cell r="AC26" t="str">
            <v>5.31</v>
          </cell>
          <cell r="AD26" t="str">
            <v>4.55</v>
          </cell>
          <cell r="AE26" t="str">
            <v>0.56</v>
          </cell>
          <cell r="AF26" t="str">
            <v>193.07</v>
          </cell>
          <cell r="AG26" t="str">
            <v>187.61</v>
          </cell>
          <cell r="AH26" t="str">
            <v>189.76</v>
          </cell>
          <cell r="AI26" t="str">
            <v>2.19</v>
          </cell>
          <cell r="AK26" t="str">
            <v>687.37</v>
          </cell>
          <cell r="AL26" t="str">
            <v>5.31</v>
          </cell>
          <cell r="AM26" t="str">
            <v>955.09</v>
          </cell>
          <cell r="AO26" t="str">
            <v>689.11</v>
          </cell>
          <cell r="AP26" t="str">
            <v>5.13</v>
          </cell>
          <cell r="AQ26" t="str">
            <v>957.91</v>
          </cell>
        </row>
        <row r="27">
          <cell r="D27" t="str">
            <v>화학공학부</v>
          </cell>
          <cell r="E27">
            <v>47</v>
          </cell>
          <cell r="F27">
            <v>205</v>
          </cell>
          <cell r="G27">
            <v>4.3617021276595747</v>
          </cell>
          <cell r="H27">
            <v>47</v>
          </cell>
          <cell r="I27">
            <v>22</v>
          </cell>
          <cell r="J27">
            <v>22</v>
          </cell>
          <cell r="P27" t="str">
            <v>4.23</v>
          </cell>
          <cell r="Q27" t="str">
            <v>5.32</v>
          </cell>
          <cell r="R27">
            <v>4.5</v>
          </cell>
          <cell r="S27" t="str">
            <v>3.93</v>
          </cell>
          <cell r="T27">
            <v>107.95</v>
          </cell>
          <cell r="U27">
            <v>98.18</v>
          </cell>
          <cell r="V27">
            <v>106.18</v>
          </cell>
          <cell r="W27">
            <v>55.57</v>
          </cell>
          <cell r="X27">
            <v>793.15</v>
          </cell>
          <cell r="Y27">
            <v>784.23</v>
          </cell>
          <cell r="Z27">
            <v>787.83</v>
          </cell>
          <cell r="AA27">
            <v>2.52</v>
          </cell>
          <cell r="AB27">
            <v>2.5</v>
          </cell>
          <cell r="AC27" t="str">
            <v>3.72</v>
          </cell>
          <cell r="AD27" t="str">
            <v>3.19</v>
          </cell>
          <cell r="AE27" t="str">
            <v>0.35</v>
          </cell>
          <cell r="AF27" t="str">
            <v>194.53</v>
          </cell>
          <cell r="AG27" t="str">
            <v>189.84</v>
          </cell>
          <cell r="AH27" t="str">
            <v>192.46</v>
          </cell>
          <cell r="AI27" t="str">
            <v>1.17</v>
          </cell>
          <cell r="AK27" t="str">
            <v>705.27</v>
          </cell>
          <cell r="AL27" t="str">
            <v>3.56</v>
          </cell>
          <cell r="AM27" t="str">
            <v>977.14</v>
          </cell>
          <cell r="AO27" t="str">
            <v>705.07</v>
          </cell>
          <cell r="AP27" t="str">
            <v>3.56</v>
          </cell>
          <cell r="AQ27" t="str">
            <v>977.87</v>
          </cell>
        </row>
        <row r="28">
          <cell r="D28" t="str">
            <v>환경공학과</v>
          </cell>
          <cell r="E28">
            <v>15</v>
          </cell>
          <cell r="F28">
            <v>86</v>
          </cell>
          <cell r="G28">
            <v>5.7333333333333334</v>
          </cell>
          <cell r="H28">
            <v>15</v>
          </cell>
          <cell r="I28">
            <v>11</v>
          </cell>
          <cell r="J28">
            <v>11</v>
          </cell>
          <cell r="P28" t="str">
            <v>4.64</v>
          </cell>
          <cell r="Q28" t="str">
            <v>6</v>
          </cell>
          <cell r="R28">
            <v>5</v>
          </cell>
          <cell r="S28" t="str">
            <v>4.05</v>
          </cell>
          <cell r="T28">
            <v>105.82</v>
          </cell>
          <cell r="U28">
            <v>89.36</v>
          </cell>
          <cell r="V28">
            <v>101.45</v>
          </cell>
          <cell r="W28">
            <v>54.91</v>
          </cell>
          <cell r="X28">
            <v>795.64</v>
          </cell>
          <cell r="Y28">
            <v>774.24</v>
          </cell>
          <cell r="Z28">
            <v>781.7</v>
          </cell>
          <cell r="AA28">
            <v>6.44</v>
          </cell>
          <cell r="AB28">
            <v>1.97</v>
          </cell>
          <cell r="AC28" t="str">
            <v>4.67</v>
          </cell>
          <cell r="AD28" t="str">
            <v>3.87</v>
          </cell>
          <cell r="AE28" t="str">
            <v>0.77</v>
          </cell>
          <cell r="AF28" t="str">
            <v>193.1</v>
          </cell>
          <cell r="AG28" t="str">
            <v>189.62</v>
          </cell>
          <cell r="AH28" t="str">
            <v>191.62</v>
          </cell>
          <cell r="AI28" t="str">
            <v>0.94</v>
          </cell>
          <cell r="AK28" t="str">
            <v>694.24</v>
          </cell>
          <cell r="AL28" t="str">
            <v>4.67</v>
          </cell>
          <cell r="AM28" t="str">
            <v>966.23</v>
          </cell>
          <cell r="AO28" t="str">
            <v>696.74</v>
          </cell>
          <cell r="AP28" t="str">
            <v>4.4</v>
          </cell>
          <cell r="AQ28" t="str">
            <v>969.84</v>
          </cell>
        </row>
        <row r="29">
          <cell r="D29" t="str">
            <v>농생물학과</v>
          </cell>
          <cell r="E29">
            <v>10</v>
          </cell>
          <cell r="F29">
            <v>39</v>
          </cell>
          <cell r="G29">
            <v>3.9</v>
          </cell>
          <cell r="H29">
            <v>10</v>
          </cell>
          <cell r="I29">
            <v>9</v>
          </cell>
          <cell r="J29">
            <v>9</v>
          </cell>
          <cell r="P29" t="str">
            <v>5.11</v>
          </cell>
          <cell r="Q29" t="str">
            <v>6.89</v>
          </cell>
          <cell r="R29">
            <v>5.56</v>
          </cell>
          <cell r="S29" t="str">
            <v>4.72</v>
          </cell>
          <cell r="T29">
            <v>99.78</v>
          </cell>
          <cell r="U29">
            <v>79.33</v>
          </cell>
          <cell r="V29">
            <v>93.44</v>
          </cell>
          <cell r="W29">
            <v>51.44</v>
          </cell>
          <cell r="X29">
            <v>793.78</v>
          </cell>
          <cell r="Y29">
            <v>777.16</v>
          </cell>
          <cell r="Z29">
            <v>785.22</v>
          </cell>
          <cell r="AA29">
            <v>5.63</v>
          </cell>
          <cell r="AB29">
            <v>2.3199999999999998</v>
          </cell>
          <cell r="AC29" t="str">
            <v>4.3</v>
          </cell>
          <cell r="AD29" t="str">
            <v>3.44</v>
          </cell>
          <cell r="AE29" t="str">
            <v>0.67</v>
          </cell>
          <cell r="AF29" t="str">
            <v>195.85</v>
          </cell>
          <cell r="AG29" t="str">
            <v>184.06</v>
          </cell>
          <cell r="AH29" t="str">
            <v>190.86</v>
          </cell>
          <cell r="AI29" t="str">
            <v>3.79</v>
          </cell>
          <cell r="AK29" t="str">
            <v>697.16</v>
          </cell>
          <cell r="AL29" t="str">
            <v>4.3</v>
          </cell>
          <cell r="AM29" t="str">
            <v>968.3</v>
          </cell>
          <cell r="AO29" t="str">
            <v>701.28</v>
          </cell>
          <cell r="AP29" t="str">
            <v>3.98</v>
          </cell>
          <cell r="AQ29" t="str">
            <v>972.8</v>
          </cell>
        </row>
        <row r="30">
          <cell r="D30" t="str">
            <v>농업경제학과</v>
          </cell>
          <cell r="E30">
            <v>10</v>
          </cell>
          <cell r="F30">
            <v>114</v>
          </cell>
          <cell r="G30">
            <v>11.4</v>
          </cell>
          <cell r="H30">
            <v>10</v>
          </cell>
          <cell r="I30">
            <v>8</v>
          </cell>
          <cell r="J30">
            <v>8</v>
          </cell>
          <cell r="P30" t="str">
            <v>4.25</v>
          </cell>
          <cell r="Q30" t="str">
            <v>4.63</v>
          </cell>
          <cell r="R30">
            <v>4.38</v>
          </cell>
          <cell r="S30" t="str">
            <v>3.31</v>
          </cell>
          <cell r="T30">
            <v>111.13</v>
          </cell>
          <cell r="U30">
            <v>101.63</v>
          </cell>
          <cell r="V30">
            <v>105.38</v>
          </cell>
          <cell r="W30">
            <v>58.69</v>
          </cell>
          <cell r="X30">
            <v>789.95</v>
          </cell>
          <cell r="Y30">
            <v>778.48</v>
          </cell>
          <cell r="Z30">
            <v>782.2</v>
          </cell>
          <cell r="AA30">
            <v>4.2300000000000004</v>
          </cell>
          <cell r="AB30">
            <v>2.88</v>
          </cell>
          <cell r="AC30" t="str">
            <v>4.24</v>
          </cell>
          <cell r="AD30" t="str">
            <v>3.83</v>
          </cell>
          <cell r="AE30" t="str">
            <v>0.5</v>
          </cell>
          <cell r="AF30" t="str">
            <v>191.58</v>
          </cell>
          <cell r="AG30" t="str">
            <v>190.13</v>
          </cell>
          <cell r="AH30" t="str">
            <v>190.92</v>
          </cell>
          <cell r="AI30" t="str">
            <v>0.44</v>
          </cell>
          <cell r="AK30" t="str">
            <v>698.48</v>
          </cell>
          <cell r="AL30" t="str">
            <v>4.24</v>
          </cell>
          <cell r="AM30" t="str">
            <v>969.81</v>
          </cell>
          <cell r="AO30" t="str">
            <v>698.64</v>
          </cell>
          <cell r="AP30" t="str">
            <v>4.22</v>
          </cell>
          <cell r="AQ30" t="str">
            <v>970.22</v>
          </cell>
        </row>
        <row r="31">
          <cell r="D31" t="str">
            <v>동물생명공학과</v>
          </cell>
          <cell r="E31">
            <v>11</v>
          </cell>
          <cell r="F31">
            <v>67</v>
          </cell>
          <cell r="G31">
            <v>6.0909090909090908</v>
          </cell>
          <cell r="H31">
            <v>8</v>
          </cell>
          <cell r="I31">
            <v>6</v>
          </cell>
          <cell r="J31">
            <v>6</v>
          </cell>
          <cell r="P31" t="str">
            <v>4.33</v>
          </cell>
          <cell r="Q31" t="str">
            <v>5</v>
          </cell>
          <cell r="R31">
            <v>5</v>
          </cell>
          <cell r="S31" t="str">
            <v>4</v>
          </cell>
          <cell r="T31">
            <v>106.5</v>
          </cell>
          <cell r="U31">
            <v>100.67</v>
          </cell>
          <cell r="V31">
            <v>102.83</v>
          </cell>
          <cell r="W31">
            <v>54.83</v>
          </cell>
          <cell r="X31">
            <v>773.93</v>
          </cell>
          <cell r="Y31">
            <v>766.19</v>
          </cell>
          <cell r="Z31">
            <v>771.39</v>
          </cell>
          <cell r="AA31">
            <v>2.85</v>
          </cell>
          <cell r="AB31">
            <v>4.66</v>
          </cell>
          <cell r="AC31" t="str">
            <v>5.41</v>
          </cell>
          <cell r="AD31" t="str">
            <v>4.92</v>
          </cell>
          <cell r="AE31" t="str">
            <v>0.27</v>
          </cell>
          <cell r="AF31" t="str">
            <v>193.66</v>
          </cell>
          <cell r="AG31" t="str">
            <v>189.31</v>
          </cell>
          <cell r="AH31" t="str">
            <v>191.56</v>
          </cell>
          <cell r="AI31" t="str">
            <v>1.62</v>
          </cell>
          <cell r="AK31" t="str">
            <v>686.19</v>
          </cell>
          <cell r="AL31" t="str">
            <v>5.41</v>
          </cell>
          <cell r="AM31" t="str">
            <v>959.85</v>
          </cell>
          <cell r="AO31" t="str">
            <v>690.51</v>
          </cell>
          <cell r="AP31" t="str">
            <v>5</v>
          </cell>
          <cell r="AQ31" t="str">
            <v>962.72</v>
          </cell>
        </row>
        <row r="32">
          <cell r="D32" t="str">
            <v>동물소재공학과</v>
          </cell>
          <cell r="E32">
            <v>11</v>
          </cell>
          <cell r="F32">
            <v>65</v>
          </cell>
          <cell r="G32">
            <v>5.9090909090909092</v>
          </cell>
          <cell r="H32">
            <v>11</v>
          </cell>
          <cell r="I32">
            <v>10</v>
          </cell>
          <cell r="J32">
            <v>10</v>
          </cell>
          <cell r="P32" t="str">
            <v>4.6</v>
          </cell>
          <cell r="Q32" t="str">
            <v>4.4</v>
          </cell>
          <cell r="R32">
            <v>5.6</v>
          </cell>
          <cell r="S32" t="str">
            <v>3.6</v>
          </cell>
          <cell r="T32">
            <v>105.7</v>
          </cell>
          <cell r="U32">
            <v>105.8</v>
          </cell>
          <cell r="V32">
            <v>92</v>
          </cell>
          <cell r="W32">
            <v>56.85</v>
          </cell>
          <cell r="X32">
            <v>780.94</v>
          </cell>
          <cell r="Y32">
            <v>761.16</v>
          </cell>
          <cell r="Z32">
            <v>766.47</v>
          </cell>
          <cell r="AA32">
            <v>6.27</v>
          </cell>
          <cell r="AB32">
            <v>4</v>
          </cell>
          <cell r="AC32" t="str">
            <v>5.98</v>
          </cell>
          <cell r="AD32" t="str">
            <v>5.42</v>
          </cell>
          <cell r="AE32" t="str">
            <v>0.61</v>
          </cell>
          <cell r="AF32" t="str">
            <v>193.49</v>
          </cell>
          <cell r="AG32" t="str">
            <v>189.61</v>
          </cell>
          <cell r="AH32" t="str">
            <v>191.36</v>
          </cell>
          <cell r="AI32" t="str">
            <v>1.55</v>
          </cell>
          <cell r="AK32" t="str">
            <v>681.16</v>
          </cell>
          <cell r="AL32" t="str">
            <v>5.98</v>
          </cell>
          <cell r="AM32" t="str">
            <v>950.77</v>
          </cell>
          <cell r="AO32" t="str">
            <v>681.73</v>
          </cell>
          <cell r="AP32" t="str">
            <v>5.87</v>
          </cell>
          <cell r="AQ32" t="str">
            <v>953.28</v>
          </cell>
        </row>
        <row r="33">
          <cell r="D33" t="str">
            <v>목재응용과학과</v>
          </cell>
          <cell r="E33">
            <v>8</v>
          </cell>
          <cell r="F33">
            <v>19</v>
          </cell>
          <cell r="G33">
            <v>2.375</v>
          </cell>
          <cell r="H33">
            <v>3</v>
          </cell>
          <cell r="I33">
            <v>3</v>
          </cell>
          <cell r="J33">
            <v>3</v>
          </cell>
          <cell r="P33" t="str">
            <v>5</v>
          </cell>
          <cell r="Q33" t="str">
            <v>7.33</v>
          </cell>
          <cell r="R33">
            <v>5</v>
          </cell>
          <cell r="S33" t="str">
            <v>4.5</v>
          </cell>
          <cell r="T33">
            <v>98</v>
          </cell>
          <cell r="U33">
            <v>76.67</v>
          </cell>
          <cell r="V33">
            <v>99.33</v>
          </cell>
          <cell r="W33">
            <v>52.33</v>
          </cell>
          <cell r="X33">
            <v>764.02</v>
          </cell>
          <cell r="Y33">
            <v>750.42</v>
          </cell>
          <cell r="Z33">
            <v>756.58</v>
          </cell>
          <cell r="AA33">
            <v>6.89</v>
          </cell>
          <cell r="AB33">
            <v>5.62</v>
          </cell>
          <cell r="AC33" t="str">
            <v>7.24</v>
          </cell>
          <cell r="AD33" t="str">
            <v>6.47</v>
          </cell>
          <cell r="AE33" t="str">
            <v>0.81</v>
          </cell>
          <cell r="AF33" t="str">
            <v>194.18</v>
          </cell>
          <cell r="AG33" t="str">
            <v>191.07</v>
          </cell>
          <cell r="AH33" t="str">
            <v>192.91</v>
          </cell>
          <cell r="AI33" t="str">
            <v>1.63</v>
          </cell>
          <cell r="AK33" t="str">
            <v>670.42</v>
          </cell>
          <cell r="AL33" t="str">
            <v>7.24</v>
          </cell>
          <cell r="AM33" t="str">
            <v>943.91</v>
          </cell>
          <cell r="AO33" t="str">
            <v>675.29</v>
          </cell>
          <cell r="AP33" t="str">
            <v>6.54</v>
          </cell>
          <cell r="AQ33" t="str">
            <v>949.47</v>
          </cell>
        </row>
        <row r="34">
          <cell r="D34" t="str">
            <v>산림자원학과</v>
          </cell>
          <cell r="E34">
            <v>11</v>
          </cell>
          <cell r="F34">
            <v>81</v>
          </cell>
          <cell r="G34">
            <v>7.3636363636363633</v>
          </cell>
          <cell r="H34">
            <v>11</v>
          </cell>
          <cell r="I34">
            <v>3</v>
          </cell>
          <cell r="J34">
            <v>3</v>
          </cell>
          <cell r="P34" t="str">
            <v>4.67</v>
          </cell>
          <cell r="Q34" t="str">
            <v>5.67</v>
          </cell>
          <cell r="R34">
            <v>6.33</v>
          </cell>
          <cell r="S34" t="str">
            <v>3.17</v>
          </cell>
          <cell r="T34">
            <v>105</v>
          </cell>
          <cell r="U34">
            <v>88.33</v>
          </cell>
          <cell r="V34">
            <v>86.33</v>
          </cell>
          <cell r="W34">
            <v>58.5</v>
          </cell>
          <cell r="X34">
            <v>788.27</v>
          </cell>
          <cell r="Y34">
            <v>784.15</v>
          </cell>
          <cell r="Z34">
            <v>785.71</v>
          </cell>
          <cell r="AA34">
            <v>2.23</v>
          </cell>
          <cell r="AB34">
            <v>3.04</v>
          </cell>
          <cell r="AC34" t="str">
            <v>3.64</v>
          </cell>
          <cell r="AD34" t="str">
            <v>3.42</v>
          </cell>
          <cell r="AE34" t="str">
            <v>0.33</v>
          </cell>
          <cell r="AF34" t="str">
            <v>192.27</v>
          </cell>
          <cell r="AG34" t="str">
            <v>190.31</v>
          </cell>
          <cell r="AH34" t="str">
            <v>191.29</v>
          </cell>
          <cell r="AI34" t="str">
            <v>0.98</v>
          </cell>
          <cell r="AK34" t="str">
            <v>704.72</v>
          </cell>
          <cell r="AL34" t="str">
            <v>3.59</v>
          </cell>
          <cell r="AM34" t="str">
            <v>976.01</v>
          </cell>
          <cell r="AO34" t="str">
            <v>704.15</v>
          </cell>
          <cell r="AP34" t="str">
            <v>3.64</v>
          </cell>
          <cell r="AQ34" t="str">
            <v>976.42</v>
          </cell>
        </row>
        <row r="35">
          <cell r="D35" t="str">
            <v>생물산업기계공학과</v>
          </cell>
          <cell r="E35">
            <v>8</v>
          </cell>
          <cell r="F35">
            <v>23</v>
          </cell>
          <cell r="G35">
            <v>2.875</v>
          </cell>
          <cell r="H35">
            <v>8</v>
          </cell>
          <cell r="I35">
            <v>8</v>
          </cell>
          <cell r="J35">
            <v>8</v>
          </cell>
          <cell r="P35" t="str">
            <v>5.25</v>
          </cell>
          <cell r="Q35" t="str">
            <v>6.88</v>
          </cell>
          <cell r="R35">
            <v>5.75</v>
          </cell>
          <cell r="S35" t="str">
            <v>4.75</v>
          </cell>
          <cell r="T35">
            <v>97.5</v>
          </cell>
          <cell r="U35">
            <v>78.5</v>
          </cell>
          <cell r="V35">
            <v>92.13</v>
          </cell>
          <cell r="W35">
            <v>50.88</v>
          </cell>
          <cell r="X35">
            <v>778.53</v>
          </cell>
          <cell r="Y35">
            <v>758.41</v>
          </cell>
          <cell r="Z35">
            <v>766.16</v>
          </cell>
          <cell r="AA35">
            <v>7.52</v>
          </cell>
          <cell r="AB35">
            <v>4.25</v>
          </cell>
          <cell r="AC35" t="str">
            <v>6.2</v>
          </cell>
          <cell r="AD35" t="str">
            <v>5.45</v>
          </cell>
          <cell r="AE35" t="str">
            <v>0.73</v>
          </cell>
          <cell r="AF35" t="str">
            <v>194.58</v>
          </cell>
          <cell r="AG35" t="str">
            <v>190.47</v>
          </cell>
          <cell r="AH35" t="str">
            <v>192.5</v>
          </cell>
          <cell r="AI35" t="str">
            <v>1.71</v>
          </cell>
          <cell r="AK35" t="str">
            <v>679.27</v>
          </cell>
          <cell r="AL35" t="str">
            <v>6.08</v>
          </cell>
          <cell r="AM35" t="str">
            <v>949.74</v>
          </cell>
          <cell r="AO35" t="str">
            <v>681.41</v>
          </cell>
          <cell r="AP35" t="str">
            <v>5.88</v>
          </cell>
          <cell r="AQ35" t="str">
            <v>953.06</v>
          </cell>
        </row>
        <row r="36">
          <cell r="D36" t="str">
            <v>생물환경화학과</v>
          </cell>
          <cell r="E36">
            <v>14</v>
          </cell>
          <cell r="F36">
            <v>75</v>
          </cell>
          <cell r="G36">
            <v>5.3571428571428568</v>
          </cell>
          <cell r="H36">
            <v>14</v>
          </cell>
          <cell r="I36">
            <v>12</v>
          </cell>
          <cell r="J36">
            <v>12</v>
          </cell>
          <cell r="P36" t="str">
            <v>4.67</v>
          </cell>
          <cell r="Q36" t="str">
            <v>5.08</v>
          </cell>
          <cell r="R36">
            <v>5.25</v>
          </cell>
          <cell r="S36" t="str">
            <v>4.25</v>
          </cell>
          <cell r="T36">
            <v>104.42</v>
          </cell>
          <cell r="U36">
            <v>95.67</v>
          </cell>
          <cell r="V36">
            <v>95.58</v>
          </cell>
          <cell r="W36">
            <v>53.83</v>
          </cell>
          <cell r="X36">
            <v>787.2</v>
          </cell>
          <cell r="Y36">
            <v>766.32</v>
          </cell>
          <cell r="Z36">
            <v>775.99</v>
          </cell>
          <cell r="AA36">
            <v>6.95</v>
          </cell>
          <cell r="AB36">
            <v>3.2</v>
          </cell>
          <cell r="AC36" t="str">
            <v>5.46</v>
          </cell>
          <cell r="AD36" t="str">
            <v>4.45</v>
          </cell>
          <cell r="AE36" t="str">
            <v>0.73</v>
          </cell>
          <cell r="AF36" t="str">
            <v>198.67</v>
          </cell>
          <cell r="AG36" t="str">
            <v>188.82</v>
          </cell>
          <cell r="AH36" t="str">
            <v>192.5</v>
          </cell>
          <cell r="AI36" t="str">
            <v>2.95</v>
          </cell>
          <cell r="AK36" t="str">
            <v>686.32</v>
          </cell>
          <cell r="AL36" t="str">
            <v>5.46</v>
          </cell>
          <cell r="AM36" t="str">
            <v>958.91</v>
          </cell>
          <cell r="AO36" t="str">
            <v>686.48</v>
          </cell>
          <cell r="AP36" t="str">
            <v>5.45</v>
          </cell>
          <cell r="AQ36" t="str">
            <v>961.1</v>
          </cell>
        </row>
        <row r="37">
          <cell r="D37" t="str">
            <v>식품공학과</v>
          </cell>
          <cell r="E37">
            <v>13</v>
          </cell>
          <cell r="F37">
            <v>148</v>
          </cell>
          <cell r="G37">
            <v>11.384615384615385</v>
          </cell>
          <cell r="H37">
            <v>13</v>
          </cell>
          <cell r="I37">
            <v>7</v>
          </cell>
          <cell r="J37">
            <v>7</v>
          </cell>
          <cell r="P37" t="str">
            <v>4.86</v>
          </cell>
          <cell r="Q37" t="str">
            <v>4.71</v>
          </cell>
          <cell r="R37">
            <v>5.43</v>
          </cell>
          <cell r="S37" t="str">
            <v>4.07</v>
          </cell>
          <cell r="T37">
            <v>101.43</v>
          </cell>
          <cell r="U37">
            <v>102.43</v>
          </cell>
          <cell r="V37">
            <v>94.71</v>
          </cell>
          <cell r="W37">
            <v>54.29</v>
          </cell>
          <cell r="X37">
            <v>792.9</v>
          </cell>
          <cell r="Y37">
            <v>785.07</v>
          </cell>
          <cell r="Z37">
            <v>788.83</v>
          </cell>
          <cell r="AA37">
            <v>3</v>
          </cell>
          <cell r="AB37">
            <v>2.4300000000000002</v>
          </cell>
          <cell r="AC37" t="str">
            <v>3.51</v>
          </cell>
          <cell r="AD37" t="str">
            <v>3.07</v>
          </cell>
          <cell r="AE37" t="str">
            <v>0.42</v>
          </cell>
          <cell r="AF37" t="str">
            <v>193.23</v>
          </cell>
          <cell r="AG37" t="str">
            <v>189.36</v>
          </cell>
          <cell r="AH37" t="str">
            <v>191.14</v>
          </cell>
          <cell r="AI37" t="str">
            <v>1.25</v>
          </cell>
          <cell r="AK37" t="str">
            <v>706.39</v>
          </cell>
          <cell r="AL37" t="str">
            <v>3.27</v>
          </cell>
          <cell r="AM37" t="str">
            <v>976.66</v>
          </cell>
          <cell r="AO37" t="str">
            <v>705.07</v>
          </cell>
          <cell r="AP37" t="str">
            <v>3.51</v>
          </cell>
          <cell r="AQ37" t="str">
            <v>976.71</v>
          </cell>
        </row>
        <row r="38">
          <cell r="D38" t="str">
            <v>원예학과</v>
          </cell>
          <cell r="E38">
            <v>12</v>
          </cell>
          <cell r="F38">
            <v>136</v>
          </cell>
          <cell r="G38">
            <v>11.333333333333334</v>
          </cell>
          <cell r="H38">
            <v>12</v>
          </cell>
          <cell r="I38">
            <v>10</v>
          </cell>
          <cell r="J38">
            <v>10</v>
          </cell>
          <cell r="P38" t="str">
            <v>5.2</v>
          </cell>
          <cell r="Q38" t="str">
            <v>6.1</v>
          </cell>
          <cell r="R38">
            <v>5.7</v>
          </cell>
          <cell r="S38" t="str">
            <v>3.85</v>
          </cell>
          <cell r="T38">
            <v>100.3</v>
          </cell>
          <cell r="U38">
            <v>88.7</v>
          </cell>
          <cell r="V38">
            <v>91.8</v>
          </cell>
          <cell r="W38">
            <v>55.6</v>
          </cell>
          <cell r="X38">
            <v>789.06</v>
          </cell>
          <cell r="Y38">
            <v>774.71</v>
          </cell>
          <cell r="Z38">
            <v>778.89</v>
          </cell>
          <cell r="AA38">
            <v>4.17</v>
          </cell>
          <cell r="AB38">
            <v>2.9</v>
          </cell>
          <cell r="AC38" t="str">
            <v>4.58</v>
          </cell>
          <cell r="AD38" t="str">
            <v>4.16</v>
          </cell>
          <cell r="AE38" t="str">
            <v>0.5</v>
          </cell>
          <cell r="AF38" t="str">
            <v>192.92</v>
          </cell>
          <cell r="AG38" t="str">
            <v>190.24</v>
          </cell>
          <cell r="AH38" t="str">
            <v>191.59</v>
          </cell>
          <cell r="AI38" t="str">
            <v>1.02</v>
          </cell>
          <cell r="AK38" t="str">
            <v>696.51</v>
          </cell>
          <cell r="AL38" t="str">
            <v>4.48</v>
          </cell>
          <cell r="AM38" t="str">
            <v>966.75</v>
          </cell>
          <cell r="AO38" t="str">
            <v>696.7</v>
          </cell>
          <cell r="AP38" t="str">
            <v>4.44</v>
          </cell>
          <cell r="AQ38" t="str">
            <v>967.2</v>
          </cell>
        </row>
        <row r="39">
          <cell r="D39" t="str">
            <v>작물생명과학과</v>
          </cell>
          <cell r="E39">
            <v>11</v>
          </cell>
          <cell r="F39">
            <v>53</v>
          </cell>
          <cell r="G39">
            <v>4.8181818181818183</v>
          </cell>
          <cell r="H39">
            <v>11</v>
          </cell>
          <cell r="I39">
            <v>10</v>
          </cell>
          <cell r="J39">
            <v>10</v>
          </cell>
          <cell r="P39" t="str">
            <v>5.9</v>
          </cell>
          <cell r="Q39" t="str">
            <v>7.2</v>
          </cell>
          <cell r="R39">
            <v>6.4</v>
          </cell>
          <cell r="S39" t="str">
            <v>5.35</v>
          </cell>
          <cell r="T39">
            <v>91.9</v>
          </cell>
          <cell r="U39">
            <v>74.8</v>
          </cell>
          <cell r="V39">
            <v>85.3</v>
          </cell>
          <cell r="W39">
            <v>46.85</v>
          </cell>
          <cell r="X39">
            <v>786.99</v>
          </cell>
          <cell r="Y39">
            <v>769.19</v>
          </cell>
          <cell r="Z39">
            <v>775.72</v>
          </cell>
          <cell r="AA39">
            <v>5.67</v>
          </cell>
          <cell r="AB39">
            <v>3.14</v>
          </cell>
          <cell r="AC39" t="str">
            <v>5.14</v>
          </cell>
          <cell r="AD39" t="str">
            <v>4.48</v>
          </cell>
          <cell r="AE39" t="str">
            <v>0.63</v>
          </cell>
          <cell r="AF39" t="str">
            <v>195.54</v>
          </cell>
          <cell r="AG39" t="str">
            <v>186.86</v>
          </cell>
          <cell r="AH39" t="str">
            <v>191.97</v>
          </cell>
          <cell r="AI39" t="str">
            <v>2.67</v>
          </cell>
          <cell r="AK39" t="str">
            <v>689.19</v>
          </cell>
          <cell r="AL39" t="str">
            <v>5.14</v>
          </cell>
          <cell r="AM39" t="str">
            <v>961.3</v>
          </cell>
          <cell r="AO39" t="str">
            <v>694.04</v>
          </cell>
          <cell r="AP39" t="str">
            <v>4.67</v>
          </cell>
          <cell r="AQ39" t="str">
            <v>964.54</v>
          </cell>
        </row>
        <row r="40">
          <cell r="D40" t="str">
            <v>조경학과</v>
          </cell>
          <cell r="E40">
            <v>8</v>
          </cell>
          <cell r="F40">
            <v>121</v>
          </cell>
          <cell r="G40">
            <v>15.125</v>
          </cell>
          <cell r="H40">
            <v>8</v>
          </cell>
          <cell r="I40">
            <v>5</v>
          </cell>
          <cell r="J40">
            <v>5</v>
          </cell>
          <cell r="P40" t="str">
            <v>5.2</v>
          </cell>
          <cell r="Q40" t="str">
            <v>5.8</v>
          </cell>
          <cell r="R40">
            <v>5.6</v>
          </cell>
          <cell r="S40" t="str">
            <v>4.2</v>
          </cell>
          <cell r="T40">
            <v>98.6</v>
          </cell>
          <cell r="U40">
            <v>89.4</v>
          </cell>
          <cell r="V40">
            <v>95</v>
          </cell>
          <cell r="W40">
            <v>54</v>
          </cell>
          <cell r="X40">
            <v>792.86</v>
          </cell>
          <cell r="Y40">
            <v>787.84</v>
          </cell>
          <cell r="Z40">
            <v>790.16</v>
          </cell>
          <cell r="AA40">
            <v>2.1</v>
          </cell>
          <cell r="AB40">
            <v>2.44</v>
          </cell>
          <cell r="AC40" t="str">
            <v>3.21</v>
          </cell>
          <cell r="AD40" t="str">
            <v>2.84</v>
          </cell>
          <cell r="AE40" t="str">
            <v>0.32</v>
          </cell>
          <cell r="AF40" t="str">
            <v>191.5</v>
          </cell>
          <cell r="AG40" t="str">
            <v>190.73</v>
          </cell>
          <cell r="AH40" t="str">
            <v>191.17</v>
          </cell>
          <cell r="AI40" t="str">
            <v>0.32</v>
          </cell>
          <cell r="AK40" t="str">
            <v>707.84</v>
          </cell>
          <cell r="AL40" t="str">
            <v>3.21</v>
          </cell>
          <cell r="AM40" t="str">
            <v>979.25</v>
          </cell>
          <cell r="AO40" t="str">
            <v>708.38</v>
          </cell>
          <cell r="AP40" t="str">
            <v>3.12</v>
          </cell>
          <cell r="AQ40" t="str">
            <v>979.36</v>
          </cell>
        </row>
        <row r="41">
          <cell r="D41" t="str">
            <v>지역건설공학과</v>
          </cell>
          <cell r="E41">
            <v>8</v>
          </cell>
          <cell r="F41">
            <v>24</v>
          </cell>
          <cell r="G41">
            <v>3</v>
          </cell>
          <cell r="H41">
            <v>8</v>
          </cell>
          <cell r="I41">
            <v>8</v>
          </cell>
          <cell r="J41">
            <v>8</v>
          </cell>
          <cell r="P41" t="str">
            <v>5.88</v>
          </cell>
          <cell r="Q41" t="str">
            <v>6.75</v>
          </cell>
          <cell r="R41">
            <v>5.88</v>
          </cell>
          <cell r="S41" t="str">
            <v>5.13</v>
          </cell>
          <cell r="T41">
            <v>92.75</v>
          </cell>
          <cell r="U41">
            <v>81.25</v>
          </cell>
          <cell r="V41">
            <v>93.13</v>
          </cell>
          <cell r="W41">
            <v>47.81</v>
          </cell>
          <cell r="X41">
            <v>771.54</v>
          </cell>
          <cell r="Y41">
            <v>752.64</v>
          </cell>
          <cell r="Z41">
            <v>764.76</v>
          </cell>
          <cell r="AA41">
            <v>6.83</v>
          </cell>
          <cell r="AB41">
            <v>4.92</v>
          </cell>
          <cell r="AC41" t="str">
            <v>6.88</v>
          </cell>
          <cell r="AD41" t="str">
            <v>5.6</v>
          </cell>
          <cell r="AE41" t="str">
            <v>0.71</v>
          </cell>
          <cell r="AF41" t="str">
            <v>196.79</v>
          </cell>
          <cell r="AG41" t="str">
            <v>187.37</v>
          </cell>
          <cell r="AH41" t="str">
            <v>191.04</v>
          </cell>
          <cell r="AI41" t="str">
            <v>3.31</v>
          </cell>
          <cell r="AK41" t="str">
            <v>672.64</v>
          </cell>
          <cell r="AL41" t="str">
            <v>6.88</v>
          </cell>
          <cell r="AM41" t="str">
            <v>942.99</v>
          </cell>
          <cell r="AO41" t="str">
            <v>686.09</v>
          </cell>
          <cell r="AP41" t="str">
            <v>5.5</v>
          </cell>
          <cell r="AQ41" t="str">
            <v>953.46</v>
          </cell>
        </row>
        <row r="42">
          <cell r="D42" t="str">
            <v>과학교육학부(물리교육)</v>
          </cell>
          <cell r="E42">
            <v>8</v>
          </cell>
          <cell r="F42">
            <v>41</v>
          </cell>
          <cell r="G42">
            <v>5.125</v>
          </cell>
          <cell r="H42">
            <v>8</v>
          </cell>
          <cell r="I42">
            <v>4</v>
          </cell>
          <cell r="J42">
            <v>4</v>
          </cell>
          <cell r="P42" t="str">
            <v>3.5</v>
          </cell>
          <cell r="Q42" t="str">
            <v>4.5</v>
          </cell>
          <cell r="R42">
            <v>3.75</v>
          </cell>
          <cell r="S42" t="str">
            <v>2.38</v>
          </cell>
          <cell r="T42">
            <v>113</v>
          </cell>
          <cell r="U42">
            <v>103</v>
          </cell>
          <cell r="V42">
            <v>112.75</v>
          </cell>
          <cell r="W42">
            <v>63.75</v>
          </cell>
          <cell r="X42">
            <v>792.43</v>
          </cell>
          <cell r="Y42">
            <v>788.87</v>
          </cell>
          <cell r="Z42">
            <v>790.85</v>
          </cell>
          <cell r="AA42">
            <v>1.69</v>
          </cell>
          <cell r="AB42">
            <v>2.57</v>
          </cell>
          <cell r="AC42" t="str">
            <v>2.97</v>
          </cell>
          <cell r="AD42" t="str">
            <v>2.79</v>
          </cell>
          <cell r="AE42" t="str">
            <v>0.2</v>
          </cell>
          <cell r="AF42" t="str">
            <v>192.33</v>
          </cell>
          <cell r="AG42" t="str">
            <v>189.26</v>
          </cell>
          <cell r="AH42" t="str">
            <v>191.02</v>
          </cell>
          <cell r="AI42" t="str">
            <v>1.5</v>
          </cell>
          <cell r="AK42" t="str">
            <v>710.04</v>
          </cell>
          <cell r="AL42" t="str">
            <v>2.94</v>
          </cell>
          <cell r="AM42" t="str">
            <v>980.32</v>
          </cell>
          <cell r="AO42" t="str">
            <v>708.87</v>
          </cell>
          <cell r="AP42" t="str">
            <v>2.97</v>
          </cell>
          <cell r="AQ42" t="str">
            <v>981.07</v>
          </cell>
        </row>
        <row r="43">
          <cell r="D43" t="str">
            <v>과학교육학부(생물교육)</v>
          </cell>
          <cell r="E43">
            <v>8</v>
          </cell>
          <cell r="F43">
            <v>59</v>
          </cell>
          <cell r="G43">
            <v>7.375</v>
          </cell>
          <cell r="H43">
            <v>8</v>
          </cell>
          <cell r="I43">
            <v>3</v>
          </cell>
          <cell r="J43">
            <v>2</v>
          </cell>
          <cell r="P43" t="str">
            <v>2.5</v>
          </cell>
          <cell r="Q43" t="str">
            <v>4.5</v>
          </cell>
          <cell r="R43">
            <v>3.5</v>
          </cell>
          <cell r="S43" t="str">
            <v>1.5</v>
          </cell>
          <cell r="T43">
            <v>122.5</v>
          </cell>
          <cell r="U43">
            <v>105</v>
          </cell>
          <cell r="V43">
            <v>110.5</v>
          </cell>
          <cell r="W43">
            <v>65.75</v>
          </cell>
          <cell r="X43">
            <v>796.38</v>
          </cell>
          <cell r="Y43">
            <v>792.7</v>
          </cell>
          <cell r="Z43">
            <v>794.54</v>
          </cell>
          <cell r="AA43">
            <v>2.6</v>
          </cell>
          <cell r="AB43">
            <v>1.89</v>
          </cell>
          <cell r="AC43" t="str">
            <v>2.62</v>
          </cell>
          <cell r="AD43" t="str">
            <v>2.26</v>
          </cell>
          <cell r="AE43" t="str">
            <v>0.52</v>
          </cell>
          <cell r="AF43" t="str">
            <v>191.78</v>
          </cell>
          <cell r="AG43" t="str">
            <v>191.3</v>
          </cell>
          <cell r="AH43" t="str">
            <v>191.54</v>
          </cell>
          <cell r="AI43" t="str">
            <v>0.34</v>
          </cell>
          <cell r="AK43" t="str">
            <v>712.7</v>
          </cell>
          <cell r="AL43" t="str">
            <v>2.62</v>
          </cell>
          <cell r="AM43" t="str">
            <v>984</v>
          </cell>
          <cell r="AO43" t="str">
            <v>712.7</v>
          </cell>
          <cell r="AP43" t="str">
            <v>2.62</v>
          </cell>
          <cell r="AQ43" t="str">
            <v>984</v>
          </cell>
        </row>
        <row r="44">
          <cell r="D44" t="str">
            <v>과학교육학부(지구과학교육)</v>
          </cell>
          <cell r="E44">
            <v>8</v>
          </cell>
          <cell r="F44">
            <v>98</v>
          </cell>
          <cell r="G44">
            <v>12.25</v>
          </cell>
          <cell r="H44">
            <v>9</v>
          </cell>
          <cell r="I44">
            <v>3</v>
          </cell>
          <cell r="J44">
            <v>3</v>
          </cell>
          <cell r="P44" t="str">
            <v>3.67</v>
          </cell>
          <cell r="Q44" t="str">
            <v>6.33</v>
          </cell>
          <cell r="R44">
            <v>3.67</v>
          </cell>
          <cell r="S44" t="str">
            <v>2.17</v>
          </cell>
          <cell r="T44">
            <v>113.67</v>
          </cell>
          <cell r="U44">
            <v>86.33</v>
          </cell>
          <cell r="V44">
            <v>118.67</v>
          </cell>
          <cell r="W44">
            <v>63.67</v>
          </cell>
          <cell r="X44">
            <v>798.05</v>
          </cell>
          <cell r="Y44">
            <v>793.22</v>
          </cell>
          <cell r="Z44">
            <v>796.14</v>
          </cell>
          <cell r="AA44">
            <v>2.57</v>
          </cell>
          <cell r="AB44">
            <v>1.56</v>
          </cell>
          <cell r="AC44" t="str">
            <v>2.48</v>
          </cell>
          <cell r="AD44" t="str">
            <v>1.91</v>
          </cell>
          <cell r="AE44" t="str">
            <v>0.5</v>
          </cell>
          <cell r="AF44" t="str">
            <v>192.38</v>
          </cell>
          <cell r="AG44" t="str">
            <v>190.37</v>
          </cell>
          <cell r="AH44" t="str">
            <v>191.59</v>
          </cell>
          <cell r="AI44" t="str">
            <v>1.07</v>
          </cell>
          <cell r="AK44" t="str">
            <v>713.22</v>
          </cell>
          <cell r="AL44" t="str">
            <v>2.48</v>
          </cell>
          <cell r="AM44" t="str">
            <v>985.23</v>
          </cell>
          <cell r="AO44" t="str">
            <v>718.05</v>
          </cell>
          <cell r="AP44" t="str">
            <v>1.56</v>
          </cell>
          <cell r="AQ44" t="str">
            <v>988.42</v>
          </cell>
        </row>
        <row r="45">
          <cell r="D45" t="str">
            <v>과학교육학부(화학교육)</v>
          </cell>
          <cell r="E45">
            <v>8</v>
          </cell>
          <cell r="F45">
            <v>50</v>
          </cell>
          <cell r="G45">
            <v>6.25</v>
          </cell>
          <cell r="H45">
            <v>8</v>
          </cell>
          <cell r="I45">
            <v>4</v>
          </cell>
          <cell r="J45">
            <v>4</v>
          </cell>
          <cell r="P45" t="str">
            <v>3.5</v>
          </cell>
          <cell r="Q45" t="str">
            <v>4</v>
          </cell>
          <cell r="R45">
            <v>4.25</v>
          </cell>
          <cell r="S45" t="str">
            <v>2.38</v>
          </cell>
          <cell r="T45">
            <v>116</v>
          </cell>
          <cell r="U45">
            <v>112</v>
          </cell>
          <cell r="V45">
            <v>109.25</v>
          </cell>
          <cell r="W45">
            <v>62</v>
          </cell>
          <cell r="X45">
            <v>795.61</v>
          </cell>
          <cell r="Y45">
            <v>794.53</v>
          </cell>
          <cell r="Z45">
            <v>794.94</v>
          </cell>
          <cell r="AA45">
            <v>0.47</v>
          </cell>
          <cell r="AB45">
            <v>1.94</v>
          </cell>
          <cell r="AC45" t="str">
            <v>2.16</v>
          </cell>
          <cell r="AD45" t="str">
            <v>2.08</v>
          </cell>
          <cell r="AE45" t="str">
            <v>0.1</v>
          </cell>
          <cell r="AF45" t="str">
            <v>191.88</v>
          </cell>
          <cell r="AG45" t="str">
            <v>190.56</v>
          </cell>
          <cell r="AH45" t="str">
            <v>191.18</v>
          </cell>
          <cell r="AI45" t="str">
            <v>0.54</v>
          </cell>
          <cell r="AK45" t="str">
            <v>714.53</v>
          </cell>
          <cell r="AL45" t="str">
            <v>2.13</v>
          </cell>
          <cell r="AM45" t="str">
            <v>985.09</v>
          </cell>
          <cell r="AO45" t="str">
            <v>714.73</v>
          </cell>
          <cell r="AP45" t="str">
            <v>2.16</v>
          </cell>
          <cell r="AQ45" t="str">
            <v>985.83</v>
          </cell>
        </row>
        <row r="46">
          <cell r="D46" t="str">
            <v>교육학과</v>
          </cell>
          <cell r="E46">
            <v>7</v>
          </cell>
          <cell r="F46">
            <v>58</v>
          </cell>
          <cell r="G46">
            <v>8.2857142857142865</v>
          </cell>
          <cell r="H46">
            <v>7</v>
          </cell>
          <cell r="I46">
            <v>2</v>
          </cell>
          <cell r="J46">
            <v>2</v>
          </cell>
          <cell r="P46" t="str">
            <v>2.5</v>
          </cell>
          <cell r="Q46" t="str">
            <v>4</v>
          </cell>
          <cell r="R46">
            <v>4.5</v>
          </cell>
          <cell r="S46" t="str">
            <v>2.5</v>
          </cell>
          <cell r="T46">
            <v>122</v>
          </cell>
          <cell r="U46">
            <v>110</v>
          </cell>
          <cell r="V46">
            <v>107</v>
          </cell>
          <cell r="W46">
            <v>62.25</v>
          </cell>
          <cell r="X46">
            <v>796.29</v>
          </cell>
          <cell r="Y46">
            <v>795.29</v>
          </cell>
          <cell r="Z46">
            <v>795.79</v>
          </cell>
          <cell r="AA46">
            <v>0.71</v>
          </cell>
          <cell r="AB46">
            <v>1.86</v>
          </cell>
          <cell r="AC46" t="str">
            <v>2.13</v>
          </cell>
          <cell r="AD46" t="str">
            <v>2</v>
          </cell>
          <cell r="AE46" t="str">
            <v>0.19</v>
          </cell>
          <cell r="AF46" t="str">
            <v>192</v>
          </cell>
          <cell r="AG46" t="str">
            <v>191.54</v>
          </cell>
          <cell r="AH46" t="str">
            <v>191.77</v>
          </cell>
          <cell r="AI46" t="str">
            <v>0.33</v>
          </cell>
          <cell r="AK46" t="str">
            <v>715.29</v>
          </cell>
          <cell r="AL46" t="str">
            <v>2.13</v>
          </cell>
          <cell r="AM46" t="str">
            <v>986.83</v>
          </cell>
          <cell r="AO46" t="str">
            <v>715.29</v>
          </cell>
          <cell r="AP46" t="str">
            <v>2.13</v>
          </cell>
          <cell r="AQ46" t="str">
            <v>986.83</v>
          </cell>
        </row>
        <row r="47">
          <cell r="D47" t="str">
            <v>국어교육과</v>
          </cell>
          <cell r="E47">
            <v>8</v>
          </cell>
          <cell r="F47">
            <v>86</v>
          </cell>
          <cell r="G47">
            <v>10.75</v>
          </cell>
          <cell r="H47">
            <v>6</v>
          </cell>
          <cell r="I47">
            <v>6</v>
          </cell>
          <cell r="J47">
            <v>6</v>
          </cell>
          <cell r="P47" t="str">
            <v>2</v>
          </cell>
          <cell r="Q47" t="str">
            <v>2.67</v>
          </cell>
          <cell r="R47">
            <v>3.67</v>
          </cell>
          <cell r="S47" t="str">
            <v>1.17</v>
          </cell>
          <cell r="T47">
            <v>124.33</v>
          </cell>
          <cell r="U47">
            <v>122.33</v>
          </cell>
          <cell r="V47">
            <v>115.17</v>
          </cell>
          <cell r="W47">
            <v>67.33</v>
          </cell>
          <cell r="X47">
            <v>795.57</v>
          </cell>
          <cell r="Y47">
            <v>794.61</v>
          </cell>
          <cell r="Z47">
            <v>795.14</v>
          </cell>
          <cell r="AA47">
            <v>0.4</v>
          </cell>
          <cell r="AB47">
            <v>2.08</v>
          </cell>
          <cell r="AC47" t="str">
            <v>2.28</v>
          </cell>
          <cell r="AD47" t="str">
            <v>2.14</v>
          </cell>
          <cell r="AE47" t="str">
            <v>0.08</v>
          </cell>
          <cell r="AF47" t="str">
            <v>191.25</v>
          </cell>
          <cell r="AG47" t="str">
            <v>190.44</v>
          </cell>
          <cell r="AH47" t="str">
            <v>190.92</v>
          </cell>
          <cell r="AI47" t="str">
            <v>0.27</v>
          </cell>
          <cell r="AK47" t="str">
            <v>714.67</v>
          </cell>
          <cell r="AL47" t="str">
            <v>2.28</v>
          </cell>
          <cell r="AM47" t="str">
            <v>985.6</v>
          </cell>
          <cell r="AO47" t="str">
            <v>715.21</v>
          </cell>
          <cell r="AP47" t="str">
            <v>2.19</v>
          </cell>
          <cell r="AQ47" t="str">
            <v>985.65</v>
          </cell>
        </row>
        <row r="48">
          <cell r="D48" t="str">
            <v>독어교육과</v>
          </cell>
          <cell r="E48">
            <v>3</v>
          </cell>
          <cell r="F48">
            <v>22</v>
          </cell>
          <cell r="G48">
            <v>7.333333333333333</v>
          </cell>
          <cell r="H48">
            <v>3</v>
          </cell>
          <cell r="I48">
            <v>3</v>
          </cell>
          <cell r="J48">
            <v>3</v>
          </cell>
          <cell r="P48" t="str">
            <v>4</v>
          </cell>
          <cell r="Q48" t="str">
            <v>3.67</v>
          </cell>
          <cell r="R48">
            <v>3.33</v>
          </cell>
          <cell r="S48" t="str">
            <v>2.67</v>
          </cell>
          <cell r="T48">
            <v>113</v>
          </cell>
          <cell r="U48">
            <v>114</v>
          </cell>
          <cell r="V48">
            <v>115.67</v>
          </cell>
          <cell r="W48">
            <v>63</v>
          </cell>
          <cell r="X48">
            <v>789.53</v>
          </cell>
          <cell r="Y48">
            <v>788.42</v>
          </cell>
          <cell r="Z48">
            <v>788.87</v>
          </cell>
          <cell r="AA48">
            <v>0.57999999999999996</v>
          </cell>
          <cell r="AB48">
            <v>3.01</v>
          </cell>
          <cell r="AC48" t="str">
            <v>3.17</v>
          </cell>
          <cell r="AD48" t="str">
            <v>3.09</v>
          </cell>
          <cell r="AE48" t="str">
            <v>0.08</v>
          </cell>
          <cell r="AF48" t="str">
            <v>191.87</v>
          </cell>
          <cell r="AG48" t="str">
            <v>190.19</v>
          </cell>
          <cell r="AH48" t="str">
            <v>190.99</v>
          </cell>
          <cell r="AI48" t="str">
            <v>0.84</v>
          </cell>
          <cell r="AK48" t="str">
            <v>708.67</v>
          </cell>
          <cell r="AL48" t="str">
            <v>3.09</v>
          </cell>
          <cell r="AM48" t="str">
            <v>978.86</v>
          </cell>
          <cell r="AO48" t="str">
            <v>708.42</v>
          </cell>
          <cell r="AP48" t="str">
            <v>3.17</v>
          </cell>
          <cell r="AQ48" t="str">
            <v>980.29</v>
          </cell>
        </row>
        <row r="49">
          <cell r="D49" t="str">
            <v>사회교육학부</v>
          </cell>
          <cell r="E49">
            <v>12</v>
          </cell>
          <cell r="F49">
            <v>122</v>
          </cell>
          <cell r="G49">
            <v>10.166666666666666</v>
          </cell>
          <cell r="H49">
            <v>12</v>
          </cell>
          <cell r="I49">
            <v>4</v>
          </cell>
          <cell r="J49">
            <v>4</v>
          </cell>
          <cell r="P49" t="str">
            <v>2.5</v>
          </cell>
          <cell r="Q49" t="str">
            <v>3</v>
          </cell>
          <cell r="R49">
            <v>4.5</v>
          </cell>
          <cell r="S49" t="str">
            <v>2.5</v>
          </cell>
          <cell r="T49">
            <v>121.5</v>
          </cell>
          <cell r="U49">
            <v>123</v>
          </cell>
          <cell r="V49">
            <v>105.25</v>
          </cell>
          <cell r="W49">
            <v>62.5</v>
          </cell>
          <cell r="X49">
            <v>799.81</v>
          </cell>
          <cell r="Y49">
            <v>796.51</v>
          </cell>
          <cell r="Z49">
            <v>797.38</v>
          </cell>
          <cell r="AA49">
            <v>1.62</v>
          </cell>
          <cell r="AB49">
            <v>1.06</v>
          </cell>
          <cell r="AC49" t="str">
            <v>1.89</v>
          </cell>
          <cell r="AD49" t="str">
            <v>1.65</v>
          </cell>
          <cell r="AE49" t="str">
            <v>0.4</v>
          </cell>
          <cell r="AF49" t="str">
            <v>190.96</v>
          </cell>
          <cell r="AG49" t="str">
            <v>190.41</v>
          </cell>
          <cell r="AH49" t="str">
            <v>190.73</v>
          </cell>
          <cell r="AI49" t="str">
            <v>0.24</v>
          </cell>
          <cell r="AK49" t="str">
            <v>716.67</v>
          </cell>
          <cell r="AL49" t="str">
            <v>1.84</v>
          </cell>
          <cell r="AM49" t="str">
            <v>987.08</v>
          </cell>
          <cell r="AO49" t="str">
            <v>716.51</v>
          </cell>
          <cell r="AP49" t="str">
            <v>1.89</v>
          </cell>
          <cell r="AQ49" t="str">
            <v>987.2</v>
          </cell>
        </row>
        <row r="50">
          <cell r="D50" t="str">
            <v>수학교육과</v>
          </cell>
          <cell r="E50">
            <v>8</v>
          </cell>
          <cell r="F50">
            <v>89</v>
          </cell>
          <cell r="G50">
            <v>11.125</v>
          </cell>
          <cell r="H50">
            <v>8</v>
          </cell>
          <cell r="I50">
            <v>4</v>
          </cell>
          <cell r="J50">
            <v>4</v>
          </cell>
          <cell r="P50" t="str">
            <v>2.75</v>
          </cell>
          <cell r="Q50" t="str">
            <v>4</v>
          </cell>
          <cell r="R50">
            <v>2.5</v>
          </cell>
          <cell r="S50" t="str">
            <v>2.25</v>
          </cell>
          <cell r="T50">
            <v>119.5</v>
          </cell>
          <cell r="U50">
            <v>112.75</v>
          </cell>
          <cell r="V50">
            <v>124.5</v>
          </cell>
          <cell r="W50">
            <v>63.38</v>
          </cell>
          <cell r="X50">
            <v>797.11</v>
          </cell>
          <cell r="Y50">
            <v>796.8</v>
          </cell>
          <cell r="Z50">
            <v>796.98</v>
          </cell>
          <cell r="AA50">
            <v>0.13</v>
          </cell>
          <cell r="AB50">
            <v>1.71</v>
          </cell>
          <cell r="AC50" t="str">
            <v>1.82</v>
          </cell>
          <cell r="AD50" t="str">
            <v>1.75</v>
          </cell>
          <cell r="AE50" t="str">
            <v>0.05</v>
          </cell>
          <cell r="AF50" t="str">
            <v>191.17</v>
          </cell>
          <cell r="AG50" t="str">
            <v>190.81</v>
          </cell>
          <cell r="AH50" t="str">
            <v>191.03</v>
          </cell>
          <cell r="AI50" t="str">
            <v>0.15</v>
          </cell>
          <cell r="AK50" t="str">
            <v>716.8</v>
          </cell>
          <cell r="AL50" t="str">
            <v>1.82</v>
          </cell>
          <cell r="AM50" t="str">
            <v>987.61</v>
          </cell>
          <cell r="AO50" t="str">
            <v>716.95</v>
          </cell>
          <cell r="AP50" t="str">
            <v>1.74</v>
          </cell>
          <cell r="AQ50" t="str">
            <v>988.12</v>
          </cell>
        </row>
        <row r="51">
          <cell r="D51" t="str">
            <v>영어교육과</v>
          </cell>
          <cell r="E51">
            <v>8</v>
          </cell>
          <cell r="F51">
            <v>82</v>
          </cell>
          <cell r="G51">
            <v>10.25</v>
          </cell>
          <cell r="H51">
            <v>7</v>
          </cell>
          <cell r="I51">
            <v>4</v>
          </cell>
          <cell r="J51">
            <v>4</v>
          </cell>
          <cell r="P51" t="str">
            <v>2.75</v>
          </cell>
          <cell r="Q51" t="str">
            <v>2.25</v>
          </cell>
          <cell r="R51">
            <v>2</v>
          </cell>
          <cell r="S51" t="str">
            <v>2.38</v>
          </cell>
          <cell r="T51">
            <v>120.25</v>
          </cell>
          <cell r="U51">
            <v>128.75</v>
          </cell>
          <cell r="V51">
            <v>130.25</v>
          </cell>
          <cell r="W51">
            <v>63</v>
          </cell>
          <cell r="X51">
            <v>799.19</v>
          </cell>
          <cell r="Y51">
            <v>795.17</v>
          </cell>
          <cell r="Z51">
            <v>796.7</v>
          </cell>
          <cell r="AA51">
            <v>1.79</v>
          </cell>
          <cell r="AB51">
            <v>1.79</v>
          </cell>
          <cell r="AC51" t="str">
            <v>2.12</v>
          </cell>
          <cell r="AD51" t="str">
            <v>2</v>
          </cell>
          <cell r="AE51" t="str">
            <v>0.18</v>
          </cell>
          <cell r="AF51" t="str">
            <v>191.62</v>
          </cell>
          <cell r="AG51" t="str">
            <v>190.64</v>
          </cell>
          <cell r="AH51" t="str">
            <v>191.16</v>
          </cell>
          <cell r="AI51" t="str">
            <v>0.41</v>
          </cell>
          <cell r="AK51" t="str">
            <v>715.17</v>
          </cell>
          <cell r="AL51" t="str">
            <v>2.08</v>
          </cell>
          <cell r="AM51" t="str">
            <v>985.81</v>
          </cell>
          <cell r="AO51" t="str">
            <v>715.68</v>
          </cell>
          <cell r="AP51" t="str">
            <v>2.12</v>
          </cell>
          <cell r="AQ51" t="str">
            <v>986.95</v>
          </cell>
        </row>
        <row r="52">
          <cell r="D52" t="str">
            <v>윤리교육과</v>
          </cell>
          <cell r="E52">
            <v>3</v>
          </cell>
          <cell r="F52">
            <v>43</v>
          </cell>
          <cell r="G52">
            <v>14.333333333333334</v>
          </cell>
          <cell r="H52">
            <v>3</v>
          </cell>
          <cell r="I52">
            <v>2</v>
          </cell>
          <cell r="J52">
            <v>2</v>
          </cell>
          <cell r="P52" t="str">
            <v>4.5</v>
          </cell>
          <cell r="Q52" t="str">
            <v>3.5</v>
          </cell>
          <cell r="R52">
            <v>3.5</v>
          </cell>
          <cell r="S52" t="str">
            <v>2.25</v>
          </cell>
          <cell r="T52">
            <v>107</v>
          </cell>
          <cell r="U52">
            <v>115</v>
          </cell>
          <cell r="V52">
            <v>114</v>
          </cell>
          <cell r="W52">
            <v>63.25</v>
          </cell>
          <cell r="X52">
            <v>792.46</v>
          </cell>
          <cell r="Y52">
            <v>791.9</v>
          </cell>
          <cell r="Z52">
            <v>792.18</v>
          </cell>
          <cell r="AA52">
            <v>0.4</v>
          </cell>
          <cell r="AB52">
            <v>2.59</v>
          </cell>
          <cell r="AC52" t="str">
            <v>2.68</v>
          </cell>
          <cell r="AD52" t="str">
            <v>2.64</v>
          </cell>
          <cell r="AE52" t="str">
            <v>0.06</v>
          </cell>
          <cell r="AF52" t="str">
            <v>191.3</v>
          </cell>
          <cell r="AG52" t="str">
            <v>191.07</v>
          </cell>
          <cell r="AH52" t="str">
            <v>191.19</v>
          </cell>
          <cell r="AI52" t="str">
            <v>0.16</v>
          </cell>
          <cell r="AK52" t="str">
            <v>711.9</v>
          </cell>
          <cell r="AL52" t="str">
            <v>2.68</v>
          </cell>
          <cell r="AM52" t="str">
            <v>983.2</v>
          </cell>
          <cell r="AO52" t="str">
            <v>711.9</v>
          </cell>
          <cell r="AP52" t="str">
            <v>2.68</v>
          </cell>
          <cell r="AQ52" t="str">
            <v>983.2</v>
          </cell>
        </row>
        <row r="53">
          <cell r="D53" t="str">
            <v>지리교육과</v>
          </cell>
          <cell r="E53">
            <v>4</v>
          </cell>
          <cell r="F53">
            <v>42</v>
          </cell>
          <cell r="G53">
            <v>10.5</v>
          </cell>
          <cell r="H53">
            <v>4</v>
          </cell>
          <cell r="I53">
            <v>3</v>
          </cell>
          <cell r="J53">
            <v>3</v>
          </cell>
          <cell r="P53" t="str">
            <v>3.67</v>
          </cell>
          <cell r="Q53" t="str">
            <v>3</v>
          </cell>
          <cell r="R53">
            <v>3.33</v>
          </cell>
          <cell r="S53" t="str">
            <v>1.83</v>
          </cell>
          <cell r="T53">
            <v>114</v>
          </cell>
          <cell r="U53">
            <v>116</v>
          </cell>
          <cell r="V53">
            <v>116.67</v>
          </cell>
          <cell r="W53">
            <v>64.67</v>
          </cell>
          <cell r="X53">
            <v>798.33</v>
          </cell>
          <cell r="Y53">
            <v>794.89</v>
          </cell>
          <cell r="Z53">
            <v>796.31</v>
          </cell>
          <cell r="AA53">
            <v>1.8</v>
          </cell>
          <cell r="AB53">
            <v>1.48</v>
          </cell>
          <cell r="AC53" t="str">
            <v>2.24</v>
          </cell>
          <cell r="AD53" t="str">
            <v>1.9</v>
          </cell>
          <cell r="AE53" t="str">
            <v>0.39</v>
          </cell>
          <cell r="AF53" t="str">
            <v>191.57</v>
          </cell>
          <cell r="AG53" t="str">
            <v>190.72</v>
          </cell>
          <cell r="AH53" t="str">
            <v>191.16</v>
          </cell>
          <cell r="AI53" t="str">
            <v>0.43</v>
          </cell>
          <cell r="AK53" t="str">
            <v>714.89</v>
          </cell>
          <cell r="AL53" t="str">
            <v>2.24</v>
          </cell>
          <cell r="AM53" t="str">
            <v>986.46</v>
          </cell>
          <cell r="AO53" t="str">
            <v>715.71</v>
          </cell>
          <cell r="AP53" t="str">
            <v>1.97</v>
          </cell>
          <cell r="AQ53" t="str">
            <v>986.89</v>
          </cell>
        </row>
        <row r="54">
          <cell r="D54" t="str">
            <v>사회복지학과</v>
          </cell>
          <cell r="E54">
            <v>4</v>
          </cell>
          <cell r="F54">
            <v>109</v>
          </cell>
          <cell r="G54">
            <v>27.25</v>
          </cell>
          <cell r="H54">
            <v>4</v>
          </cell>
          <cell r="I54">
            <v>1</v>
          </cell>
          <cell r="J54">
            <v>1</v>
          </cell>
          <cell r="P54" t="str">
            <v>4</v>
          </cell>
          <cell r="Q54" t="str">
            <v>5</v>
          </cell>
          <cell r="R54">
            <v>4</v>
          </cell>
          <cell r="S54" t="str">
            <v>3.5</v>
          </cell>
          <cell r="T54">
            <v>111</v>
          </cell>
          <cell r="U54">
            <v>102</v>
          </cell>
          <cell r="V54">
            <v>107</v>
          </cell>
          <cell r="W54">
            <v>59.5</v>
          </cell>
          <cell r="X54">
            <v>792</v>
          </cell>
          <cell r="Y54">
            <v>792</v>
          </cell>
          <cell r="Z54">
            <v>792</v>
          </cell>
          <cell r="AB54">
            <v>2.71</v>
          </cell>
          <cell r="AC54" t="str">
            <v>2.71</v>
          </cell>
          <cell r="AD54" t="str">
            <v>2.71</v>
          </cell>
          <cell r="AF54" t="str">
            <v>191.3</v>
          </cell>
          <cell r="AG54" t="str">
            <v>191.3</v>
          </cell>
          <cell r="AH54" t="str">
            <v>191.3</v>
          </cell>
          <cell r="AK54" t="str">
            <v>712</v>
          </cell>
          <cell r="AL54" t="str">
            <v>2.71</v>
          </cell>
          <cell r="AM54" t="str">
            <v>983.3</v>
          </cell>
          <cell r="AO54" t="str">
            <v>712</v>
          </cell>
          <cell r="AP54" t="str">
            <v>2.71</v>
          </cell>
          <cell r="AQ54" t="str">
            <v>983.3</v>
          </cell>
        </row>
        <row r="55">
          <cell r="D55" t="str">
            <v>사회학과</v>
          </cell>
          <cell r="E55">
            <v>12</v>
          </cell>
          <cell r="F55">
            <v>104</v>
          </cell>
          <cell r="G55">
            <v>8.6666666666666661</v>
          </cell>
          <cell r="H55">
            <v>12</v>
          </cell>
          <cell r="I55">
            <v>10</v>
          </cell>
          <cell r="J55">
            <v>10</v>
          </cell>
          <cell r="P55" t="str">
            <v>3.7</v>
          </cell>
          <cell r="Q55" t="str">
            <v>4.4</v>
          </cell>
          <cell r="R55">
            <v>4.7</v>
          </cell>
          <cell r="S55" t="str">
            <v>2.9</v>
          </cell>
          <cell r="T55">
            <v>113.9</v>
          </cell>
          <cell r="U55">
            <v>107</v>
          </cell>
          <cell r="V55">
            <v>102.3</v>
          </cell>
          <cell r="W55">
            <v>60.55</v>
          </cell>
          <cell r="X55">
            <v>792.37</v>
          </cell>
          <cell r="Y55">
            <v>785.48</v>
          </cell>
          <cell r="Z55">
            <v>788.21</v>
          </cell>
          <cell r="AA55">
            <v>2.5</v>
          </cell>
          <cell r="AB55">
            <v>2.56</v>
          </cell>
          <cell r="AC55" t="str">
            <v>3.52</v>
          </cell>
          <cell r="AD55" t="str">
            <v>3.16</v>
          </cell>
          <cell r="AE55" t="str">
            <v>0.33</v>
          </cell>
          <cell r="AF55" t="str">
            <v>191.65</v>
          </cell>
          <cell r="AG55" t="str">
            <v>190.33</v>
          </cell>
          <cell r="AH55" t="str">
            <v>191.12</v>
          </cell>
          <cell r="AI55" t="str">
            <v>0.43</v>
          </cell>
          <cell r="AK55" t="str">
            <v>706.06</v>
          </cell>
          <cell r="AL55" t="str">
            <v>3.48</v>
          </cell>
          <cell r="AM55" t="str">
            <v>976.89</v>
          </cell>
          <cell r="AO55" t="str">
            <v>706.21</v>
          </cell>
          <cell r="AP55" t="str">
            <v>3.36</v>
          </cell>
          <cell r="AQ55" t="str">
            <v>977.74</v>
          </cell>
        </row>
        <row r="56">
          <cell r="D56" t="str">
            <v>신문방송학과</v>
          </cell>
          <cell r="E56">
            <v>8</v>
          </cell>
          <cell r="F56">
            <v>104</v>
          </cell>
          <cell r="G56">
            <v>13</v>
          </cell>
          <cell r="H56">
            <v>8</v>
          </cell>
          <cell r="I56">
            <v>3</v>
          </cell>
          <cell r="J56">
            <v>3</v>
          </cell>
          <cell r="P56" t="str">
            <v>4</v>
          </cell>
          <cell r="Q56" t="str">
            <v>4</v>
          </cell>
          <cell r="R56">
            <v>5</v>
          </cell>
          <cell r="S56" t="str">
            <v>3.33</v>
          </cell>
          <cell r="T56">
            <v>113.67</v>
          </cell>
          <cell r="U56">
            <v>108.67</v>
          </cell>
          <cell r="V56">
            <v>97.33</v>
          </cell>
          <cell r="W56">
            <v>58.83</v>
          </cell>
          <cell r="X56">
            <v>796.76</v>
          </cell>
          <cell r="Y56">
            <v>791.58</v>
          </cell>
          <cell r="Z56">
            <v>793.74</v>
          </cell>
          <cell r="AA56">
            <v>2.69</v>
          </cell>
          <cell r="AB56">
            <v>1.76</v>
          </cell>
          <cell r="AC56" t="str">
            <v>2.57</v>
          </cell>
          <cell r="AD56" t="str">
            <v>2.29</v>
          </cell>
          <cell r="AE56" t="str">
            <v>0.46</v>
          </cell>
          <cell r="AF56" t="str">
            <v>191.96</v>
          </cell>
          <cell r="AG56" t="str">
            <v>190.37</v>
          </cell>
          <cell r="AH56" t="str">
            <v>191.38</v>
          </cell>
          <cell r="AI56" t="str">
            <v>0.88</v>
          </cell>
          <cell r="AK56" t="str">
            <v>711.58</v>
          </cell>
          <cell r="AL56" t="str">
            <v>2.57</v>
          </cell>
          <cell r="AM56" t="str">
            <v>983.54</v>
          </cell>
          <cell r="AO56" t="str">
            <v>712.88</v>
          </cell>
          <cell r="AP56" t="str">
            <v>2.53</v>
          </cell>
          <cell r="AQ56" t="str">
            <v>984.68</v>
          </cell>
        </row>
        <row r="57">
          <cell r="D57" t="str">
            <v>심리학과</v>
          </cell>
          <cell r="E57">
            <v>8</v>
          </cell>
          <cell r="F57">
            <v>109</v>
          </cell>
          <cell r="G57">
            <v>13.625</v>
          </cell>
          <cell r="H57">
            <v>8</v>
          </cell>
          <cell r="I57">
            <v>8</v>
          </cell>
          <cell r="J57">
            <v>8</v>
          </cell>
          <cell r="P57" t="str">
            <v>4</v>
          </cell>
          <cell r="Q57" t="str">
            <v>4.13</v>
          </cell>
          <cell r="R57">
            <v>4.38</v>
          </cell>
          <cell r="S57" t="str">
            <v>3.5</v>
          </cell>
          <cell r="T57">
            <v>110.88</v>
          </cell>
          <cell r="U57">
            <v>108.5</v>
          </cell>
          <cell r="V57">
            <v>107.25</v>
          </cell>
          <cell r="W57">
            <v>57.75</v>
          </cell>
          <cell r="X57">
            <v>796.32</v>
          </cell>
          <cell r="Y57">
            <v>790.5</v>
          </cell>
          <cell r="Z57">
            <v>792.55</v>
          </cell>
          <cell r="AA57">
            <v>1.77</v>
          </cell>
          <cell r="AB57">
            <v>1.87</v>
          </cell>
          <cell r="AC57" t="str">
            <v>2.86</v>
          </cell>
          <cell r="AD57" t="str">
            <v>2.55</v>
          </cell>
          <cell r="AE57" t="str">
            <v>0.32</v>
          </cell>
          <cell r="AF57" t="str">
            <v>191.78</v>
          </cell>
          <cell r="AG57" t="str">
            <v>190.32</v>
          </cell>
          <cell r="AH57" t="str">
            <v>191.07</v>
          </cell>
          <cell r="AI57" t="str">
            <v>0.47</v>
          </cell>
          <cell r="AK57" t="str">
            <v>710.5</v>
          </cell>
          <cell r="AL57" t="str">
            <v>2.81</v>
          </cell>
          <cell r="AM57" t="str">
            <v>982.28</v>
          </cell>
          <cell r="AO57" t="str">
            <v>711.18</v>
          </cell>
          <cell r="AP57" t="str">
            <v>2.86</v>
          </cell>
          <cell r="AQ57" t="str">
            <v>982.49</v>
          </cell>
        </row>
        <row r="58">
          <cell r="D58" t="str">
            <v>정치외교학과</v>
          </cell>
          <cell r="E58">
            <v>16</v>
          </cell>
          <cell r="F58">
            <v>100</v>
          </cell>
          <cell r="G58">
            <v>6.25</v>
          </cell>
          <cell r="H58">
            <v>16</v>
          </cell>
          <cell r="I58">
            <v>15</v>
          </cell>
          <cell r="J58">
            <v>15</v>
          </cell>
          <cell r="P58" t="str">
            <v>2.93</v>
          </cell>
          <cell r="Q58" t="str">
            <v>3.73</v>
          </cell>
          <cell r="R58">
            <v>3.93</v>
          </cell>
          <cell r="S58" t="str">
            <v>2.9</v>
          </cell>
          <cell r="T58">
            <v>118.6</v>
          </cell>
          <cell r="U58">
            <v>112.27</v>
          </cell>
          <cell r="V58">
            <v>111.8</v>
          </cell>
          <cell r="W58">
            <v>61</v>
          </cell>
          <cell r="X58">
            <v>789.83</v>
          </cell>
          <cell r="Y58">
            <v>774.29</v>
          </cell>
          <cell r="Z58">
            <v>782</v>
          </cell>
          <cell r="AA58">
            <v>5.01</v>
          </cell>
          <cell r="AB58">
            <v>2.95</v>
          </cell>
          <cell r="AC58" t="str">
            <v>4.61</v>
          </cell>
          <cell r="AD58" t="str">
            <v>3.85</v>
          </cell>
          <cell r="AE58" t="str">
            <v>0.53</v>
          </cell>
          <cell r="AF58" t="str">
            <v>192.93</v>
          </cell>
          <cell r="AG58" t="str">
            <v>190.14</v>
          </cell>
          <cell r="AH58" t="str">
            <v>191.53</v>
          </cell>
          <cell r="AI58" t="str">
            <v>0.95</v>
          </cell>
          <cell r="AK58" t="str">
            <v>694.29</v>
          </cell>
          <cell r="AL58" t="str">
            <v>4.61</v>
          </cell>
          <cell r="AM58" t="str">
            <v>967.22</v>
          </cell>
          <cell r="AO58" t="str">
            <v>698.25</v>
          </cell>
          <cell r="AP58" t="str">
            <v>4.29</v>
          </cell>
          <cell r="AQ58" t="str">
            <v>968.75</v>
          </cell>
        </row>
        <row r="59">
          <cell r="D59" t="str">
            <v>행정학과</v>
          </cell>
          <cell r="E59">
            <v>13</v>
          </cell>
          <cell r="F59">
            <v>167</v>
          </cell>
          <cell r="G59">
            <v>12.846153846153847</v>
          </cell>
          <cell r="H59">
            <v>13</v>
          </cell>
          <cell r="I59">
            <v>10</v>
          </cell>
          <cell r="J59">
            <v>10</v>
          </cell>
          <cell r="P59" t="str">
            <v>4.1</v>
          </cell>
          <cell r="Q59" t="str">
            <v>3.7</v>
          </cell>
          <cell r="R59">
            <v>4.8</v>
          </cell>
          <cell r="S59" t="str">
            <v>3.1</v>
          </cell>
          <cell r="T59">
            <v>109.7</v>
          </cell>
          <cell r="U59">
            <v>111.6</v>
          </cell>
          <cell r="V59">
            <v>101.9</v>
          </cell>
          <cell r="W59">
            <v>59.2</v>
          </cell>
          <cell r="X59">
            <v>797.97</v>
          </cell>
          <cell r="Y59">
            <v>792.76</v>
          </cell>
          <cell r="Z59">
            <v>795.19</v>
          </cell>
          <cell r="AA59">
            <v>1.46</v>
          </cell>
          <cell r="AB59">
            <v>1.45</v>
          </cell>
          <cell r="AC59" t="str">
            <v>2.41</v>
          </cell>
          <cell r="AD59" t="str">
            <v>2.1</v>
          </cell>
          <cell r="AE59" t="str">
            <v>0.28</v>
          </cell>
          <cell r="AF59" t="str">
            <v>191.8</v>
          </cell>
          <cell r="AG59" t="str">
            <v>190.44</v>
          </cell>
          <cell r="AH59" t="str">
            <v>191.06</v>
          </cell>
          <cell r="AI59" t="str">
            <v>0.46</v>
          </cell>
          <cell r="AK59" t="str">
            <v>712.76</v>
          </cell>
          <cell r="AL59" t="str">
            <v>2.41</v>
          </cell>
          <cell r="AM59" t="str">
            <v>984.56</v>
          </cell>
          <cell r="AO59" t="str">
            <v>714.11</v>
          </cell>
          <cell r="AP59" t="str">
            <v>2.35</v>
          </cell>
          <cell r="AQ59" t="str">
            <v>985.2</v>
          </cell>
        </row>
        <row r="60">
          <cell r="D60" t="str">
            <v>경영학부</v>
          </cell>
          <cell r="E60">
            <v>59</v>
          </cell>
          <cell r="F60">
            <v>418</v>
          </cell>
          <cell r="G60">
            <v>7.0847457627118642</v>
          </cell>
          <cell r="H60">
            <v>59</v>
          </cell>
          <cell r="I60">
            <v>40</v>
          </cell>
          <cell r="J60">
            <v>40</v>
          </cell>
          <cell r="P60" t="str">
            <v>3.6</v>
          </cell>
          <cell r="Q60" t="str">
            <v>3.63</v>
          </cell>
          <cell r="R60">
            <v>3.6</v>
          </cell>
          <cell r="S60" t="str">
            <v>2.7</v>
          </cell>
          <cell r="T60">
            <v>114.08</v>
          </cell>
          <cell r="U60">
            <v>115.78</v>
          </cell>
          <cell r="V60">
            <v>114.38</v>
          </cell>
          <cell r="W60">
            <v>61.53</v>
          </cell>
          <cell r="X60">
            <v>795.33</v>
          </cell>
          <cell r="Y60">
            <v>782.2</v>
          </cell>
          <cell r="Z60">
            <v>786.09</v>
          </cell>
          <cell r="AA60">
            <v>2.75</v>
          </cell>
          <cell r="AB60">
            <v>2.21</v>
          </cell>
          <cell r="AC60" t="str">
            <v>3.84</v>
          </cell>
          <cell r="AD60" t="str">
            <v>3.42</v>
          </cell>
          <cell r="AE60" t="str">
            <v>0.32</v>
          </cell>
          <cell r="AF60" t="str">
            <v>193.35</v>
          </cell>
          <cell r="AG60" t="str">
            <v>189.16</v>
          </cell>
          <cell r="AH60" t="str">
            <v>191.23</v>
          </cell>
          <cell r="AI60" t="str">
            <v>0.74</v>
          </cell>
          <cell r="AK60" t="str">
            <v>703.02</v>
          </cell>
          <cell r="AL60" t="str">
            <v>3.82</v>
          </cell>
          <cell r="AM60" t="str">
            <v>974.12</v>
          </cell>
          <cell r="AO60" t="str">
            <v>703.25</v>
          </cell>
          <cell r="AP60" t="str">
            <v>3.73</v>
          </cell>
          <cell r="AQ60" t="str">
            <v>974.84</v>
          </cell>
        </row>
        <row r="61">
          <cell r="D61" t="str">
            <v>경제학부</v>
          </cell>
          <cell r="E61">
            <v>29</v>
          </cell>
          <cell r="F61">
            <v>221</v>
          </cell>
          <cell r="G61">
            <v>7.6206896551724137</v>
          </cell>
          <cell r="H61">
            <v>16</v>
          </cell>
          <cell r="I61">
            <v>14</v>
          </cell>
          <cell r="J61">
            <v>14</v>
          </cell>
          <cell r="P61" t="str">
            <v>3.29</v>
          </cell>
          <cell r="Q61" t="str">
            <v>3.5</v>
          </cell>
          <cell r="R61">
            <v>4.21</v>
          </cell>
          <cell r="S61" t="str">
            <v>2.82</v>
          </cell>
          <cell r="T61">
            <v>115.86</v>
          </cell>
          <cell r="U61">
            <v>116.07</v>
          </cell>
          <cell r="V61">
            <v>108.64</v>
          </cell>
          <cell r="W61">
            <v>60.86</v>
          </cell>
          <cell r="X61">
            <v>791.14</v>
          </cell>
          <cell r="Y61">
            <v>779.23</v>
          </cell>
          <cell r="Z61">
            <v>783.02</v>
          </cell>
          <cell r="AA61">
            <v>3.29</v>
          </cell>
          <cell r="AB61">
            <v>2.8</v>
          </cell>
          <cell r="AC61" t="str">
            <v>4.17</v>
          </cell>
          <cell r="AD61" t="str">
            <v>3.76</v>
          </cell>
          <cell r="AE61" t="str">
            <v>0.38</v>
          </cell>
          <cell r="AF61" t="str">
            <v>192.43</v>
          </cell>
          <cell r="AG61" t="str">
            <v>189.04</v>
          </cell>
          <cell r="AH61" t="str">
            <v>191.29</v>
          </cell>
          <cell r="AI61" t="str">
            <v>0.75</v>
          </cell>
          <cell r="AK61" t="str">
            <v>699.23</v>
          </cell>
          <cell r="AL61" t="str">
            <v>4.17</v>
          </cell>
          <cell r="AM61" t="str">
            <v>970.43</v>
          </cell>
          <cell r="AO61" t="str">
            <v>700.23</v>
          </cell>
          <cell r="AP61" t="str">
            <v>4.11</v>
          </cell>
          <cell r="AQ61" t="str">
            <v>971.43</v>
          </cell>
        </row>
        <row r="62">
          <cell r="D62" t="str">
            <v>무역학과</v>
          </cell>
          <cell r="E62">
            <v>33</v>
          </cell>
          <cell r="F62">
            <v>241</v>
          </cell>
          <cell r="G62">
            <v>7.3030303030303028</v>
          </cell>
          <cell r="H62">
            <v>33</v>
          </cell>
          <cell r="I62">
            <v>23</v>
          </cell>
          <cell r="J62">
            <v>22</v>
          </cell>
          <cell r="P62" t="str">
            <v>4.36</v>
          </cell>
          <cell r="Q62" t="str">
            <v>4.23</v>
          </cell>
          <cell r="R62">
            <v>4.7699999999999996</v>
          </cell>
          <cell r="S62" t="str">
            <v>3.32</v>
          </cell>
          <cell r="T62">
            <v>108.23</v>
          </cell>
          <cell r="U62">
            <v>105.64</v>
          </cell>
          <cell r="V62">
            <v>103.55</v>
          </cell>
          <cell r="W62">
            <v>58.55</v>
          </cell>
          <cell r="X62">
            <v>794.43</v>
          </cell>
          <cell r="Y62">
            <v>786.64</v>
          </cell>
          <cell r="Z62">
            <v>789.96</v>
          </cell>
          <cell r="AA62">
            <v>2.27</v>
          </cell>
          <cell r="AB62">
            <v>2.14</v>
          </cell>
          <cell r="AC62" t="str">
            <v>3.29</v>
          </cell>
          <cell r="AD62" t="str">
            <v>2.9</v>
          </cell>
          <cell r="AE62" t="str">
            <v>0.31</v>
          </cell>
          <cell r="AF62" t="str">
            <v>192.8</v>
          </cell>
          <cell r="AG62" t="str">
            <v>189.23</v>
          </cell>
          <cell r="AH62" t="str">
            <v>191.1</v>
          </cell>
          <cell r="AI62" t="str">
            <v>0.82</v>
          </cell>
          <cell r="AK62" t="str">
            <v>706.64</v>
          </cell>
          <cell r="AL62" t="str">
            <v>3.29</v>
          </cell>
          <cell r="AM62" t="str">
            <v>978.31</v>
          </cell>
          <cell r="AO62" t="str">
            <v>708.34</v>
          </cell>
          <cell r="AP62" t="str">
            <v>3.16</v>
          </cell>
          <cell r="AQ62" t="str">
            <v>979.31</v>
          </cell>
        </row>
        <row r="63">
          <cell r="D63" t="str">
            <v>식품영양학과</v>
          </cell>
          <cell r="E63">
            <v>11</v>
          </cell>
          <cell r="F63">
            <v>60</v>
          </cell>
          <cell r="G63">
            <v>5.4545454545454541</v>
          </cell>
          <cell r="H63">
            <v>11</v>
          </cell>
          <cell r="I63">
            <v>9</v>
          </cell>
          <cell r="J63">
            <v>8</v>
          </cell>
          <cell r="P63" t="str">
            <v>4.5</v>
          </cell>
          <cell r="Q63" t="str">
            <v>6.25</v>
          </cell>
          <cell r="R63">
            <v>4.75</v>
          </cell>
          <cell r="S63" t="str">
            <v>3.69</v>
          </cell>
          <cell r="T63">
            <v>105.63</v>
          </cell>
          <cell r="U63">
            <v>86</v>
          </cell>
          <cell r="V63">
            <v>100.63</v>
          </cell>
          <cell r="W63">
            <v>56</v>
          </cell>
          <cell r="X63">
            <v>795.35</v>
          </cell>
          <cell r="Y63">
            <v>781.74</v>
          </cell>
          <cell r="Z63">
            <v>786.37</v>
          </cell>
          <cell r="AA63">
            <v>5.31</v>
          </cell>
          <cell r="AB63">
            <v>2.04</v>
          </cell>
          <cell r="AC63" t="str">
            <v>3.92</v>
          </cell>
          <cell r="AD63" t="str">
            <v>3.33</v>
          </cell>
          <cell r="AE63" t="str">
            <v>0.71</v>
          </cell>
          <cell r="AF63" t="str">
            <v>192.87</v>
          </cell>
          <cell r="AG63" t="str">
            <v>188.28</v>
          </cell>
          <cell r="AH63" t="str">
            <v>191.43</v>
          </cell>
          <cell r="AI63" t="str">
            <v>1.79</v>
          </cell>
          <cell r="AK63" t="str">
            <v>701.74</v>
          </cell>
          <cell r="AL63" t="str">
            <v>3.88</v>
          </cell>
          <cell r="AM63" t="str">
            <v>974.61</v>
          </cell>
          <cell r="AO63" t="str">
            <v>702.3</v>
          </cell>
          <cell r="AP63" t="str">
            <v>3.86</v>
          </cell>
          <cell r="AQ63" t="str">
            <v>974.96</v>
          </cell>
        </row>
        <row r="64">
          <cell r="D64" t="str">
            <v>아동학과</v>
          </cell>
          <cell r="E64">
            <v>8</v>
          </cell>
          <cell r="F64">
            <v>84</v>
          </cell>
          <cell r="G64">
            <v>10.5</v>
          </cell>
          <cell r="H64">
            <v>8</v>
          </cell>
          <cell r="I64">
            <v>7</v>
          </cell>
          <cell r="J64">
            <v>7</v>
          </cell>
          <cell r="P64" t="str">
            <v>5.43</v>
          </cell>
          <cell r="Q64" t="str">
            <v>5.43</v>
          </cell>
          <cell r="R64">
            <v>5.57</v>
          </cell>
          <cell r="S64" t="str">
            <v>3.86</v>
          </cell>
          <cell r="T64">
            <v>99</v>
          </cell>
          <cell r="U64">
            <v>90.14</v>
          </cell>
          <cell r="V64">
            <v>94.14</v>
          </cell>
          <cell r="W64">
            <v>54.43</v>
          </cell>
          <cell r="X64">
            <v>790.07</v>
          </cell>
          <cell r="Y64">
            <v>785.7</v>
          </cell>
          <cell r="Z64">
            <v>788.12</v>
          </cell>
          <cell r="AA64">
            <v>1.65</v>
          </cell>
          <cell r="AB64">
            <v>2.87</v>
          </cell>
          <cell r="AC64" t="str">
            <v>3.34</v>
          </cell>
          <cell r="AD64" t="str">
            <v>3.1</v>
          </cell>
          <cell r="AE64" t="str">
            <v>0.18</v>
          </cell>
          <cell r="AF64" t="str">
            <v>192.27</v>
          </cell>
          <cell r="AG64" t="str">
            <v>189.82</v>
          </cell>
          <cell r="AH64" t="str">
            <v>191.27</v>
          </cell>
          <cell r="AI64" t="str">
            <v>0.91</v>
          </cell>
          <cell r="AK64" t="str">
            <v>707.22</v>
          </cell>
          <cell r="AL64" t="str">
            <v>3.2</v>
          </cell>
          <cell r="AM64" t="str">
            <v>977.73</v>
          </cell>
          <cell r="AO64" t="str">
            <v>705.7</v>
          </cell>
          <cell r="AP64" t="str">
            <v>3.34</v>
          </cell>
          <cell r="AQ64" t="str">
            <v>977.85</v>
          </cell>
        </row>
        <row r="65">
          <cell r="D65" t="str">
            <v>의류학과</v>
          </cell>
          <cell r="E65">
            <v>11</v>
          </cell>
          <cell r="F65">
            <v>156</v>
          </cell>
          <cell r="G65">
            <v>14.181818181818182</v>
          </cell>
          <cell r="H65">
            <v>11</v>
          </cell>
          <cell r="I65">
            <v>5</v>
          </cell>
          <cell r="J65">
            <v>5</v>
          </cell>
          <cell r="P65" t="str">
            <v>4.6</v>
          </cell>
          <cell r="Q65" t="str">
            <v>4.8</v>
          </cell>
          <cell r="R65">
            <v>5.6</v>
          </cell>
          <cell r="S65" t="str">
            <v>3.9</v>
          </cell>
          <cell r="T65">
            <v>106.8</v>
          </cell>
          <cell r="U65">
            <v>97.8</v>
          </cell>
          <cell r="V65">
            <v>92.8</v>
          </cell>
          <cell r="W65">
            <v>54.8</v>
          </cell>
          <cell r="X65">
            <v>793.01</v>
          </cell>
          <cell r="Y65">
            <v>784.79</v>
          </cell>
          <cell r="Z65">
            <v>789.1</v>
          </cell>
          <cell r="AA65">
            <v>3.51</v>
          </cell>
          <cell r="AB65">
            <v>2.41</v>
          </cell>
          <cell r="AC65" t="str">
            <v>3.61</v>
          </cell>
          <cell r="AD65" t="str">
            <v>3</v>
          </cell>
          <cell r="AE65" t="str">
            <v>0.48</v>
          </cell>
          <cell r="AF65" t="str">
            <v>191.58</v>
          </cell>
          <cell r="AG65" t="str">
            <v>189.76</v>
          </cell>
          <cell r="AH65" t="str">
            <v>190.43</v>
          </cell>
          <cell r="AI65" t="str">
            <v>0.81</v>
          </cell>
          <cell r="AK65" t="str">
            <v>704.79</v>
          </cell>
          <cell r="AL65" t="str">
            <v>3.61</v>
          </cell>
          <cell r="AM65" t="str">
            <v>975.76</v>
          </cell>
          <cell r="AO65" t="str">
            <v>706.32</v>
          </cell>
          <cell r="AP65" t="str">
            <v>3.33</v>
          </cell>
          <cell r="AQ65" t="str">
            <v>976.33</v>
          </cell>
        </row>
        <row r="66">
          <cell r="D66" t="str">
            <v>주거환경학과</v>
          </cell>
          <cell r="E66">
            <v>15</v>
          </cell>
          <cell r="F66">
            <v>96</v>
          </cell>
          <cell r="G66">
            <v>6.4</v>
          </cell>
          <cell r="H66">
            <v>15</v>
          </cell>
          <cell r="I66">
            <v>12</v>
          </cell>
          <cell r="J66">
            <v>12</v>
          </cell>
          <cell r="P66" t="str">
            <v>4.75</v>
          </cell>
          <cell r="Q66" t="str">
            <v>5.42</v>
          </cell>
          <cell r="R66">
            <v>5.42</v>
          </cell>
          <cell r="S66" t="str">
            <v>4</v>
          </cell>
          <cell r="T66">
            <v>104.83</v>
          </cell>
          <cell r="U66">
            <v>94</v>
          </cell>
          <cell r="V66">
            <v>93.75</v>
          </cell>
          <cell r="W66">
            <v>54.79</v>
          </cell>
          <cell r="X66">
            <v>795.37</v>
          </cell>
          <cell r="Y66">
            <v>781.9</v>
          </cell>
          <cell r="Z66">
            <v>788.6</v>
          </cell>
          <cell r="AA66">
            <v>3.79</v>
          </cell>
          <cell r="AB66">
            <v>2.11</v>
          </cell>
          <cell r="AC66" t="str">
            <v>3.92</v>
          </cell>
          <cell r="AD66" t="str">
            <v>3.05</v>
          </cell>
          <cell r="AE66" t="str">
            <v>0.52</v>
          </cell>
          <cell r="AF66" t="str">
            <v>192.89</v>
          </cell>
          <cell r="AG66" t="str">
            <v>189.79</v>
          </cell>
          <cell r="AH66" t="str">
            <v>191.37</v>
          </cell>
          <cell r="AI66" t="str">
            <v>1.04</v>
          </cell>
          <cell r="AK66" t="str">
            <v>701.9</v>
          </cell>
          <cell r="AL66" t="str">
            <v>3.92</v>
          </cell>
          <cell r="AM66" t="str">
            <v>973.76</v>
          </cell>
          <cell r="AO66" t="str">
            <v>706.85</v>
          </cell>
          <cell r="AP66" t="str">
            <v>3.39</v>
          </cell>
          <cell r="AQ66" t="str">
            <v>977.21</v>
          </cell>
        </row>
        <row r="67">
          <cell r="D67" t="str">
            <v>산업디자인과(디지털미디어디자인)</v>
          </cell>
          <cell r="E67">
            <v>3</v>
          </cell>
          <cell r="F67">
            <v>20</v>
          </cell>
          <cell r="G67">
            <v>6.666666666666667</v>
          </cell>
          <cell r="H67">
            <v>3</v>
          </cell>
          <cell r="I67">
            <v>2</v>
          </cell>
          <cell r="J67">
            <v>2</v>
          </cell>
          <cell r="P67" t="str">
            <v>3</v>
          </cell>
          <cell r="Q67" t="str">
            <v>6</v>
          </cell>
          <cell r="R67">
            <v>5</v>
          </cell>
          <cell r="S67" t="str">
            <v>3.75</v>
          </cell>
          <cell r="T67">
            <v>118.5</v>
          </cell>
          <cell r="U67">
            <v>83.5</v>
          </cell>
          <cell r="V67">
            <v>100.5</v>
          </cell>
          <cell r="W67">
            <v>56.5</v>
          </cell>
          <cell r="X67">
            <v>783.72</v>
          </cell>
          <cell r="Y67">
            <v>779.42</v>
          </cell>
          <cell r="Z67">
            <v>781.57</v>
          </cell>
          <cell r="AA67">
            <v>3.04</v>
          </cell>
          <cell r="AB67">
            <v>3.58</v>
          </cell>
          <cell r="AC67" t="str">
            <v>4.18</v>
          </cell>
          <cell r="AD67" t="str">
            <v>3.88</v>
          </cell>
          <cell r="AE67" t="str">
            <v>0.42</v>
          </cell>
          <cell r="AF67" t="str">
            <v>194.21</v>
          </cell>
          <cell r="AG67" t="str">
            <v>193.01</v>
          </cell>
          <cell r="AH67" t="str">
            <v>193.61</v>
          </cell>
          <cell r="AI67" t="str">
            <v>0.85</v>
          </cell>
          <cell r="AK67" t="str">
            <v>699.42</v>
          </cell>
          <cell r="AL67" t="str">
            <v>4.18</v>
          </cell>
          <cell r="AM67" t="str">
            <v>972.43</v>
          </cell>
          <cell r="AO67" t="str">
            <v>699.42</v>
          </cell>
          <cell r="AP67" t="str">
            <v>4.18</v>
          </cell>
          <cell r="AQ67" t="str">
            <v>972.43</v>
          </cell>
        </row>
        <row r="68">
          <cell r="D68" t="str">
            <v>산업디자인과(디지털생활기기디자인)</v>
          </cell>
          <cell r="E68">
            <v>7</v>
          </cell>
          <cell r="F68">
            <v>59</v>
          </cell>
          <cell r="G68">
            <v>8.4285714285714288</v>
          </cell>
          <cell r="H68">
            <v>7</v>
          </cell>
          <cell r="I68">
            <v>6</v>
          </cell>
          <cell r="J68">
            <v>6</v>
          </cell>
          <cell r="P68" t="str">
            <v>5</v>
          </cell>
          <cell r="Q68" t="str">
            <v>7</v>
          </cell>
          <cell r="R68">
            <v>6.5</v>
          </cell>
          <cell r="S68" t="str">
            <v>4.5</v>
          </cell>
          <cell r="T68">
            <v>100.83</v>
          </cell>
          <cell r="U68">
            <v>78.5</v>
          </cell>
          <cell r="V68">
            <v>84.33</v>
          </cell>
          <cell r="W68">
            <v>52.33</v>
          </cell>
          <cell r="X68">
            <v>786.99</v>
          </cell>
          <cell r="Y68">
            <v>778.35</v>
          </cell>
          <cell r="Z68">
            <v>781.45</v>
          </cell>
          <cell r="AA68">
            <v>3.54</v>
          </cell>
          <cell r="AB68">
            <v>3.28</v>
          </cell>
          <cell r="AC68" t="str">
            <v>4.29</v>
          </cell>
          <cell r="AD68" t="str">
            <v>3.89</v>
          </cell>
          <cell r="AE68" t="str">
            <v>0.42</v>
          </cell>
          <cell r="AF68" t="str">
            <v>193.2</v>
          </cell>
          <cell r="AG68" t="str">
            <v>189.33</v>
          </cell>
          <cell r="AH68" t="str">
            <v>190.89</v>
          </cell>
          <cell r="AI68" t="str">
            <v>1.38</v>
          </cell>
          <cell r="AK68" t="str">
            <v>698.44</v>
          </cell>
          <cell r="AL68" t="str">
            <v>4.28</v>
          </cell>
          <cell r="AM68" t="str">
            <v>968.59</v>
          </cell>
          <cell r="AO68" t="str">
            <v>698.35</v>
          </cell>
          <cell r="AP68" t="str">
            <v>4.29</v>
          </cell>
          <cell r="AQ68" t="str">
            <v>970.02</v>
          </cell>
        </row>
        <row r="69">
          <cell r="D69" t="str">
            <v>산업디자인과(디지털커뮤니케이션디자인)</v>
          </cell>
          <cell r="E69">
            <v>7</v>
          </cell>
          <cell r="F69">
            <v>47</v>
          </cell>
          <cell r="G69">
            <v>6.7142857142857144</v>
          </cell>
          <cell r="H69">
            <v>7</v>
          </cell>
          <cell r="I69">
            <v>6</v>
          </cell>
          <cell r="J69">
            <v>6</v>
          </cell>
          <cell r="P69" t="str">
            <v>4.67</v>
          </cell>
          <cell r="Q69" t="str">
            <v>5.83</v>
          </cell>
          <cell r="R69">
            <v>5.67</v>
          </cell>
          <cell r="S69" t="str">
            <v>4.58</v>
          </cell>
          <cell r="T69">
            <v>106.5</v>
          </cell>
          <cell r="U69">
            <v>68.5</v>
          </cell>
          <cell r="V69">
            <v>92.67</v>
          </cell>
          <cell r="W69">
            <v>51</v>
          </cell>
          <cell r="X69">
            <v>791.29</v>
          </cell>
          <cell r="Y69">
            <v>769.5</v>
          </cell>
          <cell r="Z69">
            <v>781.13</v>
          </cell>
          <cell r="AA69">
            <v>7.62</v>
          </cell>
          <cell r="AB69">
            <v>2.79</v>
          </cell>
          <cell r="AC69" t="str">
            <v>5.1</v>
          </cell>
          <cell r="AD69" t="str">
            <v>3.88</v>
          </cell>
          <cell r="AE69" t="str">
            <v>0.83</v>
          </cell>
          <cell r="AF69" t="str">
            <v>195.5</v>
          </cell>
          <cell r="AG69" t="str">
            <v>189.6</v>
          </cell>
          <cell r="AH69" t="str">
            <v>192.16</v>
          </cell>
          <cell r="AI69" t="str">
            <v>2.14</v>
          </cell>
          <cell r="AK69" t="str">
            <v>689.5</v>
          </cell>
          <cell r="AL69" t="str">
            <v>5.1</v>
          </cell>
          <cell r="AM69" t="str">
            <v>965</v>
          </cell>
          <cell r="AO69" t="str">
            <v>695.6</v>
          </cell>
          <cell r="AP69" t="str">
            <v>4.51</v>
          </cell>
          <cell r="AQ69" t="str">
            <v>968.74</v>
          </cell>
        </row>
        <row r="70">
          <cell r="D70" t="str">
            <v>고고문화인류학과</v>
          </cell>
          <cell r="E70">
            <v>13</v>
          </cell>
          <cell r="F70">
            <v>81</v>
          </cell>
          <cell r="G70">
            <v>6.2307692307692308</v>
          </cell>
          <cell r="H70">
            <v>13</v>
          </cell>
          <cell r="I70">
            <v>11</v>
          </cell>
          <cell r="J70">
            <v>11</v>
          </cell>
          <cell r="P70" t="str">
            <v>3.73</v>
          </cell>
          <cell r="Q70" t="str">
            <v>4.36</v>
          </cell>
          <cell r="R70">
            <v>4.45</v>
          </cell>
          <cell r="S70" t="str">
            <v>3.27</v>
          </cell>
          <cell r="T70">
            <v>112.55</v>
          </cell>
          <cell r="U70">
            <v>104.64</v>
          </cell>
          <cell r="V70">
            <v>105.82</v>
          </cell>
          <cell r="W70">
            <v>59</v>
          </cell>
          <cell r="X70">
            <v>788.09</v>
          </cell>
          <cell r="Y70">
            <v>779.12</v>
          </cell>
          <cell r="Z70">
            <v>782.62</v>
          </cell>
          <cell r="AA70">
            <v>2.5299999999999998</v>
          </cell>
          <cell r="AB70">
            <v>3.19</v>
          </cell>
          <cell r="AC70" t="str">
            <v>4.12</v>
          </cell>
          <cell r="AD70" t="str">
            <v>3.78</v>
          </cell>
          <cell r="AE70" t="str">
            <v>0.27</v>
          </cell>
          <cell r="AF70" t="str">
            <v>192.31</v>
          </cell>
          <cell r="AG70" t="str">
            <v>189.23</v>
          </cell>
          <cell r="AH70" t="str">
            <v>191.12</v>
          </cell>
          <cell r="AI70" t="str">
            <v>0.93</v>
          </cell>
          <cell r="AK70" t="str">
            <v>699.12</v>
          </cell>
          <cell r="AL70" t="str">
            <v>4.12</v>
          </cell>
          <cell r="AM70" t="str">
            <v>970.02</v>
          </cell>
          <cell r="AO70" t="str">
            <v>700.05</v>
          </cell>
          <cell r="AP70" t="str">
            <v>4.11</v>
          </cell>
          <cell r="AQ70" t="str">
            <v>971.85</v>
          </cell>
        </row>
        <row r="71">
          <cell r="D71" t="str">
            <v>국어국문학과</v>
          </cell>
          <cell r="E71">
            <v>18</v>
          </cell>
          <cell r="F71">
            <v>115</v>
          </cell>
          <cell r="G71">
            <v>6.3888888888888893</v>
          </cell>
          <cell r="H71">
            <v>17</v>
          </cell>
          <cell r="I71">
            <v>14</v>
          </cell>
          <cell r="J71">
            <v>14</v>
          </cell>
          <cell r="P71" t="str">
            <v>2.71</v>
          </cell>
          <cell r="Q71" t="str">
            <v>3.93</v>
          </cell>
          <cell r="R71">
            <v>3.86</v>
          </cell>
          <cell r="S71" t="str">
            <v>2.5</v>
          </cell>
          <cell r="T71">
            <v>120.57</v>
          </cell>
          <cell r="U71">
            <v>110.5</v>
          </cell>
          <cell r="V71">
            <v>113.57</v>
          </cell>
          <cell r="W71">
            <v>62.11</v>
          </cell>
          <cell r="X71">
            <v>789.32</v>
          </cell>
          <cell r="Y71">
            <v>780.27</v>
          </cell>
          <cell r="Z71">
            <v>784.3</v>
          </cell>
          <cell r="AA71">
            <v>2.65</v>
          </cell>
          <cell r="AB71">
            <v>2.98</v>
          </cell>
          <cell r="AC71" t="str">
            <v>4.12</v>
          </cell>
          <cell r="AD71" t="str">
            <v>3.59</v>
          </cell>
          <cell r="AE71" t="str">
            <v>0.32</v>
          </cell>
          <cell r="AF71" t="str">
            <v>192.49</v>
          </cell>
          <cell r="AG71" t="str">
            <v>189.89</v>
          </cell>
          <cell r="AH71" t="str">
            <v>191.11</v>
          </cell>
          <cell r="AI71" t="str">
            <v>0.67</v>
          </cell>
          <cell r="AK71" t="str">
            <v>700.5</v>
          </cell>
          <cell r="AL71" t="str">
            <v>4.09</v>
          </cell>
          <cell r="AM71" t="str">
            <v>970.89</v>
          </cell>
          <cell r="AO71" t="str">
            <v>702.1</v>
          </cell>
          <cell r="AP71" t="str">
            <v>3.73</v>
          </cell>
          <cell r="AQ71" t="str">
            <v>973.59</v>
          </cell>
        </row>
        <row r="72">
          <cell r="D72" t="str">
            <v>독어독문학과</v>
          </cell>
          <cell r="E72">
            <v>19</v>
          </cell>
          <cell r="F72">
            <v>118</v>
          </cell>
          <cell r="G72">
            <v>6.2105263157894735</v>
          </cell>
          <cell r="H72">
            <v>19</v>
          </cell>
          <cell r="I72">
            <v>17</v>
          </cell>
          <cell r="J72">
            <v>17</v>
          </cell>
          <cell r="P72" t="str">
            <v>3.88</v>
          </cell>
          <cell r="Q72" t="str">
            <v>4.53</v>
          </cell>
          <cell r="R72">
            <v>4.6500000000000004</v>
          </cell>
          <cell r="S72" t="str">
            <v>3.56</v>
          </cell>
          <cell r="T72">
            <v>112.47</v>
          </cell>
          <cell r="U72">
            <v>103.35</v>
          </cell>
          <cell r="V72">
            <v>103.47</v>
          </cell>
          <cell r="W72">
            <v>57.26</v>
          </cell>
          <cell r="X72">
            <v>783.53</v>
          </cell>
          <cell r="Y72">
            <v>771.83</v>
          </cell>
          <cell r="Z72">
            <v>775.32</v>
          </cell>
          <cell r="AA72">
            <v>3.47</v>
          </cell>
          <cell r="AB72">
            <v>3.51</v>
          </cell>
          <cell r="AC72" t="str">
            <v>4.91</v>
          </cell>
          <cell r="AD72" t="str">
            <v>4.53</v>
          </cell>
          <cell r="AE72" t="str">
            <v>0.38</v>
          </cell>
          <cell r="AF72" t="str">
            <v>192.52</v>
          </cell>
          <cell r="AG72" t="str">
            <v>189.99</v>
          </cell>
          <cell r="AH72" t="str">
            <v>191.21</v>
          </cell>
          <cell r="AI72" t="str">
            <v>0.68</v>
          </cell>
          <cell r="AK72" t="str">
            <v>691.83</v>
          </cell>
          <cell r="AL72" t="str">
            <v>4.91</v>
          </cell>
          <cell r="AM72" t="str">
            <v>963.25</v>
          </cell>
          <cell r="AO72" t="str">
            <v>693.22</v>
          </cell>
          <cell r="AP72" t="str">
            <v>4.79</v>
          </cell>
          <cell r="AQ72" t="str">
            <v>963.87</v>
          </cell>
        </row>
        <row r="73">
          <cell r="D73" t="str">
            <v>문헌정보학과</v>
          </cell>
          <cell r="E73">
            <v>18</v>
          </cell>
          <cell r="F73">
            <v>133</v>
          </cell>
          <cell r="G73">
            <v>7.3888888888888893</v>
          </cell>
          <cell r="H73">
            <v>18</v>
          </cell>
          <cell r="I73">
            <v>8</v>
          </cell>
          <cell r="J73">
            <v>8</v>
          </cell>
          <cell r="P73" t="str">
            <v>4.25</v>
          </cell>
          <cell r="Q73" t="str">
            <v>4.38</v>
          </cell>
          <cell r="R73">
            <v>4.75</v>
          </cell>
          <cell r="S73" t="str">
            <v>2.5</v>
          </cell>
          <cell r="T73">
            <v>110</v>
          </cell>
          <cell r="U73">
            <v>102.63</v>
          </cell>
          <cell r="V73">
            <v>102.63</v>
          </cell>
          <cell r="W73">
            <v>61.88</v>
          </cell>
          <cell r="X73">
            <v>793.59</v>
          </cell>
          <cell r="Y73">
            <v>789.1</v>
          </cell>
          <cell r="Z73">
            <v>791.06</v>
          </cell>
          <cell r="AA73">
            <v>1.53</v>
          </cell>
          <cell r="AB73">
            <v>2.4500000000000002</v>
          </cell>
          <cell r="AC73" t="str">
            <v>3.01</v>
          </cell>
          <cell r="AD73" t="str">
            <v>2.77</v>
          </cell>
          <cell r="AE73" t="str">
            <v>0.2</v>
          </cell>
          <cell r="AF73" t="str">
            <v>192.18</v>
          </cell>
          <cell r="AG73" t="str">
            <v>190.32</v>
          </cell>
          <cell r="AH73" t="str">
            <v>191.23</v>
          </cell>
          <cell r="AI73" t="str">
            <v>0.55</v>
          </cell>
          <cell r="AK73" t="str">
            <v>709.1</v>
          </cell>
          <cell r="AL73" t="str">
            <v>3.01</v>
          </cell>
          <cell r="AM73" t="str">
            <v>980.76</v>
          </cell>
          <cell r="AO73" t="str">
            <v>709.76</v>
          </cell>
          <cell r="AP73" t="str">
            <v>2.94</v>
          </cell>
          <cell r="AQ73" t="str">
            <v>981.94</v>
          </cell>
        </row>
        <row r="74">
          <cell r="D74" t="str">
            <v>사학과</v>
          </cell>
          <cell r="E74">
            <v>22</v>
          </cell>
          <cell r="F74">
            <v>156</v>
          </cell>
          <cell r="G74">
            <v>7.0909090909090908</v>
          </cell>
          <cell r="H74">
            <v>22</v>
          </cell>
          <cell r="I74">
            <v>18</v>
          </cell>
          <cell r="J74">
            <v>18</v>
          </cell>
          <cell r="P74" t="str">
            <v>3.72</v>
          </cell>
          <cell r="Q74" t="str">
            <v>4.28</v>
          </cell>
          <cell r="R74">
            <v>4.83</v>
          </cell>
          <cell r="S74" t="str">
            <v>2.92</v>
          </cell>
          <cell r="T74">
            <v>113</v>
          </cell>
          <cell r="U74">
            <v>105.78</v>
          </cell>
          <cell r="V74">
            <v>102.11</v>
          </cell>
          <cell r="W74">
            <v>60.86</v>
          </cell>
          <cell r="X74">
            <v>790.88</v>
          </cell>
          <cell r="Y74">
            <v>782.99</v>
          </cell>
          <cell r="Z74">
            <v>786.33</v>
          </cell>
          <cell r="AA74">
            <v>2.17</v>
          </cell>
          <cell r="AB74">
            <v>2.84</v>
          </cell>
          <cell r="AC74" t="str">
            <v>3.73</v>
          </cell>
          <cell r="AD74" t="str">
            <v>3.39</v>
          </cell>
          <cell r="AE74" t="str">
            <v>0.26</v>
          </cell>
          <cell r="AF74" t="str">
            <v>192.22</v>
          </cell>
          <cell r="AG74" t="str">
            <v>189.98</v>
          </cell>
          <cell r="AH74" t="str">
            <v>191.41</v>
          </cell>
          <cell r="AI74" t="str">
            <v>0.52</v>
          </cell>
          <cell r="AK74" t="str">
            <v>702.99</v>
          </cell>
          <cell r="AL74" t="str">
            <v>3.73</v>
          </cell>
          <cell r="AM74" t="str">
            <v>974.86</v>
          </cell>
          <cell r="AO74" t="str">
            <v>704.21</v>
          </cell>
          <cell r="AP74" t="str">
            <v>3.7</v>
          </cell>
          <cell r="AQ74" t="str">
            <v>975.88</v>
          </cell>
        </row>
        <row r="75">
          <cell r="D75" t="str">
            <v>스페인.중남미어문학과</v>
          </cell>
          <cell r="E75">
            <v>14</v>
          </cell>
          <cell r="F75">
            <v>89</v>
          </cell>
          <cell r="G75">
            <v>6.3571428571428568</v>
          </cell>
          <cell r="H75">
            <v>14</v>
          </cell>
          <cell r="I75">
            <v>12</v>
          </cell>
          <cell r="J75">
            <v>12</v>
          </cell>
          <cell r="P75" t="str">
            <v>4.5</v>
          </cell>
          <cell r="Q75" t="str">
            <v>4.83</v>
          </cell>
          <cell r="R75">
            <v>4</v>
          </cell>
          <cell r="S75" t="str">
            <v>3.29</v>
          </cell>
          <cell r="T75">
            <v>106.33</v>
          </cell>
          <cell r="U75">
            <v>97.17</v>
          </cell>
          <cell r="V75">
            <v>111.33</v>
          </cell>
          <cell r="W75">
            <v>58.58</v>
          </cell>
          <cell r="X75">
            <v>785.44</v>
          </cell>
          <cell r="Y75">
            <v>772.78</v>
          </cell>
          <cell r="Z75">
            <v>777.93</v>
          </cell>
          <cell r="AA75">
            <v>3.83</v>
          </cell>
          <cell r="AB75">
            <v>3.34</v>
          </cell>
          <cell r="AC75" t="str">
            <v>4.83</v>
          </cell>
          <cell r="AD75" t="str">
            <v>4.25</v>
          </cell>
          <cell r="AE75" t="str">
            <v>0.45</v>
          </cell>
          <cell r="AF75" t="str">
            <v>192.64</v>
          </cell>
          <cell r="AG75" t="str">
            <v>189.77</v>
          </cell>
          <cell r="AH75" t="str">
            <v>191.23</v>
          </cell>
          <cell r="AI75" t="str">
            <v>0.85</v>
          </cell>
          <cell r="AK75" t="str">
            <v>695.42</v>
          </cell>
          <cell r="AL75" t="str">
            <v>4.49</v>
          </cell>
          <cell r="AM75" t="str">
            <v>965.19</v>
          </cell>
          <cell r="AO75" t="str">
            <v>694.83</v>
          </cell>
          <cell r="AP75" t="str">
            <v>4.59</v>
          </cell>
          <cell r="AQ75" t="str">
            <v>966.51</v>
          </cell>
        </row>
        <row r="76">
          <cell r="D76" t="str">
            <v>영어영문학과</v>
          </cell>
          <cell r="E76">
            <v>22</v>
          </cell>
          <cell r="F76">
            <v>151</v>
          </cell>
          <cell r="G76">
            <v>6.8636363636363633</v>
          </cell>
          <cell r="H76">
            <v>22</v>
          </cell>
          <cell r="I76">
            <v>20</v>
          </cell>
          <cell r="J76">
            <v>20</v>
          </cell>
          <cell r="P76" t="str">
            <v>3.4</v>
          </cell>
          <cell r="Q76" t="str">
            <v>3.4</v>
          </cell>
          <cell r="R76">
            <v>3.15</v>
          </cell>
          <cell r="S76" t="str">
            <v>2.6</v>
          </cell>
          <cell r="T76">
            <v>115.7</v>
          </cell>
          <cell r="U76">
            <v>117.7</v>
          </cell>
          <cell r="V76">
            <v>120.1</v>
          </cell>
          <cell r="W76">
            <v>61.55</v>
          </cell>
          <cell r="X76">
            <v>792.45</v>
          </cell>
          <cell r="Y76">
            <v>785.54</v>
          </cell>
          <cell r="Z76">
            <v>788.02</v>
          </cell>
          <cell r="AA76">
            <v>2.06</v>
          </cell>
          <cell r="AB76">
            <v>2.56</v>
          </cell>
          <cell r="AC76" t="str">
            <v>3.52</v>
          </cell>
          <cell r="AD76" t="str">
            <v>3.17</v>
          </cell>
          <cell r="AE76" t="str">
            <v>0.26</v>
          </cell>
          <cell r="AF76" t="str">
            <v>191.93</v>
          </cell>
          <cell r="AG76" t="str">
            <v>189.87</v>
          </cell>
          <cell r="AH76" t="str">
            <v>191.09</v>
          </cell>
          <cell r="AI76" t="str">
            <v>0.55</v>
          </cell>
          <cell r="AK76" t="str">
            <v>705.54</v>
          </cell>
          <cell r="AL76" t="str">
            <v>3.52</v>
          </cell>
          <cell r="AM76" t="str">
            <v>977.23</v>
          </cell>
          <cell r="AO76" t="str">
            <v>707.82</v>
          </cell>
          <cell r="AP76" t="str">
            <v>3.11</v>
          </cell>
          <cell r="AQ76" t="str">
            <v>977.69</v>
          </cell>
        </row>
        <row r="77">
          <cell r="D77" t="str">
            <v>일어일문학과</v>
          </cell>
          <cell r="E77">
            <v>15</v>
          </cell>
          <cell r="F77">
            <v>106</v>
          </cell>
          <cell r="G77">
            <v>7.0666666666666664</v>
          </cell>
          <cell r="H77">
            <v>15</v>
          </cell>
          <cell r="I77">
            <v>9</v>
          </cell>
          <cell r="J77">
            <v>9</v>
          </cell>
          <cell r="P77" t="str">
            <v>4.56</v>
          </cell>
          <cell r="Q77" t="str">
            <v>6.33</v>
          </cell>
          <cell r="R77">
            <v>5.67</v>
          </cell>
          <cell r="S77" t="str">
            <v>3.61</v>
          </cell>
          <cell r="T77">
            <v>105.67</v>
          </cell>
          <cell r="U77">
            <v>86.22</v>
          </cell>
          <cell r="V77">
            <v>92.89</v>
          </cell>
          <cell r="W77">
            <v>55.44</v>
          </cell>
          <cell r="X77">
            <v>799.1</v>
          </cell>
          <cell r="Y77">
            <v>787.85</v>
          </cell>
          <cell r="Z77">
            <v>792.61</v>
          </cell>
          <cell r="AA77">
            <v>3.13</v>
          </cell>
          <cell r="AB77">
            <v>1.27</v>
          </cell>
          <cell r="AC77" t="str">
            <v>2.93</v>
          </cell>
          <cell r="AD77" t="str">
            <v>2.41</v>
          </cell>
          <cell r="AE77" t="str">
            <v>0.52</v>
          </cell>
          <cell r="AF77" t="str">
            <v>193.13</v>
          </cell>
          <cell r="AG77" t="str">
            <v>189.43</v>
          </cell>
          <cell r="AH77" t="str">
            <v>191.6</v>
          </cell>
          <cell r="AI77" t="str">
            <v>1.43</v>
          </cell>
          <cell r="AK77" t="str">
            <v>787.85</v>
          </cell>
          <cell r="AM77" t="str">
            <v>980.82</v>
          </cell>
          <cell r="AO77" t="str">
            <v>712.74</v>
          </cell>
          <cell r="AP77" t="str">
            <v>2.53</v>
          </cell>
          <cell r="AQ77" t="str">
            <v>982.5</v>
          </cell>
        </row>
        <row r="78">
          <cell r="D78" t="str">
            <v>중어중문학과</v>
          </cell>
          <cell r="E78">
            <v>16</v>
          </cell>
          <cell r="F78">
            <v>98</v>
          </cell>
          <cell r="G78">
            <v>6.125</v>
          </cell>
          <cell r="H78">
            <v>16</v>
          </cell>
          <cell r="I78">
            <v>10</v>
          </cell>
          <cell r="J78">
            <v>9</v>
          </cell>
          <cell r="P78" t="str">
            <v>4.22</v>
          </cell>
          <cell r="Q78" t="str">
            <v>3.89</v>
          </cell>
          <cell r="R78">
            <v>4</v>
          </cell>
          <cell r="S78" t="str">
            <v>3.39</v>
          </cell>
          <cell r="T78">
            <v>108.67</v>
          </cell>
          <cell r="U78">
            <v>112.33</v>
          </cell>
          <cell r="V78">
            <v>110</v>
          </cell>
          <cell r="W78">
            <v>58.06</v>
          </cell>
          <cell r="X78">
            <v>789.86</v>
          </cell>
          <cell r="Y78">
            <v>782.17</v>
          </cell>
          <cell r="Z78">
            <v>785.55</v>
          </cell>
          <cell r="AA78">
            <v>2.88</v>
          </cell>
          <cell r="AB78">
            <v>2.99</v>
          </cell>
          <cell r="AC78" t="str">
            <v>3.88</v>
          </cell>
          <cell r="AD78" t="str">
            <v>3.46</v>
          </cell>
          <cell r="AE78" t="str">
            <v>0.32</v>
          </cell>
          <cell r="AF78" t="str">
            <v>191.84</v>
          </cell>
          <cell r="AG78" t="str">
            <v>188.6</v>
          </cell>
          <cell r="AH78" t="str">
            <v>191.01</v>
          </cell>
          <cell r="AI78" t="str">
            <v>1.08</v>
          </cell>
          <cell r="AK78" t="str">
            <v>702.49</v>
          </cell>
          <cell r="AL78" t="str">
            <v>3.68</v>
          </cell>
          <cell r="AM78" t="str">
            <v>973.25</v>
          </cell>
          <cell r="AO78" t="str">
            <v>702.46</v>
          </cell>
          <cell r="AP78" t="str">
            <v>3.83</v>
          </cell>
          <cell r="AQ78" t="str">
            <v>974.3</v>
          </cell>
        </row>
        <row r="79">
          <cell r="D79" t="str">
            <v>철학과</v>
          </cell>
          <cell r="E79">
            <v>17</v>
          </cell>
          <cell r="F79">
            <v>80</v>
          </cell>
          <cell r="G79">
            <v>4.7058823529411766</v>
          </cell>
          <cell r="H79">
            <v>17</v>
          </cell>
          <cell r="I79">
            <v>13</v>
          </cell>
          <cell r="J79">
            <v>13</v>
          </cell>
          <cell r="P79" t="str">
            <v>4</v>
          </cell>
          <cell r="Q79" t="str">
            <v>4.85</v>
          </cell>
          <cell r="R79">
            <v>4.6900000000000004</v>
          </cell>
          <cell r="S79" t="str">
            <v>4.08</v>
          </cell>
          <cell r="T79">
            <v>109.77</v>
          </cell>
          <cell r="U79">
            <v>98.62</v>
          </cell>
          <cell r="V79">
            <v>104.92</v>
          </cell>
          <cell r="W79">
            <v>54.54</v>
          </cell>
          <cell r="X79">
            <v>785.06</v>
          </cell>
          <cell r="Y79">
            <v>769.32</v>
          </cell>
          <cell r="Z79">
            <v>775.19</v>
          </cell>
          <cell r="AA79">
            <v>5.23</v>
          </cell>
          <cell r="AB79">
            <v>3.57</v>
          </cell>
          <cell r="AC79" t="str">
            <v>5.14</v>
          </cell>
          <cell r="AD79" t="str">
            <v>4.55</v>
          </cell>
          <cell r="AE79" t="str">
            <v>0.55</v>
          </cell>
          <cell r="AF79" t="str">
            <v>194.33</v>
          </cell>
          <cell r="AG79" t="str">
            <v>186.6</v>
          </cell>
          <cell r="AH79" t="str">
            <v>191.33</v>
          </cell>
          <cell r="AI79" t="str">
            <v>2.12</v>
          </cell>
          <cell r="AK79" t="str">
            <v>689.32</v>
          </cell>
          <cell r="AL79" t="str">
            <v>5.12</v>
          </cell>
          <cell r="AM79" t="str">
            <v>961.44</v>
          </cell>
          <cell r="AO79" t="str">
            <v>693.13</v>
          </cell>
          <cell r="AP79" t="str">
            <v>4.78</v>
          </cell>
          <cell r="AQ79" t="str">
            <v>962.85</v>
          </cell>
        </row>
        <row r="80">
          <cell r="D80" t="str">
            <v>프랑스학과</v>
          </cell>
          <cell r="E80">
            <v>17</v>
          </cell>
          <cell r="F80">
            <v>96</v>
          </cell>
          <cell r="G80">
            <v>5.6470588235294121</v>
          </cell>
          <cell r="H80">
            <v>17</v>
          </cell>
          <cell r="I80">
            <v>14</v>
          </cell>
          <cell r="J80">
            <v>13</v>
          </cell>
          <cell r="P80" t="str">
            <v>4.23</v>
          </cell>
          <cell r="Q80" t="str">
            <v>4.69</v>
          </cell>
          <cell r="R80">
            <v>4.62</v>
          </cell>
          <cell r="S80" t="str">
            <v>2.85</v>
          </cell>
          <cell r="T80">
            <v>109.62</v>
          </cell>
          <cell r="U80">
            <v>100.31</v>
          </cell>
          <cell r="V80">
            <v>105.77</v>
          </cell>
          <cell r="W80">
            <v>60.58</v>
          </cell>
          <cell r="X80">
            <v>789.13</v>
          </cell>
          <cell r="Y80">
            <v>771.11</v>
          </cell>
          <cell r="Z80">
            <v>776.1</v>
          </cell>
          <cell r="AA80">
            <v>4.97</v>
          </cell>
          <cell r="AB80">
            <v>2.98</v>
          </cell>
          <cell r="AC80" t="str">
            <v>4.95</v>
          </cell>
          <cell r="AD80" t="str">
            <v>4.46</v>
          </cell>
          <cell r="AE80" t="str">
            <v>0.53</v>
          </cell>
          <cell r="AF80" t="str">
            <v>193.67</v>
          </cell>
          <cell r="AG80" t="str">
            <v>190.03</v>
          </cell>
          <cell r="AH80" t="str">
            <v>191.77</v>
          </cell>
          <cell r="AI80" t="str">
            <v>0.99</v>
          </cell>
          <cell r="AK80" t="str">
            <v>691.11</v>
          </cell>
          <cell r="AL80" t="str">
            <v>4.95</v>
          </cell>
          <cell r="AM80" t="str">
            <v>963.3</v>
          </cell>
          <cell r="AO80" t="str">
            <v>691.91</v>
          </cell>
          <cell r="AP80" t="str">
            <v>4.87</v>
          </cell>
          <cell r="AQ80" t="str">
            <v>964.97</v>
          </cell>
        </row>
        <row r="81">
          <cell r="D81" t="str">
            <v>과학학과</v>
          </cell>
          <cell r="E81">
            <v>10</v>
          </cell>
          <cell r="F81">
            <v>50</v>
          </cell>
          <cell r="G81">
            <v>5</v>
          </cell>
          <cell r="H81">
            <v>9</v>
          </cell>
          <cell r="I81">
            <v>9</v>
          </cell>
          <cell r="J81">
            <v>9</v>
          </cell>
          <cell r="P81" t="str">
            <v>4.33</v>
          </cell>
          <cell r="Q81" t="str">
            <v>4</v>
          </cell>
          <cell r="R81">
            <v>5.56</v>
          </cell>
          <cell r="S81" t="str">
            <v>3.61</v>
          </cell>
          <cell r="T81">
            <v>108.11</v>
          </cell>
          <cell r="U81">
            <v>109</v>
          </cell>
          <cell r="V81">
            <v>94.67</v>
          </cell>
          <cell r="W81">
            <v>56.5</v>
          </cell>
          <cell r="X81">
            <v>787.03</v>
          </cell>
          <cell r="Y81">
            <v>763.36</v>
          </cell>
          <cell r="Z81">
            <v>770.56</v>
          </cell>
          <cell r="AA81">
            <v>7.11</v>
          </cell>
          <cell r="AB81">
            <v>3.37</v>
          </cell>
          <cell r="AC81" t="str">
            <v>5.68</v>
          </cell>
          <cell r="AD81" t="str">
            <v>5</v>
          </cell>
          <cell r="AE81" t="str">
            <v>0.7</v>
          </cell>
          <cell r="AF81" t="str">
            <v>193.19</v>
          </cell>
          <cell r="AG81" t="str">
            <v>191.27</v>
          </cell>
          <cell r="AH81" t="str">
            <v>192.23</v>
          </cell>
          <cell r="AI81" t="str">
            <v>0.66</v>
          </cell>
          <cell r="AK81" t="str">
            <v>683.36</v>
          </cell>
          <cell r="AL81" t="str">
            <v>5.68</v>
          </cell>
          <cell r="AM81" t="str">
            <v>955.96</v>
          </cell>
          <cell r="AO81" t="str">
            <v>684.41</v>
          </cell>
          <cell r="AP81" t="str">
            <v>5.6</v>
          </cell>
          <cell r="AQ81" t="str">
            <v>956.74</v>
          </cell>
        </row>
        <row r="82">
          <cell r="D82" t="str">
            <v>물리학과</v>
          </cell>
          <cell r="E82">
            <v>16</v>
          </cell>
          <cell r="F82">
            <v>35</v>
          </cell>
          <cell r="G82">
            <v>2.1875</v>
          </cell>
          <cell r="H82">
            <v>16</v>
          </cell>
          <cell r="I82">
            <v>14</v>
          </cell>
          <cell r="J82">
            <v>14</v>
          </cell>
          <cell r="P82" t="str">
            <v>4.86</v>
          </cell>
          <cell r="Q82" t="str">
            <v>5.57</v>
          </cell>
          <cell r="R82">
            <v>5.71</v>
          </cell>
          <cell r="S82" t="str">
            <v>4.32</v>
          </cell>
          <cell r="T82">
            <v>103.43</v>
          </cell>
          <cell r="U82">
            <v>94.57</v>
          </cell>
          <cell r="V82">
            <v>92.79</v>
          </cell>
          <cell r="W82">
            <v>53.75</v>
          </cell>
          <cell r="X82">
            <v>779.45</v>
          </cell>
          <cell r="Y82">
            <v>762.71</v>
          </cell>
          <cell r="Z82">
            <v>769.83</v>
          </cell>
          <cell r="AA82">
            <v>4.82</v>
          </cell>
          <cell r="AB82">
            <v>4.13</v>
          </cell>
          <cell r="AC82" t="str">
            <v>5.92</v>
          </cell>
          <cell r="AD82" t="str">
            <v>5.1</v>
          </cell>
          <cell r="AE82" t="str">
            <v>0.5</v>
          </cell>
          <cell r="AF82" t="str">
            <v>195.26</v>
          </cell>
          <cell r="AG82" t="str">
            <v>185.75</v>
          </cell>
          <cell r="AH82" t="str">
            <v>191.14</v>
          </cell>
          <cell r="AI82" t="str">
            <v>2.24</v>
          </cell>
          <cell r="AK82" t="str">
            <v>682.71</v>
          </cell>
          <cell r="AL82" t="str">
            <v>5.92</v>
          </cell>
          <cell r="AM82" t="str">
            <v>953.15</v>
          </cell>
          <cell r="AO82" t="str">
            <v>687.7</v>
          </cell>
          <cell r="AP82" t="str">
            <v>5.25</v>
          </cell>
          <cell r="AQ82" t="str">
            <v>958.44</v>
          </cell>
        </row>
        <row r="83">
          <cell r="D83" t="str">
            <v>반도체과학기술학과</v>
          </cell>
          <cell r="E83">
            <v>13</v>
          </cell>
          <cell r="F83">
            <v>36</v>
          </cell>
          <cell r="G83">
            <v>2.7692307692307692</v>
          </cell>
          <cell r="H83">
            <v>2</v>
          </cell>
          <cell r="I83">
            <v>1</v>
          </cell>
          <cell r="J83">
            <v>1</v>
          </cell>
          <cell r="P83" t="str">
            <v>3</v>
          </cell>
          <cell r="Q83" t="str">
            <v>4</v>
          </cell>
          <cell r="R83">
            <v>5</v>
          </cell>
          <cell r="S83" t="str">
            <v>3.5</v>
          </cell>
          <cell r="T83">
            <v>120</v>
          </cell>
          <cell r="U83">
            <v>112</v>
          </cell>
          <cell r="V83">
            <v>103</v>
          </cell>
          <cell r="W83">
            <v>58.5</v>
          </cell>
          <cell r="X83">
            <v>768.44</v>
          </cell>
          <cell r="Y83">
            <v>768.44</v>
          </cell>
          <cell r="Z83">
            <v>768.44</v>
          </cell>
          <cell r="AB83">
            <v>5.23</v>
          </cell>
          <cell r="AC83" t="str">
            <v>5.23</v>
          </cell>
          <cell r="AD83" t="str">
            <v>5.23</v>
          </cell>
          <cell r="AF83" t="str">
            <v>193.6</v>
          </cell>
          <cell r="AG83" t="str">
            <v>193.6</v>
          </cell>
          <cell r="AH83" t="str">
            <v>193.6</v>
          </cell>
          <cell r="AK83" t="str">
            <v>688.44</v>
          </cell>
          <cell r="AL83" t="str">
            <v>5.23</v>
          </cell>
          <cell r="AM83" t="str">
            <v>962.04</v>
          </cell>
          <cell r="AO83" t="str">
            <v>688.44</v>
          </cell>
          <cell r="AP83" t="str">
            <v>5.23</v>
          </cell>
          <cell r="AQ83" t="str">
            <v>962.04</v>
          </cell>
        </row>
        <row r="84">
          <cell r="D84" t="str">
            <v>생물과학부</v>
          </cell>
          <cell r="E84">
            <v>35</v>
          </cell>
          <cell r="F84">
            <v>176</v>
          </cell>
          <cell r="G84">
            <v>5.0285714285714285</v>
          </cell>
          <cell r="H84">
            <v>24</v>
          </cell>
          <cell r="I84">
            <v>21</v>
          </cell>
          <cell r="J84">
            <v>21</v>
          </cell>
          <cell r="P84" t="str">
            <v>2.9</v>
          </cell>
          <cell r="Q84" t="str">
            <v>4.95</v>
          </cell>
          <cell r="R84">
            <v>3.43</v>
          </cell>
          <cell r="S84" t="str">
            <v>2.64</v>
          </cell>
          <cell r="T84">
            <v>118.81</v>
          </cell>
          <cell r="U84">
            <v>100.57</v>
          </cell>
          <cell r="V84">
            <v>116.14</v>
          </cell>
          <cell r="W84">
            <v>60.48</v>
          </cell>
          <cell r="X84">
            <v>796.15</v>
          </cell>
          <cell r="Y84">
            <v>773.68</v>
          </cell>
          <cell r="Z84">
            <v>783.19</v>
          </cell>
          <cell r="AA84">
            <v>7.15</v>
          </cell>
          <cell r="AB84">
            <v>1.97</v>
          </cell>
          <cell r="AC84" t="str">
            <v>4.72</v>
          </cell>
          <cell r="AD84" t="str">
            <v>3.68</v>
          </cell>
          <cell r="AE84" t="str">
            <v>0.83</v>
          </cell>
          <cell r="AF84" t="str">
            <v>193.85</v>
          </cell>
          <cell r="AG84" t="str">
            <v>189.6</v>
          </cell>
          <cell r="AH84" t="str">
            <v>191.93</v>
          </cell>
          <cell r="AI84" t="str">
            <v>1.18</v>
          </cell>
          <cell r="AK84" t="str">
            <v>693.69</v>
          </cell>
          <cell r="AL84" t="str">
            <v>4.72</v>
          </cell>
          <cell r="AM84" t="str">
            <v>965.99</v>
          </cell>
          <cell r="AO84" t="str">
            <v>696.71</v>
          </cell>
          <cell r="AP84" t="str">
            <v>4.32</v>
          </cell>
          <cell r="AQ84" t="str">
            <v>968.94</v>
          </cell>
        </row>
        <row r="85">
          <cell r="D85" t="str">
            <v>수의예과</v>
          </cell>
          <cell r="E85">
            <v>20</v>
          </cell>
          <cell r="F85">
            <v>123</v>
          </cell>
          <cell r="G85">
            <v>6.15</v>
          </cell>
          <cell r="H85">
            <v>20</v>
          </cell>
          <cell r="I85">
            <v>11</v>
          </cell>
          <cell r="J85">
            <v>10</v>
          </cell>
          <cell r="P85" t="str">
            <v>1.8</v>
          </cell>
          <cell r="Q85" t="str">
            <v>3.6</v>
          </cell>
          <cell r="R85">
            <v>2.1</v>
          </cell>
          <cell r="S85" t="str">
            <v>1.9</v>
          </cell>
          <cell r="T85">
            <v>124.8</v>
          </cell>
          <cell r="U85">
            <v>114.4</v>
          </cell>
          <cell r="V85">
            <v>127</v>
          </cell>
          <cell r="W85">
            <v>64.8</v>
          </cell>
          <cell r="X85">
            <v>800.22</v>
          </cell>
          <cell r="Y85">
            <v>795.55</v>
          </cell>
          <cell r="Z85">
            <v>797.18</v>
          </cell>
          <cell r="AA85">
            <v>1.45</v>
          </cell>
          <cell r="AB85">
            <v>1.3</v>
          </cell>
          <cell r="AC85" t="str">
            <v>2.03</v>
          </cell>
          <cell r="AD85" t="str">
            <v>1.77</v>
          </cell>
          <cell r="AE85" t="str">
            <v>0.23</v>
          </cell>
          <cell r="AF85" t="str">
            <v>191.69</v>
          </cell>
          <cell r="AG85" t="str">
            <v>190.85</v>
          </cell>
          <cell r="AH85" t="str">
            <v>191.16</v>
          </cell>
          <cell r="AI85" t="str">
            <v>0.28</v>
          </cell>
          <cell r="AK85" t="str">
            <v>715.78</v>
          </cell>
          <cell r="AL85" t="str">
            <v>1.9</v>
          </cell>
          <cell r="AM85" t="str">
            <v>986.63</v>
          </cell>
          <cell r="AO85" t="str">
            <v>716.09</v>
          </cell>
          <cell r="AP85" t="str">
            <v>1.97</v>
          </cell>
          <cell r="AQ85" t="str">
            <v>987.1</v>
          </cell>
        </row>
        <row r="86">
          <cell r="D86" t="str">
            <v>수학과</v>
          </cell>
          <cell r="E86">
            <v>10</v>
          </cell>
          <cell r="F86">
            <v>75</v>
          </cell>
          <cell r="G86">
            <v>7.5</v>
          </cell>
          <cell r="H86">
            <v>10</v>
          </cell>
          <cell r="I86">
            <v>7</v>
          </cell>
          <cell r="J86">
            <v>7</v>
          </cell>
          <cell r="P86" t="str">
            <v>3.43</v>
          </cell>
          <cell r="Q86" t="str">
            <v>4.71</v>
          </cell>
          <cell r="R86">
            <v>4.1399999999999997</v>
          </cell>
          <cell r="S86" t="str">
            <v>3.71</v>
          </cell>
          <cell r="T86">
            <v>114.43</v>
          </cell>
          <cell r="U86">
            <v>103.86</v>
          </cell>
          <cell r="V86">
            <v>112.29</v>
          </cell>
          <cell r="W86">
            <v>56.79</v>
          </cell>
          <cell r="X86">
            <v>791.89</v>
          </cell>
          <cell r="Y86">
            <v>785.04</v>
          </cell>
          <cell r="Z86">
            <v>788.71</v>
          </cell>
          <cell r="AA86">
            <v>2.8</v>
          </cell>
          <cell r="AB86">
            <v>2.7</v>
          </cell>
          <cell r="AC86" t="str">
            <v>3.51</v>
          </cell>
          <cell r="AD86" t="str">
            <v>3.09</v>
          </cell>
          <cell r="AE86" t="str">
            <v>0.34</v>
          </cell>
          <cell r="AF86" t="str">
            <v>191.96</v>
          </cell>
          <cell r="AG86" t="str">
            <v>189.86</v>
          </cell>
          <cell r="AH86" t="str">
            <v>190.82</v>
          </cell>
          <cell r="AI86" t="str">
            <v>0.7</v>
          </cell>
          <cell r="AK86" t="str">
            <v>705.04</v>
          </cell>
          <cell r="AL86" t="str">
            <v>3.51</v>
          </cell>
          <cell r="AM86" t="str">
            <v>976.34</v>
          </cell>
          <cell r="AO86" t="str">
            <v>705.87</v>
          </cell>
          <cell r="AP86" t="str">
            <v>3.48</v>
          </cell>
          <cell r="AQ86" t="str">
            <v>977.05</v>
          </cell>
        </row>
        <row r="87">
          <cell r="D87" t="str">
            <v>지구환경과학과</v>
          </cell>
          <cell r="E87">
            <v>14</v>
          </cell>
          <cell r="F87">
            <v>46</v>
          </cell>
          <cell r="G87">
            <v>3.2857142857142856</v>
          </cell>
          <cell r="H87">
            <v>8</v>
          </cell>
          <cell r="I87">
            <v>7</v>
          </cell>
          <cell r="J87">
            <v>7</v>
          </cell>
          <cell r="P87" t="str">
            <v>4</v>
          </cell>
          <cell r="Q87" t="str">
            <v>6.71</v>
          </cell>
          <cell r="R87">
            <v>5</v>
          </cell>
          <cell r="S87" t="str">
            <v>2.64</v>
          </cell>
          <cell r="T87">
            <v>112.14</v>
          </cell>
          <cell r="U87">
            <v>80.430000000000007</v>
          </cell>
          <cell r="V87">
            <v>100.14</v>
          </cell>
          <cell r="W87">
            <v>61.93</v>
          </cell>
          <cell r="X87">
            <v>780.89</v>
          </cell>
          <cell r="Y87">
            <v>766.65</v>
          </cell>
          <cell r="Z87">
            <v>773.21</v>
          </cell>
          <cell r="AA87">
            <v>6.14</v>
          </cell>
          <cell r="AB87">
            <v>3.95</v>
          </cell>
          <cell r="AC87" t="str">
            <v>5.41</v>
          </cell>
          <cell r="AD87" t="str">
            <v>4.74</v>
          </cell>
          <cell r="AE87" t="str">
            <v>0.62</v>
          </cell>
          <cell r="AF87" t="str">
            <v>195.16</v>
          </cell>
          <cell r="AG87" t="str">
            <v>189.56</v>
          </cell>
          <cell r="AH87" t="str">
            <v>191.79</v>
          </cell>
          <cell r="AI87" t="str">
            <v>2.04</v>
          </cell>
          <cell r="AK87" t="str">
            <v>687.11</v>
          </cell>
          <cell r="AL87" t="str">
            <v>5.38</v>
          </cell>
          <cell r="AM87" t="str">
            <v>958.17</v>
          </cell>
          <cell r="AO87" t="str">
            <v>689.44</v>
          </cell>
          <cell r="AP87" t="str">
            <v>5.09</v>
          </cell>
          <cell r="AQ87" t="str">
            <v>959</v>
          </cell>
        </row>
        <row r="88">
          <cell r="D88" t="str">
            <v>통계정보과학과</v>
          </cell>
          <cell r="E88">
            <v>18</v>
          </cell>
          <cell r="F88">
            <v>73</v>
          </cell>
          <cell r="G88">
            <v>4.0555555555555554</v>
          </cell>
          <cell r="H88">
            <v>18</v>
          </cell>
          <cell r="I88">
            <v>13</v>
          </cell>
          <cell r="J88">
            <v>13</v>
          </cell>
          <cell r="P88" t="str">
            <v>3.92</v>
          </cell>
          <cell r="Q88" t="str">
            <v>5.23</v>
          </cell>
          <cell r="R88">
            <v>4.3099999999999996</v>
          </cell>
          <cell r="S88" t="str">
            <v>3.81</v>
          </cell>
          <cell r="T88">
            <v>112.54</v>
          </cell>
          <cell r="U88">
            <v>98.62</v>
          </cell>
          <cell r="V88">
            <v>108.08</v>
          </cell>
          <cell r="W88">
            <v>56.31</v>
          </cell>
          <cell r="X88">
            <v>787.16</v>
          </cell>
          <cell r="Y88">
            <v>774.12</v>
          </cell>
          <cell r="Z88">
            <v>780.17</v>
          </cell>
          <cell r="AA88">
            <v>3.96</v>
          </cell>
          <cell r="AB88">
            <v>3.38</v>
          </cell>
          <cell r="AC88" t="str">
            <v>4.67</v>
          </cell>
          <cell r="AD88" t="str">
            <v>4.07</v>
          </cell>
          <cell r="AE88" t="str">
            <v>0.39</v>
          </cell>
          <cell r="AF88" t="str">
            <v>193.52</v>
          </cell>
          <cell r="AG88" t="str">
            <v>188.93</v>
          </cell>
          <cell r="AH88" t="str">
            <v>191.65</v>
          </cell>
          <cell r="AI88" t="str">
            <v>1.61</v>
          </cell>
          <cell r="AK88" t="str">
            <v>694.57</v>
          </cell>
          <cell r="AL88" t="str">
            <v>4.62</v>
          </cell>
          <cell r="AM88" t="str">
            <v>966.83</v>
          </cell>
          <cell r="AO88" t="str">
            <v>695.74</v>
          </cell>
          <cell r="AP88" t="str">
            <v>4.5</v>
          </cell>
          <cell r="AQ88" t="str">
            <v>969.26</v>
          </cell>
        </row>
        <row r="89">
          <cell r="D89" t="str">
            <v>화학과</v>
          </cell>
          <cell r="E89">
            <v>20</v>
          </cell>
          <cell r="F89">
            <v>95</v>
          </cell>
          <cell r="G89">
            <v>4.75</v>
          </cell>
          <cell r="H89">
            <v>20</v>
          </cell>
          <cell r="I89">
            <v>15</v>
          </cell>
          <cell r="J89">
            <v>15</v>
          </cell>
          <cell r="P89" t="str">
            <v>3.33</v>
          </cell>
          <cell r="Q89" t="str">
            <v>5.2</v>
          </cell>
          <cell r="R89">
            <v>3.93</v>
          </cell>
          <cell r="S89" t="str">
            <v>3.07</v>
          </cell>
          <cell r="T89">
            <v>115.73</v>
          </cell>
          <cell r="U89">
            <v>97.53</v>
          </cell>
          <cell r="V89">
            <v>112.33</v>
          </cell>
          <cell r="W89">
            <v>59.7</v>
          </cell>
          <cell r="X89">
            <v>794.37</v>
          </cell>
          <cell r="Y89">
            <v>781.87</v>
          </cell>
          <cell r="Z89">
            <v>786.13</v>
          </cell>
          <cell r="AA89">
            <v>3.34</v>
          </cell>
          <cell r="AB89">
            <v>2.2200000000000002</v>
          </cell>
          <cell r="AC89" t="str">
            <v>3.85</v>
          </cell>
          <cell r="AD89" t="str">
            <v>3.39</v>
          </cell>
          <cell r="AE89" t="str">
            <v>0.43</v>
          </cell>
          <cell r="AF89" t="str">
            <v>193.55</v>
          </cell>
          <cell r="AG89" t="str">
            <v>188.03</v>
          </cell>
          <cell r="AH89" t="str">
            <v>191.17</v>
          </cell>
          <cell r="AI89" t="str">
            <v>1.46</v>
          </cell>
          <cell r="AK89" t="str">
            <v>701.87</v>
          </cell>
          <cell r="AL89" t="str">
            <v>3.85</v>
          </cell>
          <cell r="AM89" t="str">
            <v>973.01</v>
          </cell>
          <cell r="AO89" t="str">
            <v>703.91</v>
          </cell>
          <cell r="AP89" t="str">
            <v>3.64</v>
          </cell>
          <cell r="AQ89" t="str">
            <v>974.69</v>
          </cell>
        </row>
        <row r="90">
          <cell r="D90" t="str">
            <v>바이오식품공학과</v>
          </cell>
          <cell r="E90">
            <v>16</v>
          </cell>
          <cell r="F90">
            <v>35</v>
          </cell>
          <cell r="G90">
            <v>2.1875</v>
          </cell>
          <cell r="H90">
            <v>11</v>
          </cell>
          <cell r="I90">
            <v>11</v>
          </cell>
          <cell r="J90">
            <v>11</v>
          </cell>
          <cell r="P90" t="str">
            <v>4.73</v>
          </cell>
          <cell r="Q90" t="str">
            <v>6.45</v>
          </cell>
          <cell r="R90">
            <v>5.91</v>
          </cell>
          <cell r="S90" t="str">
            <v>4.95</v>
          </cell>
          <cell r="T90">
            <v>105.09</v>
          </cell>
          <cell r="U90">
            <v>85</v>
          </cell>
          <cell r="V90">
            <v>89.36</v>
          </cell>
          <cell r="W90">
            <v>49.73</v>
          </cell>
          <cell r="X90">
            <v>779.99</v>
          </cell>
          <cell r="Y90">
            <v>748.04</v>
          </cell>
          <cell r="Z90">
            <v>762.55</v>
          </cell>
          <cell r="AA90">
            <v>10.72</v>
          </cell>
          <cell r="AB90">
            <v>4.12</v>
          </cell>
          <cell r="AC90" t="str">
            <v>7.58</v>
          </cell>
          <cell r="AD90" t="str">
            <v>5.88</v>
          </cell>
          <cell r="AE90" t="str">
            <v>1.17</v>
          </cell>
          <cell r="AF90" t="str">
            <v>195.25</v>
          </cell>
          <cell r="AG90" t="str">
            <v>187.26</v>
          </cell>
          <cell r="AH90" t="str">
            <v>191.33</v>
          </cell>
          <cell r="AI90" t="str">
            <v>2.18</v>
          </cell>
          <cell r="AK90" t="str">
            <v>669.59</v>
          </cell>
          <cell r="AL90" t="str">
            <v>7.32</v>
          </cell>
          <cell r="AM90" t="str">
            <v>939.07</v>
          </cell>
          <cell r="AO90" t="str">
            <v>670.23</v>
          </cell>
          <cell r="AP90" t="str">
            <v>7.25</v>
          </cell>
          <cell r="AQ90" t="str">
            <v>941.48</v>
          </cell>
        </row>
        <row r="91">
          <cell r="D91" t="str">
            <v>생명공학부</v>
          </cell>
          <cell r="E91">
            <v>23</v>
          </cell>
          <cell r="F91">
            <v>103</v>
          </cell>
          <cell r="G91">
            <v>4.4782608695652177</v>
          </cell>
          <cell r="H91">
            <v>23</v>
          </cell>
          <cell r="I91">
            <v>19</v>
          </cell>
          <cell r="J91">
            <v>19</v>
          </cell>
          <cell r="P91" t="str">
            <v>4.32</v>
          </cell>
          <cell r="Q91" t="str">
            <v>5.26</v>
          </cell>
          <cell r="R91">
            <v>5.16</v>
          </cell>
          <cell r="S91" t="str">
            <v>3.74</v>
          </cell>
          <cell r="T91">
            <v>107.74</v>
          </cell>
          <cell r="U91">
            <v>96.21</v>
          </cell>
          <cell r="V91">
            <v>97.26</v>
          </cell>
          <cell r="W91">
            <v>56.08</v>
          </cell>
          <cell r="X91">
            <v>793.8</v>
          </cell>
          <cell r="Y91">
            <v>771.94</v>
          </cell>
          <cell r="Z91">
            <v>780.86</v>
          </cell>
          <cell r="AA91">
            <v>6.85</v>
          </cell>
          <cell r="AB91">
            <v>2.3199999999999998</v>
          </cell>
          <cell r="AC91" t="str">
            <v>4.78</v>
          </cell>
          <cell r="AD91" t="str">
            <v>3.91</v>
          </cell>
          <cell r="AE91" t="str">
            <v>0.77</v>
          </cell>
          <cell r="AF91" t="str">
            <v>194.64</v>
          </cell>
          <cell r="AG91" t="str">
            <v>186.41</v>
          </cell>
          <cell r="AH91" t="str">
            <v>190.43</v>
          </cell>
          <cell r="AI91" t="str">
            <v>2.22</v>
          </cell>
          <cell r="AK91" t="str">
            <v>692.68</v>
          </cell>
          <cell r="AL91" t="str">
            <v>4.77</v>
          </cell>
          <cell r="AM91" t="str">
            <v>959.24</v>
          </cell>
          <cell r="AO91" t="str">
            <v>699.78</v>
          </cell>
          <cell r="AP91" t="str">
            <v>4.15</v>
          </cell>
          <cell r="AQ91" t="str">
            <v>966.19</v>
          </cell>
        </row>
        <row r="92">
          <cell r="D92" t="str">
            <v>생명자원유통경제학과</v>
          </cell>
          <cell r="E92">
            <v>10</v>
          </cell>
          <cell r="F92">
            <v>49</v>
          </cell>
          <cell r="G92">
            <v>4.9000000000000004</v>
          </cell>
          <cell r="H92">
            <v>10</v>
          </cell>
          <cell r="I92">
            <v>6</v>
          </cell>
          <cell r="J92">
            <v>6</v>
          </cell>
          <cell r="P92" t="str">
            <v>4.83</v>
          </cell>
          <cell r="Q92" t="str">
            <v>5.67</v>
          </cell>
          <cell r="R92">
            <v>5.5</v>
          </cell>
          <cell r="S92" t="str">
            <v>4.17</v>
          </cell>
          <cell r="T92">
            <v>105</v>
          </cell>
          <cell r="U92">
            <v>91.5</v>
          </cell>
          <cell r="V92">
            <v>96.67</v>
          </cell>
          <cell r="W92">
            <v>54.5</v>
          </cell>
          <cell r="X92">
            <v>788.83</v>
          </cell>
          <cell r="Y92">
            <v>769.92</v>
          </cell>
          <cell r="Z92">
            <v>776.74</v>
          </cell>
          <cell r="AA92">
            <v>6.53</v>
          </cell>
          <cell r="AB92">
            <v>3.09</v>
          </cell>
          <cell r="AC92" t="str">
            <v>5.05</v>
          </cell>
          <cell r="AD92" t="str">
            <v>4.34</v>
          </cell>
          <cell r="AE92" t="str">
            <v>0.68</v>
          </cell>
          <cell r="AF92" t="str">
            <v>194.73</v>
          </cell>
          <cell r="AG92" t="str">
            <v>190.33</v>
          </cell>
          <cell r="AH92" t="str">
            <v>192.64</v>
          </cell>
          <cell r="AI92" t="str">
            <v>1.45</v>
          </cell>
          <cell r="AK92" t="str">
            <v>689.92</v>
          </cell>
          <cell r="AL92" t="str">
            <v>5.05</v>
          </cell>
          <cell r="AM92" t="str">
            <v>963</v>
          </cell>
          <cell r="AO92" t="str">
            <v>694.53</v>
          </cell>
          <cell r="AP92" t="str">
            <v>4.54</v>
          </cell>
          <cell r="AQ92" t="str">
            <v>964.86</v>
          </cell>
        </row>
        <row r="93">
          <cell r="D93" t="str">
            <v>한약자원학과</v>
          </cell>
          <cell r="E93">
            <v>13</v>
          </cell>
          <cell r="F93">
            <v>78</v>
          </cell>
          <cell r="G93">
            <v>6</v>
          </cell>
          <cell r="H93">
            <v>13</v>
          </cell>
          <cell r="I93">
            <v>8</v>
          </cell>
          <cell r="J93">
            <v>8</v>
          </cell>
          <cell r="P93" t="str">
            <v>5.25</v>
          </cell>
          <cell r="Q93" t="str">
            <v>5.63</v>
          </cell>
          <cell r="R93">
            <v>5.63</v>
          </cell>
          <cell r="S93" t="str">
            <v>4.31</v>
          </cell>
          <cell r="T93">
            <v>97.63</v>
          </cell>
          <cell r="U93">
            <v>91</v>
          </cell>
          <cell r="V93">
            <v>89.88</v>
          </cell>
          <cell r="W93">
            <v>52.88</v>
          </cell>
          <cell r="X93">
            <v>779.24</v>
          </cell>
          <cell r="Y93">
            <v>769.66</v>
          </cell>
          <cell r="Z93">
            <v>775.61</v>
          </cell>
          <cell r="AA93">
            <v>3.33</v>
          </cell>
          <cell r="AB93">
            <v>4.1100000000000003</v>
          </cell>
          <cell r="AC93" t="str">
            <v>5.09</v>
          </cell>
          <cell r="AD93" t="str">
            <v>4.51</v>
          </cell>
          <cell r="AE93" t="str">
            <v>0.33</v>
          </cell>
          <cell r="AF93" t="str">
            <v>192.94</v>
          </cell>
          <cell r="AG93" t="str">
            <v>189.62</v>
          </cell>
          <cell r="AH93" t="str">
            <v>191.43</v>
          </cell>
          <cell r="AI93" t="str">
            <v>1.28</v>
          </cell>
          <cell r="AK93" t="str">
            <v>689.66</v>
          </cell>
          <cell r="AL93" t="str">
            <v>5.09</v>
          </cell>
          <cell r="AM93" t="str">
            <v>960.74</v>
          </cell>
          <cell r="AO93" t="str">
            <v>695.03</v>
          </cell>
          <cell r="AP93" t="str">
            <v>4.55</v>
          </cell>
          <cell r="AQ93" t="str">
            <v>966.48</v>
          </cell>
        </row>
        <row r="94">
          <cell r="D94" t="str">
            <v>환경조경디자인학과</v>
          </cell>
          <cell r="E94">
            <v>14</v>
          </cell>
          <cell r="F94">
            <v>75</v>
          </cell>
          <cell r="G94">
            <v>5.3571428571428568</v>
          </cell>
          <cell r="H94">
            <v>12</v>
          </cell>
          <cell r="I94">
            <v>10</v>
          </cell>
          <cell r="J94">
            <v>10</v>
          </cell>
          <cell r="P94" t="str">
            <v>4.7</v>
          </cell>
          <cell r="Q94" t="str">
            <v>4.9</v>
          </cell>
          <cell r="R94">
            <v>5.9</v>
          </cell>
          <cell r="S94" t="str">
            <v>4.15</v>
          </cell>
          <cell r="T94">
            <v>104.7</v>
          </cell>
          <cell r="U94">
            <v>98.1</v>
          </cell>
          <cell r="V94">
            <v>90.7</v>
          </cell>
          <cell r="W94">
            <v>53.5</v>
          </cell>
          <cell r="X94">
            <v>771.86</v>
          </cell>
          <cell r="Y94">
            <v>760.15</v>
          </cell>
          <cell r="Z94">
            <v>766.5</v>
          </cell>
          <cell r="AA94">
            <v>3.64</v>
          </cell>
          <cell r="AB94">
            <v>4.88</v>
          </cell>
          <cell r="AC94" t="str">
            <v>5.96</v>
          </cell>
          <cell r="AD94" t="str">
            <v>5.4</v>
          </cell>
          <cell r="AE94" t="str">
            <v>0.37</v>
          </cell>
          <cell r="AF94" t="str">
            <v>193.16</v>
          </cell>
          <cell r="AG94" t="str">
            <v>187.95</v>
          </cell>
          <cell r="AH94" t="str">
            <v>190.85</v>
          </cell>
          <cell r="AI94" t="str">
            <v>1.48</v>
          </cell>
          <cell r="AK94" t="str">
            <v>680.15</v>
          </cell>
          <cell r="AL94" t="str">
            <v>5.96</v>
          </cell>
          <cell r="AM94" t="str">
            <v>950.86</v>
          </cell>
          <cell r="AO94" t="str">
            <v>682.86</v>
          </cell>
          <cell r="AP94" t="str">
            <v>5.82</v>
          </cell>
          <cell r="AQ94" t="str">
            <v>954.18</v>
          </cell>
        </row>
        <row r="95">
          <cell r="D95" t="str">
            <v>간호학과</v>
          </cell>
          <cell r="E95">
            <v>46</v>
          </cell>
          <cell r="F95">
            <v>113</v>
          </cell>
          <cell r="G95">
            <v>2.4565217391304346</v>
          </cell>
          <cell r="H95">
            <v>46</v>
          </cell>
          <cell r="I95">
            <v>0</v>
          </cell>
          <cell r="J95">
            <v>46</v>
          </cell>
          <cell r="K95">
            <v>20</v>
          </cell>
          <cell r="L95" t="str">
            <v>660.75</v>
          </cell>
          <cell r="M95" t="str">
            <v>612.05</v>
          </cell>
          <cell r="N95">
            <v>630.20000000000005</v>
          </cell>
          <cell r="O95" t="str">
            <v>10.75</v>
          </cell>
          <cell r="P95" t="str">
            <v>2.5</v>
          </cell>
          <cell r="Q95" t="str">
            <v>2.13</v>
          </cell>
          <cell r="R95">
            <v>2.83</v>
          </cell>
          <cell r="S95" t="str">
            <v>2.52</v>
          </cell>
          <cell r="T95">
            <v>121.5</v>
          </cell>
          <cell r="U95">
            <v>129.28</v>
          </cell>
          <cell r="V95">
            <v>122.57</v>
          </cell>
          <cell r="W95">
            <v>62.01</v>
          </cell>
          <cell r="AJ95" t="str">
            <v>612.05</v>
          </cell>
          <cell r="AM95" t="str">
            <v>612.05</v>
          </cell>
          <cell r="AN95" t="str">
            <v>620.58</v>
          </cell>
          <cell r="AQ95" t="str">
            <v>620.58</v>
          </cell>
        </row>
        <row r="96">
          <cell r="D96" t="str">
            <v>IT응용시스템공학과</v>
          </cell>
          <cell r="E96">
            <v>12</v>
          </cell>
          <cell r="F96">
            <v>37</v>
          </cell>
          <cell r="G96">
            <v>3.0833333333333335</v>
          </cell>
          <cell r="H96">
            <v>12</v>
          </cell>
          <cell r="I96">
            <v>0</v>
          </cell>
          <cell r="J96">
            <v>11</v>
          </cell>
          <cell r="K96">
            <v>8</v>
          </cell>
          <cell r="L96" t="str">
            <v>551.25</v>
          </cell>
          <cell r="M96" t="str">
            <v>520.5</v>
          </cell>
          <cell r="N96">
            <v>536.32000000000005</v>
          </cell>
          <cell r="O96" t="str">
            <v>11.04</v>
          </cell>
          <cell r="P96" t="str">
            <v>3.64</v>
          </cell>
          <cell r="Q96" t="str">
            <v>5.27</v>
          </cell>
          <cell r="R96">
            <v>4.2699999999999996</v>
          </cell>
          <cell r="S96" t="str">
            <v>3.77</v>
          </cell>
          <cell r="T96">
            <v>114.55</v>
          </cell>
          <cell r="U96">
            <v>97.45</v>
          </cell>
          <cell r="V96">
            <v>108.91</v>
          </cell>
          <cell r="W96">
            <v>55.73</v>
          </cell>
          <cell r="AJ96" t="str">
            <v>520.5</v>
          </cell>
          <cell r="AM96" t="str">
            <v>520.5</v>
          </cell>
          <cell r="AN96" t="str">
            <v>526.25</v>
          </cell>
          <cell r="AQ96" t="str">
            <v>526.25</v>
          </cell>
        </row>
        <row r="97">
          <cell r="D97" t="str">
            <v>IT정보공학부(소프트웨어공학)</v>
          </cell>
          <cell r="E97">
            <v>13</v>
          </cell>
          <cell r="F97">
            <v>32</v>
          </cell>
          <cell r="G97">
            <v>2.4615384615384617</v>
          </cell>
          <cell r="H97">
            <v>13</v>
          </cell>
          <cell r="I97">
            <v>0</v>
          </cell>
          <cell r="J97">
            <v>13</v>
          </cell>
          <cell r="K97">
            <v>4</v>
          </cell>
          <cell r="L97" t="str">
            <v>563.75</v>
          </cell>
          <cell r="M97" t="str">
            <v>486</v>
          </cell>
          <cell r="N97">
            <v>511.54</v>
          </cell>
          <cell r="O97" t="str">
            <v>25.73</v>
          </cell>
          <cell r="P97" t="str">
            <v>4.38</v>
          </cell>
          <cell r="Q97" t="str">
            <v>5.85</v>
          </cell>
          <cell r="R97">
            <v>4.46</v>
          </cell>
          <cell r="S97" t="str">
            <v>4.27</v>
          </cell>
          <cell r="T97">
            <v>107.62</v>
          </cell>
          <cell r="U97">
            <v>91</v>
          </cell>
          <cell r="V97">
            <v>106.31</v>
          </cell>
          <cell r="W97">
            <v>54.04</v>
          </cell>
          <cell r="AJ97" t="str">
            <v>486</v>
          </cell>
          <cell r="AM97" t="str">
            <v>486</v>
          </cell>
          <cell r="AN97" t="str">
            <v>488.75</v>
          </cell>
          <cell r="AQ97" t="str">
            <v>488.75</v>
          </cell>
        </row>
        <row r="98">
          <cell r="D98" t="str">
            <v>IT정보공학부(컴퓨터시스템공학)</v>
          </cell>
          <cell r="E98">
            <v>18</v>
          </cell>
          <cell r="F98">
            <v>48</v>
          </cell>
          <cell r="G98">
            <v>2.6666666666666665</v>
          </cell>
          <cell r="H98">
            <v>18</v>
          </cell>
          <cell r="I98">
            <v>0</v>
          </cell>
          <cell r="J98">
            <v>18</v>
          </cell>
          <cell r="K98">
            <v>8</v>
          </cell>
          <cell r="L98" t="str">
            <v>531.75</v>
          </cell>
          <cell r="M98" t="str">
            <v>486.5</v>
          </cell>
          <cell r="N98">
            <v>502.81</v>
          </cell>
          <cell r="O98" t="str">
            <v>13.74</v>
          </cell>
          <cell r="P98" t="str">
            <v>4.61</v>
          </cell>
          <cell r="Q98" t="str">
            <v>5.61</v>
          </cell>
          <cell r="R98">
            <v>4.83</v>
          </cell>
          <cell r="S98" t="str">
            <v>4.31</v>
          </cell>
          <cell r="T98">
            <v>105.11</v>
          </cell>
          <cell r="U98">
            <v>92.72</v>
          </cell>
          <cell r="V98">
            <v>102</v>
          </cell>
          <cell r="W98">
            <v>52.89</v>
          </cell>
          <cell r="AJ98" t="str">
            <v>486.5</v>
          </cell>
          <cell r="AM98" t="str">
            <v>486.5</v>
          </cell>
          <cell r="AN98" t="str">
            <v>492.25</v>
          </cell>
          <cell r="AQ98" t="str">
            <v>492.25</v>
          </cell>
        </row>
        <row r="99">
          <cell r="D99" t="str">
            <v>건축공학과</v>
          </cell>
          <cell r="E99">
            <v>20</v>
          </cell>
          <cell r="F99">
            <v>71</v>
          </cell>
          <cell r="G99">
            <v>3.55</v>
          </cell>
          <cell r="H99">
            <v>20</v>
          </cell>
          <cell r="I99">
            <v>0</v>
          </cell>
          <cell r="J99">
            <v>20</v>
          </cell>
          <cell r="K99">
            <v>11</v>
          </cell>
          <cell r="L99" t="str">
            <v>593.25</v>
          </cell>
          <cell r="M99" t="str">
            <v>527.25</v>
          </cell>
          <cell r="N99">
            <v>556.78</v>
          </cell>
          <cell r="O99" t="str">
            <v>19.52</v>
          </cell>
          <cell r="P99" t="str">
            <v>3.65</v>
          </cell>
          <cell r="Q99" t="str">
            <v>4.6</v>
          </cell>
          <cell r="R99">
            <v>4</v>
          </cell>
          <cell r="S99" t="str">
            <v>3.13</v>
          </cell>
          <cell r="T99">
            <v>114.4</v>
          </cell>
          <cell r="U99">
            <v>105.1</v>
          </cell>
          <cell r="V99">
            <v>111.55</v>
          </cell>
          <cell r="W99">
            <v>59.2</v>
          </cell>
          <cell r="AJ99" t="str">
            <v>527.25</v>
          </cell>
          <cell r="AM99" t="str">
            <v>527.25</v>
          </cell>
          <cell r="AN99" t="str">
            <v>540.5</v>
          </cell>
          <cell r="AQ99" t="str">
            <v>540.5</v>
          </cell>
        </row>
        <row r="100">
          <cell r="D100" t="str">
            <v>고분자.나노공학과</v>
          </cell>
          <cell r="E100">
            <v>15</v>
          </cell>
          <cell r="F100">
            <v>67</v>
          </cell>
          <cell r="G100">
            <v>4.4666666666666668</v>
          </cell>
          <cell r="H100">
            <v>15</v>
          </cell>
          <cell r="I100">
            <v>0</v>
          </cell>
          <cell r="J100">
            <v>15</v>
          </cell>
          <cell r="K100">
            <v>18</v>
          </cell>
          <cell r="L100" t="str">
            <v>624.25</v>
          </cell>
          <cell r="M100" t="str">
            <v>577.35</v>
          </cell>
          <cell r="N100">
            <v>599.1</v>
          </cell>
          <cell r="O100" t="str">
            <v>16.36</v>
          </cell>
          <cell r="P100" t="str">
            <v>3.6</v>
          </cell>
          <cell r="Q100" t="str">
            <v>2.87</v>
          </cell>
          <cell r="R100">
            <v>3.67</v>
          </cell>
          <cell r="S100" t="str">
            <v>3.33</v>
          </cell>
          <cell r="T100">
            <v>113.8</v>
          </cell>
          <cell r="U100">
            <v>122.67</v>
          </cell>
          <cell r="V100">
            <v>114.73</v>
          </cell>
          <cell r="W100">
            <v>58.53</v>
          </cell>
          <cell r="AJ100" t="str">
            <v>577.35</v>
          </cell>
          <cell r="AM100" t="str">
            <v>577.35</v>
          </cell>
          <cell r="AN100" t="str">
            <v>582.98</v>
          </cell>
          <cell r="AQ100" t="str">
            <v>582.98</v>
          </cell>
        </row>
        <row r="101">
          <cell r="D101" t="str">
            <v>기계공학과</v>
          </cell>
          <cell r="E101">
            <v>23</v>
          </cell>
          <cell r="F101">
            <v>57</v>
          </cell>
          <cell r="G101">
            <v>2.4782608695652173</v>
          </cell>
          <cell r="H101">
            <v>23</v>
          </cell>
          <cell r="I101">
            <v>0</v>
          </cell>
          <cell r="J101">
            <v>23</v>
          </cell>
          <cell r="K101">
            <v>12</v>
          </cell>
          <cell r="L101" t="str">
            <v>612.5</v>
          </cell>
          <cell r="M101" t="str">
            <v>543</v>
          </cell>
          <cell r="N101">
            <v>562.16999999999996</v>
          </cell>
          <cell r="O101" t="str">
            <v>19.7</v>
          </cell>
          <cell r="P101" t="str">
            <v>3.35</v>
          </cell>
          <cell r="Q101" t="str">
            <v>4.39</v>
          </cell>
          <cell r="R101">
            <v>4</v>
          </cell>
          <cell r="S101" t="str">
            <v>2.76</v>
          </cell>
          <cell r="T101">
            <v>116.22</v>
          </cell>
          <cell r="U101">
            <v>106.26</v>
          </cell>
          <cell r="V101">
            <v>110.65</v>
          </cell>
          <cell r="W101">
            <v>61.02</v>
          </cell>
          <cell r="AJ101" t="str">
            <v>543</v>
          </cell>
          <cell r="AM101" t="str">
            <v>543</v>
          </cell>
          <cell r="AN101" t="str">
            <v>546.75</v>
          </cell>
          <cell r="AQ101" t="str">
            <v>546.75</v>
          </cell>
        </row>
        <row r="102">
          <cell r="D102" t="str">
            <v>기계설계공학부</v>
          </cell>
          <cell r="E102">
            <v>35</v>
          </cell>
          <cell r="F102">
            <v>78</v>
          </cell>
          <cell r="G102">
            <v>2.2285714285714286</v>
          </cell>
          <cell r="H102">
            <v>35</v>
          </cell>
          <cell r="I102">
            <v>0</v>
          </cell>
          <cell r="J102">
            <v>34</v>
          </cell>
          <cell r="K102">
            <v>7</v>
          </cell>
          <cell r="L102" t="str">
            <v>547.75</v>
          </cell>
          <cell r="M102" t="str">
            <v>481.5</v>
          </cell>
          <cell r="N102">
            <v>514.20000000000005</v>
          </cell>
          <cell r="O102" t="str">
            <v>18.81</v>
          </cell>
          <cell r="P102" t="str">
            <v>4.62</v>
          </cell>
          <cell r="Q102" t="str">
            <v>5.38</v>
          </cell>
          <cell r="R102">
            <v>4.6500000000000004</v>
          </cell>
          <cell r="S102" t="str">
            <v>3.81</v>
          </cell>
          <cell r="T102">
            <v>106.03</v>
          </cell>
          <cell r="U102">
            <v>95</v>
          </cell>
          <cell r="V102">
            <v>103.85</v>
          </cell>
          <cell r="W102">
            <v>55.59</v>
          </cell>
          <cell r="AJ102" t="str">
            <v>481.5</v>
          </cell>
          <cell r="AM102" t="str">
            <v>481.5</v>
          </cell>
          <cell r="AN102" t="str">
            <v>499.75</v>
          </cell>
          <cell r="AQ102" t="str">
            <v>499.75</v>
          </cell>
        </row>
        <row r="103">
          <cell r="D103" t="str">
            <v>기계시스템공학부</v>
          </cell>
          <cell r="E103">
            <v>27</v>
          </cell>
          <cell r="F103">
            <v>62</v>
          </cell>
          <cell r="G103">
            <v>2.2962962962962963</v>
          </cell>
          <cell r="H103">
            <v>27</v>
          </cell>
          <cell r="I103">
            <v>0</v>
          </cell>
          <cell r="J103">
            <v>25</v>
          </cell>
          <cell r="K103">
            <v>12</v>
          </cell>
          <cell r="L103" t="str">
            <v>571</v>
          </cell>
          <cell r="M103" t="str">
            <v>497</v>
          </cell>
          <cell r="N103">
            <v>526.92999999999995</v>
          </cell>
          <cell r="O103" t="str">
            <v>15.76</v>
          </cell>
          <cell r="P103" t="str">
            <v>4.2</v>
          </cell>
          <cell r="Q103" t="str">
            <v>5.12</v>
          </cell>
          <cell r="R103">
            <v>4.5199999999999996</v>
          </cell>
          <cell r="S103" t="str">
            <v>3.8</v>
          </cell>
          <cell r="T103">
            <v>108.68</v>
          </cell>
          <cell r="U103">
            <v>98.52</v>
          </cell>
          <cell r="V103">
            <v>105.88</v>
          </cell>
          <cell r="W103">
            <v>56.32</v>
          </cell>
          <cell r="AJ103" t="str">
            <v>497</v>
          </cell>
          <cell r="AM103" t="str">
            <v>497</v>
          </cell>
          <cell r="AN103" t="str">
            <v>515.25</v>
          </cell>
          <cell r="AQ103" t="str">
            <v>515.25</v>
          </cell>
        </row>
        <row r="104">
          <cell r="D104" t="str">
            <v>도시공학과</v>
          </cell>
          <cell r="E104">
            <v>10</v>
          </cell>
          <cell r="F104">
            <v>86</v>
          </cell>
          <cell r="G104">
            <v>8.6</v>
          </cell>
          <cell r="H104">
            <v>10</v>
          </cell>
          <cell r="I104">
            <v>0</v>
          </cell>
          <cell r="J104">
            <v>9</v>
          </cell>
          <cell r="K104">
            <v>7</v>
          </cell>
          <cell r="L104" t="str">
            <v>567.75</v>
          </cell>
          <cell r="M104" t="str">
            <v>530.5</v>
          </cell>
          <cell r="N104">
            <v>546.08000000000004</v>
          </cell>
          <cell r="O104" t="str">
            <v>15.28</v>
          </cell>
          <cell r="P104" t="str">
            <v>3.56</v>
          </cell>
          <cell r="Q104" t="str">
            <v>5.33</v>
          </cell>
          <cell r="R104">
            <v>3.78</v>
          </cell>
          <cell r="S104" t="str">
            <v>3.72</v>
          </cell>
          <cell r="T104">
            <v>114.67</v>
          </cell>
          <cell r="U104">
            <v>98.67</v>
          </cell>
          <cell r="V104">
            <v>113.22</v>
          </cell>
          <cell r="W104">
            <v>56.61</v>
          </cell>
          <cell r="AJ104" t="str">
            <v>530.5</v>
          </cell>
          <cell r="AM104" t="str">
            <v>530.5</v>
          </cell>
          <cell r="AN104" t="str">
            <v>533</v>
          </cell>
          <cell r="AQ104" t="str">
            <v>533</v>
          </cell>
        </row>
        <row r="105">
          <cell r="D105" t="str">
            <v>바이오메디컬공학부</v>
          </cell>
          <cell r="E105">
            <v>13</v>
          </cell>
          <cell r="F105">
            <v>40</v>
          </cell>
          <cell r="G105">
            <v>3.0769230769230771</v>
          </cell>
          <cell r="H105">
            <v>13</v>
          </cell>
          <cell r="I105">
            <v>0</v>
          </cell>
          <cell r="J105">
            <v>12</v>
          </cell>
          <cell r="K105">
            <v>13</v>
          </cell>
          <cell r="L105" t="str">
            <v>565.25</v>
          </cell>
          <cell r="M105" t="str">
            <v>505.75</v>
          </cell>
          <cell r="N105">
            <v>531.94000000000005</v>
          </cell>
          <cell r="O105" t="str">
            <v>20.22</v>
          </cell>
          <cell r="P105" t="str">
            <v>4.58</v>
          </cell>
          <cell r="Q105" t="str">
            <v>4.92</v>
          </cell>
          <cell r="R105">
            <v>4.17</v>
          </cell>
          <cell r="S105" t="str">
            <v>4</v>
          </cell>
          <cell r="T105">
            <v>105.5</v>
          </cell>
          <cell r="U105">
            <v>101.58</v>
          </cell>
          <cell r="V105">
            <v>109.58</v>
          </cell>
          <cell r="W105">
            <v>55.54</v>
          </cell>
          <cell r="AJ105" t="str">
            <v>505.75</v>
          </cell>
          <cell r="AM105" t="str">
            <v>505.75</v>
          </cell>
          <cell r="AN105" t="str">
            <v>508.25</v>
          </cell>
          <cell r="AQ105" t="str">
            <v>508.25</v>
          </cell>
        </row>
        <row r="106">
          <cell r="D106" t="str">
            <v>사회기반공학과</v>
          </cell>
          <cell r="E106">
            <v>7</v>
          </cell>
          <cell r="F106">
            <v>24</v>
          </cell>
          <cell r="G106">
            <v>3.4285714285714284</v>
          </cell>
          <cell r="H106">
            <v>7</v>
          </cell>
          <cell r="I106">
            <v>0</v>
          </cell>
          <cell r="J106">
            <v>7</v>
          </cell>
          <cell r="K106">
            <v>6</v>
          </cell>
          <cell r="L106" t="str">
            <v>535.75</v>
          </cell>
          <cell r="M106" t="str">
            <v>507.5</v>
          </cell>
          <cell r="N106">
            <v>516.96</v>
          </cell>
          <cell r="O106" t="str">
            <v>9.99</v>
          </cell>
          <cell r="P106" t="str">
            <v>4.71</v>
          </cell>
          <cell r="Q106" t="str">
            <v>4.86</v>
          </cell>
          <cell r="R106">
            <v>5.14</v>
          </cell>
          <cell r="S106" t="str">
            <v>3.93</v>
          </cell>
          <cell r="T106">
            <v>103.71</v>
          </cell>
          <cell r="U106">
            <v>102.14</v>
          </cell>
          <cell r="V106">
            <v>100.14</v>
          </cell>
          <cell r="W106">
            <v>55.93</v>
          </cell>
          <cell r="AJ106" t="str">
            <v>507.5</v>
          </cell>
          <cell r="AM106" t="str">
            <v>507.5</v>
          </cell>
          <cell r="AN106" t="str">
            <v>509.75</v>
          </cell>
          <cell r="AQ106" t="str">
            <v>509.75</v>
          </cell>
        </row>
        <row r="107">
          <cell r="D107" t="str">
            <v>산업정보시스템공학과</v>
          </cell>
          <cell r="E107">
            <v>12</v>
          </cell>
          <cell r="F107">
            <v>65</v>
          </cell>
          <cell r="G107">
            <v>5.416666666666667</v>
          </cell>
          <cell r="H107">
            <v>12</v>
          </cell>
          <cell r="I107">
            <v>0</v>
          </cell>
          <cell r="J107">
            <v>11</v>
          </cell>
          <cell r="K107">
            <v>6</v>
          </cell>
          <cell r="L107" t="str">
            <v>570</v>
          </cell>
          <cell r="M107" t="str">
            <v>551.5</v>
          </cell>
          <cell r="N107">
            <v>558.29999999999995</v>
          </cell>
          <cell r="O107" t="str">
            <v>5.86</v>
          </cell>
          <cell r="P107" t="str">
            <v>4.45</v>
          </cell>
          <cell r="Q107" t="str">
            <v>3.45</v>
          </cell>
          <cell r="R107">
            <v>4.45</v>
          </cell>
          <cell r="S107" t="str">
            <v>4.05</v>
          </cell>
          <cell r="T107">
            <v>106.82</v>
          </cell>
          <cell r="U107">
            <v>117.91</v>
          </cell>
          <cell r="V107">
            <v>106.45</v>
          </cell>
          <cell r="W107">
            <v>55</v>
          </cell>
          <cell r="AJ107" t="str">
            <v>551.5</v>
          </cell>
          <cell r="AM107" t="str">
            <v>551.5</v>
          </cell>
          <cell r="AN107" t="str">
            <v>554.5</v>
          </cell>
          <cell r="AQ107" t="str">
            <v>554.5</v>
          </cell>
        </row>
        <row r="108">
          <cell r="D108" t="str">
            <v>섬유소재시스템공학과</v>
          </cell>
          <cell r="E108">
            <v>14</v>
          </cell>
          <cell r="F108">
            <v>76</v>
          </cell>
          <cell r="G108">
            <v>5.4285714285714288</v>
          </cell>
          <cell r="H108">
            <v>14</v>
          </cell>
          <cell r="I108">
            <v>0</v>
          </cell>
          <cell r="J108">
            <v>14</v>
          </cell>
          <cell r="K108">
            <v>5</v>
          </cell>
          <cell r="L108" t="str">
            <v>551.5</v>
          </cell>
          <cell r="M108" t="str">
            <v>524.75</v>
          </cell>
          <cell r="N108">
            <v>534.20000000000005</v>
          </cell>
          <cell r="O108" t="str">
            <v>7.53</v>
          </cell>
          <cell r="P108" t="str">
            <v>4.29</v>
          </cell>
          <cell r="Q108" t="str">
            <v>5.21</v>
          </cell>
          <cell r="R108">
            <v>4.21</v>
          </cell>
          <cell r="S108" t="str">
            <v>3.57</v>
          </cell>
          <cell r="T108">
            <v>109.36</v>
          </cell>
          <cell r="U108">
            <v>97.93</v>
          </cell>
          <cell r="V108">
            <v>110.07</v>
          </cell>
          <cell r="W108">
            <v>57</v>
          </cell>
          <cell r="AJ108" t="str">
            <v>524.75</v>
          </cell>
          <cell r="AM108" t="str">
            <v>524.75</v>
          </cell>
          <cell r="AN108" t="str">
            <v>528.25</v>
          </cell>
          <cell r="AQ108" t="str">
            <v>528.25</v>
          </cell>
        </row>
        <row r="109">
          <cell r="D109" t="str">
            <v>신소재공학부(금속시스템공학)</v>
          </cell>
          <cell r="E109">
            <v>16</v>
          </cell>
          <cell r="F109">
            <v>41</v>
          </cell>
          <cell r="G109">
            <v>2.5625</v>
          </cell>
          <cell r="H109">
            <v>16</v>
          </cell>
          <cell r="I109">
            <v>0</v>
          </cell>
          <cell r="J109">
            <v>14</v>
          </cell>
          <cell r="K109">
            <v>12</v>
          </cell>
          <cell r="L109" t="str">
            <v>558.25</v>
          </cell>
          <cell r="M109" t="str">
            <v>520</v>
          </cell>
          <cell r="N109">
            <v>533.67999999999995</v>
          </cell>
          <cell r="O109" t="str">
            <v>11.77</v>
          </cell>
          <cell r="P109" t="str">
            <v>4.43</v>
          </cell>
          <cell r="Q109" t="str">
            <v>4.71</v>
          </cell>
          <cell r="R109">
            <v>4.6399999999999997</v>
          </cell>
          <cell r="S109" t="str">
            <v>3.25</v>
          </cell>
          <cell r="T109">
            <v>107.36</v>
          </cell>
          <cell r="U109">
            <v>103.14</v>
          </cell>
          <cell r="V109">
            <v>104.43</v>
          </cell>
          <cell r="W109">
            <v>58.75</v>
          </cell>
          <cell r="AJ109" t="str">
            <v>520</v>
          </cell>
          <cell r="AM109" t="str">
            <v>520</v>
          </cell>
          <cell r="AN109" t="str">
            <v>524</v>
          </cell>
          <cell r="AQ109" t="str">
            <v>524</v>
          </cell>
        </row>
        <row r="110">
          <cell r="D110" t="str">
            <v>신소재공학부(전자재료공학)</v>
          </cell>
          <cell r="E110">
            <v>18</v>
          </cell>
          <cell r="F110">
            <v>54</v>
          </cell>
          <cell r="G110">
            <v>3</v>
          </cell>
          <cell r="H110">
            <v>18</v>
          </cell>
          <cell r="I110">
            <v>0</v>
          </cell>
          <cell r="J110">
            <v>18</v>
          </cell>
          <cell r="K110">
            <v>20</v>
          </cell>
          <cell r="L110" t="str">
            <v>567</v>
          </cell>
          <cell r="M110" t="str">
            <v>507.75</v>
          </cell>
          <cell r="N110">
            <v>535.58000000000004</v>
          </cell>
          <cell r="O110" t="str">
            <v>16.37</v>
          </cell>
          <cell r="P110" t="str">
            <v>3.72</v>
          </cell>
          <cell r="Q110" t="str">
            <v>5</v>
          </cell>
          <cell r="R110">
            <v>4.6100000000000003</v>
          </cell>
          <cell r="S110" t="str">
            <v>3.19</v>
          </cell>
          <cell r="T110">
            <v>113</v>
          </cell>
          <cell r="U110">
            <v>100.39</v>
          </cell>
          <cell r="V110">
            <v>103.44</v>
          </cell>
          <cell r="W110">
            <v>59.06</v>
          </cell>
          <cell r="AJ110" t="str">
            <v>507.75</v>
          </cell>
          <cell r="AM110" t="str">
            <v>507.75</v>
          </cell>
          <cell r="AN110" t="str">
            <v>524.75</v>
          </cell>
          <cell r="AQ110" t="str">
            <v>524.75</v>
          </cell>
        </row>
        <row r="111">
          <cell r="D111" t="str">
            <v>신소재공학부(정보소재공학)</v>
          </cell>
          <cell r="E111">
            <v>19</v>
          </cell>
          <cell r="F111">
            <v>51</v>
          </cell>
          <cell r="G111">
            <v>2.6842105263157894</v>
          </cell>
          <cell r="H111">
            <v>19</v>
          </cell>
          <cell r="I111">
            <v>0</v>
          </cell>
          <cell r="J111">
            <v>19</v>
          </cell>
          <cell r="K111">
            <v>7</v>
          </cell>
          <cell r="L111" t="str">
            <v>575.75</v>
          </cell>
          <cell r="M111" t="str">
            <v>504.5</v>
          </cell>
          <cell r="N111">
            <v>524.08000000000004</v>
          </cell>
          <cell r="O111" t="str">
            <v>20.17</v>
          </cell>
          <cell r="P111" t="str">
            <v>4.53</v>
          </cell>
          <cell r="Q111" t="str">
            <v>5.37</v>
          </cell>
          <cell r="R111">
            <v>4.42</v>
          </cell>
          <cell r="S111" t="str">
            <v>3.89</v>
          </cell>
          <cell r="T111">
            <v>107.89</v>
          </cell>
          <cell r="U111">
            <v>97.42</v>
          </cell>
          <cell r="V111">
            <v>106.37</v>
          </cell>
          <cell r="W111">
            <v>55.68</v>
          </cell>
          <cell r="AJ111" t="str">
            <v>504.5</v>
          </cell>
          <cell r="AM111" t="str">
            <v>504.5</v>
          </cell>
          <cell r="AN111" t="str">
            <v>507.75</v>
          </cell>
          <cell r="AQ111" t="str">
            <v>507.75</v>
          </cell>
        </row>
        <row r="112">
          <cell r="D112" t="str">
            <v>자원.에너지공학과</v>
          </cell>
          <cell r="E112">
            <v>16</v>
          </cell>
          <cell r="F112">
            <v>52</v>
          </cell>
          <cell r="G112">
            <v>3.25</v>
          </cell>
          <cell r="H112">
            <v>16</v>
          </cell>
          <cell r="I112">
            <v>0</v>
          </cell>
          <cell r="J112">
            <v>15</v>
          </cell>
          <cell r="K112">
            <v>7</v>
          </cell>
          <cell r="L112" t="str">
            <v>553.25</v>
          </cell>
          <cell r="M112" t="str">
            <v>523.25</v>
          </cell>
          <cell r="N112">
            <v>540.03</v>
          </cell>
          <cell r="O112" t="str">
            <v>9.04</v>
          </cell>
          <cell r="P112" t="str">
            <v>4.07</v>
          </cell>
          <cell r="Q112" t="str">
            <v>5.13</v>
          </cell>
          <cell r="R112">
            <v>3.93</v>
          </cell>
          <cell r="S112" t="str">
            <v>3.73</v>
          </cell>
          <cell r="T112">
            <v>111.27</v>
          </cell>
          <cell r="U112">
            <v>99.2</v>
          </cell>
          <cell r="V112">
            <v>112</v>
          </cell>
          <cell r="W112">
            <v>56.1</v>
          </cell>
          <cell r="AJ112" t="str">
            <v>523.25</v>
          </cell>
          <cell r="AM112" t="str">
            <v>523.25</v>
          </cell>
          <cell r="AN112" t="str">
            <v>534</v>
          </cell>
          <cell r="AQ112" t="str">
            <v>534</v>
          </cell>
        </row>
        <row r="113">
          <cell r="D113" t="str">
            <v>전기공학과</v>
          </cell>
          <cell r="E113">
            <v>19</v>
          </cell>
          <cell r="F113">
            <v>43</v>
          </cell>
          <cell r="G113">
            <v>2.263157894736842</v>
          </cell>
          <cell r="H113">
            <v>19</v>
          </cell>
          <cell r="I113">
            <v>0</v>
          </cell>
          <cell r="J113">
            <v>18</v>
          </cell>
          <cell r="K113">
            <v>9</v>
          </cell>
          <cell r="L113" t="str">
            <v>613.75</v>
          </cell>
          <cell r="M113" t="str">
            <v>524.25</v>
          </cell>
          <cell r="N113">
            <v>545.29</v>
          </cell>
          <cell r="O113" t="str">
            <v>21.41</v>
          </cell>
          <cell r="P113" t="str">
            <v>3.61</v>
          </cell>
          <cell r="Q113" t="str">
            <v>4.83</v>
          </cell>
          <cell r="R113">
            <v>4.17</v>
          </cell>
          <cell r="S113" t="str">
            <v>3.42</v>
          </cell>
          <cell r="T113">
            <v>113.33</v>
          </cell>
          <cell r="U113">
            <v>101.61</v>
          </cell>
          <cell r="V113">
            <v>109.44</v>
          </cell>
          <cell r="W113">
            <v>58.03</v>
          </cell>
          <cell r="AJ113" t="str">
            <v>524.25</v>
          </cell>
          <cell r="AM113" t="str">
            <v>524.25</v>
          </cell>
          <cell r="AN113" t="str">
            <v>531.75</v>
          </cell>
          <cell r="AQ113" t="str">
            <v>531.75</v>
          </cell>
        </row>
        <row r="114">
          <cell r="D114" t="str">
            <v>전자공학부</v>
          </cell>
          <cell r="E114">
            <v>55</v>
          </cell>
          <cell r="F114">
            <v>153</v>
          </cell>
          <cell r="G114">
            <v>2.7818181818181817</v>
          </cell>
          <cell r="H114">
            <v>55</v>
          </cell>
          <cell r="I114">
            <v>0</v>
          </cell>
          <cell r="J114">
            <v>54</v>
          </cell>
          <cell r="K114">
            <v>37</v>
          </cell>
          <cell r="L114" t="str">
            <v>570.75</v>
          </cell>
          <cell r="M114" t="str">
            <v>505.75</v>
          </cell>
          <cell r="N114">
            <v>532.19000000000005</v>
          </cell>
          <cell r="O114" t="str">
            <v>19.9</v>
          </cell>
          <cell r="P114" t="str">
            <v>4.19</v>
          </cell>
          <cell r="Q114" t="str">
            <v>5.04</v>
          </cell>
          <cell r="R114">
            <v>4.5199999999999996</v>
          </cell>
          <cell r="S114" t="str">
            <v>3.57</v>
          </cell>
          <cell r="T114">
            <v>109.46</v>
          </cell>
          <cell r="U114">
            <v>100.22</v>
          </cell>
          <cell r="V114">
            <v>106.24</v>
          </cell>
          <cell r="W114">
            <v>57.11</v>
          </cell>
          <cell r="AJ114" t="str">
            <v>505.75</v>
          </cell>
          <cell r="AM114" t="str">
            <v>505.75</v>
          </cell>
          <cell r="AN114" t="str">
            <v>513.25</v>
          </cell>
          <cell r="AQ114" t="str">
            <v>513.25</v>
          </cell>
        </row>
        <row r="115">
          <cell r="D115" t="str">
            <v>컴퓨터공학부</v>
          </cell>
          <cell r="E115">
            <v>36</v>
          </cell>
          <cell r="F115">
            <v>130</v>
          </cell>
          <cell r="G115">
            <v>3.6111111111111112</v>
          </cell>
          <cell r="H115">
            <v>36</v>
          </cell>
          <cell r="I115">
            <v>0</v>
          </cell>
          <cell r="J115">
            <v>36</v>
          </cell>
          <cell r="K115">
            <v>19</v>
          </cell>
          <cell r="L115" t="str">
            <v>572.25</v>
          </cell>
          <cell r="M115" t="str">
            <v>514.5</v>
          </cell>
          <cell r="N115">
            <v>532.41999999999996</v>
          </cell>
          <cell r="O115" t="str">
            <v>14.97</v>
          </cell>
          <cell r="P115" t="str">
            <v>3.89</v>
          </cell>
          <cell r="Q115" t="str">
            <v>5.14</v>
          </cell>
          <cell r="R115">
            <v>4.4400000000000004</v>
          </cell>
          <cell r="S115" t="str">
            <v>3.9</v>
          </cell>
          <cell r="T115">
            <v>111.56</v>
          </cell>
          <cell r="U115">
            <v>99.69</v>
          </cell>
          <cell r="V115">
            <v>106.61</v>
          </cell>
          <cell r="W115">
            <v>55.68</v>
          </cell>
          <cell r="AJ115" t="str">
            <v>514.5</v>
          </cell>
          <cell r="AM115" t="str">
            <v>514.5</v>
          </cell>
          <cell r="AN115" t="str">
            <v>517.5</v>
          </cell>
          <cell r="AQ115" t="str">
            <v>517.5</v>
          </cell>
        </row>
        <row r="116">
          <cell r="D116" t="str">
            <v>토목공학과</v>
          </cell>
          <cell r="E116">
            <v>21</v>
          </cell>
          <cell r="F116">
            <v>52</v>
          </cell>
          <cell r="G116">
            <v>2.4761904761904763</v>
          </cell>
          <cell r="H116">
            <v>21</v>
          </cell>
          <cell r="I116">
            <v>0</v>
          </cell>
          <cell r="J116">
            <v>21</v>
          </cell>
          <cell r="K116">
            <v>6</v>
          </cell>
          <cell r="L116" t="str">
            <v>587.5</v>
          </cell>
          <cell r="M116" t="str">
            <v>525.25</v>
          </cell>
          <cell r="N116">
            <v>546.51</v>
          </cell>
          <cell r="O116" t="str">
            <v>15.83</v>
          </cell>
          <cell r="P116" t="str">
            <v>3.57</v>
          </cell>
          <cell r="Q116" t="str">
            <v>5</v>
          </cell>
          <cell r="R116">
            <v>4</v>
          </cell>
          <cell r="S116" t="str">
            <v>3.62</v>
          </cell>
          <cell r="T116">
            <v>114.1</v>
          </cell>
          <cell r="U116">
            <v>99.57</v>
          </cell>
          <cell r="V116">
            <v>112.05</v>
          </cell>
          <cell r="W116">
            <v>57.64</v>
          </cell>
          <cell r="AJ116" t="str">
            <v>525.25</v>
          </cell>
          <cell r="AM116" t="str">
            <v>525.25</v>
          </cell>
          <cell r="AN116" t="str">
            <v>531.5</v>
          </cell>
          <cell r="AQ116" t="str">
            <v>531.5</v>
          </cell>
        </row>
        <row r="117">
          <cell r="D117" t="str">
            <v>항공우주공학과</v>
          </cell>
          <cell r="E117">
            <v>16</v>
          </cell>
          <cell r="F117">
            <v>35</v>
          </cell>
          <cell r="G117">
            <v>2.1875</v>
          </cell>
          <cell r="H117">
            <v>16</v>
          </cell>
          <cell r="I117">
            <v>0</v>
          </cell>
          <cell r="J117">
            <v>16</v>
          </cell>
          <cell r="K117">
            <v>14</v>
          </cell>
          <cell r="L117" t="str">
            <v>562.75</v>
          </cell>
          <cell r="M117" t="str">
            <v>460.5</v>
          </cell>
          <cell r="N117">
            <v>511.44</v>
          </cell>
          <cell r="O117" t="str">
            <v>37.87</v>
          </cell>
          <cell r="P117" t="str">
            <v>4.38</v>
          </cell>
          <cell r="Q117" t="str">
            <v>5.38</v>
          </cell>
          <cell r="R117">
            <v>4.75</v>
          </cell>
          <cell r="S117" t="str">
            <v>4</v>
          </cell>
          <cell r="T117">
            <v>107.69</v>
          </cell>
          <cell r="U117">
            <v>95.25</v>
          </cell>
          <cell r="V117">
            <v>101.38</v>
          </cell>
          <cell r="W117">
            <v>54.59</v>
          </cell>
          <cell r="AJ117" t="str">
            <v>460.5</v>
          </cell>
          <cell r="AM117" t="str">
            <v>460.5</v>
          </cell>
          <cell r="AN117" t="str">
            <v>479.5</v>
          </cell>
          <cell r="AQ117" t="str">
            <v>479.5</v>
          </cell>
        </row>
        <row r="118">
          <cell r="D118" t="str">
            <v>화학공학부</v>
          </cell>
          <cell r="E118">
            <v>38</v>
          </cell>
          <cell r="F118">
            <v>83</v>
          </cell>
          <cell r="G118">
            <v>2.1842105263157894</v>
          </cell>
          <cell r="H118">
            <v>38</v>
          </cell>
          <cell r="I118">
            <v>0</v>
          </cell>
          <cell r="J118">
            <v>38</v>
          </cell>
          <cell r="K118">
            <v>18</v>
          </cell>
          <cell r="L118" t="str">
            <v>604.75</v>
          </cell>
          <cell r="M118" t="str">
            <v>539.5</v>
          </cell>
          <cell r="N118">
            <v>564.70000000000005</v>
          </cell>
          <cell r="O118" t="str">
            <v>17.75</v>
          </cell>
          <cell r="P118" t="str">
            <v>3.45</v>
          </cell>
          <cell r="Q118" t="str">
            <v>4.32</v>
          </cell>
          <cell r="R118">
            <v>3.84</v>
          </cell>
          <cell r="S118" t="str">
            <v>3.16</v>
          </cell>
          <cell r="T118">
            <v>115.87</v>
          </cell>
          <cell r="U118">
            <v>107.45</v>
          </cell>
          <cell r="V118">
            <v>112.76</v>
          </cell>
          <cell r="W118">
            <v>59.7</v>
          </cell>
          <cell r="AJ118" t="str">
            <v>539.5</v>
          </cell>
          <cell r="AM118" t="str">
            <v>539.5</v>
          </cell>
          <cell r="AN118" t="str">
            <v>550.25</v>
          </cell>
          <cell r="AQ118" t="str">
            <v>550.25</v>
          </cell>
        </row>
        <row r="119">
          <cell r="D119" t="str">
            <v>환경공학과</v>
          </cell>
          <cell r="E119">
            <v>17</v>
          </cell>
          <cell r="F119">
            <v>47</v>
          </cell>
          <cell r="G119">
            <v>2.7647058823529411</v>
          </cell>
          <cell r="H119">
            <v>17</v>
          </cell>
          <cell r="I119">
            <v>0</v>
          </cell>
          <cell r="J119">
            <v>17</v>
          </cell>
          <cell r="K119">
            <v>8</v>
          </cell>
          <cell r="L119" t="str">
            <v>549.75</v>
          </cell>
          <cell r="M119" t="str">
            <v>517.75</v>
          </cell>
          <cell r="N119">
            <v>533.37</v>
          </cell>
          <cell r="O119" t="str">
            <v>9.18</v>
          </cell>
          <cell r="P119" t="str">
            <v>4.12</v>
          </cell>
          <cell r="Q119" t="str">
            <v>5.24</v>
          </cell>
          <cell r="R119">
            <v>4.41</v>
          </cell>
          <cell r="S119" t="str">
            <v>3.26</v>
          </cell>
          <cell r="T119">
            <v>110</v>
          </cell>
          <cell r="U119">
            <v>97.53</v>
          </cell>
          <cell r="V119">
            <v>107.65</v>
          </cell>
          <cell r="W119">
            <v>58.74</v>
          </cell>
          <cell r="AJ119" t="str">
            <v>517.75</v>
          </cell>
          <cell r="AM119" t="str">
            <v>517.75</v>
          </cell>
          <cell r="AN119" t="str">
            <v>523.75</v>
          </cell>
          <cell r="AQ119" t="str">
            <v>523.75</v>
          </cell>
        </row>
        <row r="120">
          <cell r="D120" t="str">
            <v>농생물학과</v>
          </cell>
          <cell r="E120">
            <v>12</v>
          </cell>
          <cell r="F120">
            <v>58</v>
          </cell>
          <cell r="G120">
            <v>4.833333333333333</v>
          </cell>
          <cell r="H120">
            <v>12</v>
          </cell>
          <cell r="I120">
            <v>0</v>
          </cell>
          <cell r="J120">
            <v>12</v>
          </cell>
          <cell r="K120">
            <v>3</v>
          </cell>
          <cell r="L120" t="str">
            <v>547.25</v>
          </cell>
          <cell r="M120" t="str">
            <v>519.75</v>
          </cell>
          <cell r="N120">
            <v>531.33000000000004</v>
          </cell>
          <cell r="O120" t="str">
            <v>7.4</v>
          </cell>
          <cell r="P120" t="str">
            <v>3.75</v>
          </cell>
          <cell r="Q120" t="str">
            <v>5.33</v>
          </cell>
          <cell r="R120">
            <v>4.42</v>
          </cell>
          <cell r="S120" t="str">
            <v>3.88</v>
          </cell>
          <cell r="T120">
            <v>113.67</v>
          </cell>
          <cell r="U120">
            <v>97.58</v>
          </cell>
          <cell r="V120">
            <v>106.75</v>
          </cell>
          <cell r="W120">
            <v>55.17</v>
          </cell>
          <cell r="AJ120" t="str">
            <v>519.75</v>
          </cell>
          <cell r="AM120" t="str">
            <v>519.75</v>
          </cell>
          <cell r="AN120" t="str">
            <v>527.75</v>
          </cell>
          <cell r="AQ120" t="str">
            <v>527.75</v>
          </cell>
        </row>
        <row r="121">
          <cell r="D121" t="str">
            <v>농업경제학과</v>
          </cell>
          <cell r="E121">
            <v>13</v>
          </cell>
          <cell r="F121">
            <v>58</v>
          </cell>
          <cell r="G121">
            <v>4.4615384615384617</v>
          </cell>
          <cell r="H121">
            <v>13</v>
          </cell>
          <cell r="I121">
            <v>0</v>
          </cell>
          <cell r="J121">
            <v>10</v>
          </cell>
          <cell r="K121">
            <v>11</v>
          </cell>
          <cell r="L121" t="str">
            <v>598.5</v>
          </cell>
          <cell r="M121" t="str">
            <v>570.75</v>
          </cell>
          <cell r="N121">
            <v>582.04999999999995</v>
          </cell>
          <cell r="O121" t="str">
            <v>9.42</v>
          </cell>
          <cell r="P121" t="str">
            <v>3.5</v>
          </cell>
          <cell r="Q121" t="str">
            <v>3.2</v>
          </cell>
          <cell r="R121">
            <v>3.9</v>
          </cell>
          <cell r="S121" t="str">
            <v>2.95</v>
          </cell>
          <cell r="T121">
            <v>114.4</v>
          </cell>
          <cell r="U121">
            <v>120.4</v>
          </cell>
          <cell r="V121">
            <v>112.8</v>
          </cell>
          <cell r="W121">
            <v>60.5</v>
          </cell>
          <cell r="AJ121" t="str">
            <v>570.75</v>
          </cell>
          <cell r="AM121" t="str">
            <v>570.75</v>
          </cell>
          <cell r="AN121" t="str">
            <v>576.75</v>
          </cell>
          <cell r="AQ121" t="str">
            <v>576.75</v>
          </cell>
        </row>
        <row r="122">
          <cell r="D122" t="str">
            <v>동물생명공학과</v>
          </cell>
          <cell r="E122">
            <v>15</v>
          </cell>
          <cell r="F122">
            <v>97</v>
          </cell>
          <cell r="G122">
            <v>6.4666666666666668</v>
          </cell>
          <cell r="H122">
            <v>15</v>
          </cell>
          <cell r="I122">
            <v>0</v>
          </cell>
          <cell r="J122">
            <v>14</v>
          </cell>
          <cell r="K122">
            <v>8</v>
          </cell>
          <cell r="L122" t="str">
            <v>589.7</v>
          </cell>
          <cell r="M122" t="str">
            <v>554.25</v>
          </cell>
          <cell r="N122">
            <v>563.89</v>
          </cell>
          <cell r="O122" t="str">
            <v>9.88</v>
          </cell>
          <cell r="P122" t="str">
            <v>4.07</v>
          </cell>
          <cell r="Q122" t="str">
            <v>3.79</v>
          </cell>
          <cell r="R122">
            <v>4.57</v>
          </cell>
          <cell r="S122" t="str">
            <v>3.32</v>
          </cell>
          <cell r="T122">
            <v>111.71</v>
          </cell>
          <cell r="U122">
            <v>114.5</v>
          </cell>
          <cell r="V122">
            <v>105.21</v>
          </cell>
          <cell r="W122">
            <v>58.86</v>
          </cell>
          <cell r="AJ122" t="str">
            <v>554.25</v>
          </cell>
          <cell r="AM122" t="str">
            <v>554.25</v>
          </cell>
          <cell r="AN122" t="str">
            <v>558.5</v>
          </cell>
          <cell r="AQ122" t="str">
            <v>558.5</v>
          </cell>
        </row>
        <row r="123">
          <cell r="D123" t="str">
            <v>동물소재공학과</v>
          </cell>
          <cell r="E123">
            <v>13</v>
          </cell>
          <cell r="F123">
            <v>76</v>
          </cell>
          <cell r="G123">
            <v>5.8461538461538458</v>
          </cell>
          <cell r="H123">
            <v>13</v>
          </cell>
          <cell r="I123">
            <v>0</v>
          </cell>
          <cell r="J123">
            <v>12</v>
          </cell>
          <cell r="K123">
            <v>3</v>
          </cell>
          <cell r="L123" t="str">
            <v>578.75</v>
          </cell>
          <cell r="M123" t="str">
            <v>545.2</v>
          </cell>
          <cell r="N123">
            <v>556.4</v>
          </cell>
          <cell r="O123" t="str">
            <v>11.17</v>
          </cell>
          <cell r="P123" t="str">
            <v>4.17</v>
          </cell>
          <cell r="Q123" t="str">
            <v>4</v>
          </cell>
          <cell r="R123">
            <v>4.25</v>
          </cell>
          <cell r="S123" t="str">
            <v>3.71</v>
          </cell>
          <cell r="T123">
            <v>110</v>
          </cell>
          <cell r="U123">
            <v>112.42</v>
          </cell>
          <cell r="V123">
            <v>108</v>
          </cell>
          <cell r="W123">
            <v>56.71</v>
          </cell>
          <cell r="AJ123" t="str">
            <v>545.2</v>
          </cell>
          <cell r="AM123" t="str">
            <v>545.2</v>
          </cell>
          <cell r="AN123" t="str">
            <v>546.5</v>
          </cell>
          <cell r="AQ123" t="str">
            <v>546.5</v>
          </cell>
        </row>
        <row r="124">
          <cell r="D124" t="str">
            <v>목재응용과학과</v>
          </cell>
          <cell r="E124">
            <v>12</v>
          </cell>
          <cell r="F124">
            <v>32</v>
          </cell>
          <cell r="G124">
            <v>2.6666666666666665</v>
          </cell>
          <cell r="H124">
            <v>12</v>
          </cell>
          <cell r="I124">
            <v>0</v>
          </cell>
          <cell r="J124">
            <v>12</v>
          </cell>
          <cell r="K124">
            <v>5</v>
          </cell>
          <cell r="L124" t="str">
            <v>513.5</v>
          </cell>
          <cell r="M124" t="str">
            <v>466.25</v>
          </cell>
          <cell r="N124">
            <v>492.38</v>
          </cell>
          <cell r="O124" t="str">
            <v>16.7</v>
          </cell>
          <cell r="P124" t="str">
            <v>4.42</v>
          </cell>
          <cell r="Q124" t="str">
            <v>6</v>
          </cell>
          <cell r="R124">
            <v>5.25</v>
          </cell>
          <cell r="S124" t="str">
            <v>4.38</v>
          </cell>
          <cell r="T124">
            <v>107</v>
          </cell>
          <cell r="U124">
            <v>88.42</v>
          </cell>
          <cell r="V124">
            <v>97.5</v>
          </cell>
          <cell r="W124">
            <v>53.17</v>
          </cell>
          <cell r="AJ124" t="str">
            <v>466.25</v>
          </cell>
          <cell r="AM124" t="str">
            <v>466.25</v>
          </cell>
          <cell r="AN124" t="str">
            <v>472.75</v>
          </cell>
          <cell r="AQ124" t="str">
            <v>472.75</v>
          </cell>
        </row>
        <row r="125">
          <cell r="D125" t="str">
            <v>산림자원학과</v>
          </cell>
          <cell r="E125">
            <v>15</v>
          </cell>
          <cell r="F125">
            <v>114</v>
          </cell>
          <cell r="G125">
            <v>7.6</v>
          </cell>
          <cell r="H125">
            <v>15</v>
          </cell>
          <cell r="I125">
            <v>0</v>
          </cell>
          <cell r="J125">
            <v>15</v>
          </cell>
          <cell r="K125">
            <v>8</v>
          </cell>
          <cell r="L125" t="str">
            <v>599.63</v>
          </cell>
          <cell r="M125" t="str">
            <v>556.5</v>
          </cell>
          <cell r="N125">
            <v>575.09</v>
          </cell>
          <cell r="O125" t="str">
            <v>12.21</v>
          </cell>
          <cell r="P125" t="str">
            <v>3.73</v>
          </cell>
          <cell r="Q125" t="str">
            <v>3.27</v>
          </cell>
          <cell r="R125">
            <v>4.2699999999999996</v>
          </cell>
          <cell r="S125" t="str">
            <v>3.5</v>
          </cell>
          <cell r="T125">
            <v>113.73</v>
          </cell>
          <cell r="U125">
            <v>118.93</v>
          </cell>
          <cell r="V125">
            <v>108</v>
          </cell>
          <cell r="W125">
            <v>57.2</v>
          </cell>
          <cell r="AJ125" t="str">
            <v>556.5</v>
          </cell>
          <cell r="AM125" t="str">
            <v>556.5</v>
          </cell>
          <cell r="AN125" t="str">
            <v>565.08</v>
          </cell>
          <cell r="AQ125" t="str">
            <v>565.08</v>
          </cell>
        </row>
        <row r="126">
          <cell r="D126" t="str">
            <v>생물산업기계공학과</v>
          </cell>
          <cell r="E126">
            <v>13</v>
          </cell>
          <cell r="F126">
            <v>51</v>
          </cell>
          <cell r="G126">
            <v>3.9230769230769229</v>
          </cell>
          <cell r="H126">
            <v>13</v>
          </cell>
          <cell r="I126">
            <v>0</v>
          </cell>
          <cell r="J126">
            <v>13</v>
          </cell>
          <cell r="K126">
            <v>10</v>
          </cell>
          <cell r="L126" t="str">
            <v>531.25</v>
          </cell>
          <cell r="M126" t="str">
            <v>495</v>
          </cell>
          <cell r="N126">
            <v>505.5</v>
          </cell>
          <cell r="O126" t="str">
            <v>11.84</v>
          </cell>
          <cell r="P126" t="str">
            <v>4.62</v>
          </cell>
          <cell r="Q126" t="str">
            <v>5.46</v>
          </cell>
          <cell r="R126">
            <v>4.92</v>
          </cell>
          <cell r="S126" t="str">
            <v>4.65</v>
          </cell>
          <cell r="T126">
            <v>107.31</v>
          </cell>
          <cell r="U126">
            <v>95.77</v>
          </cell>
          <cell r="V126">
            <v>100.85</v>
          </cell>
          <cell r="W126">
            <v>50.96</v>
          </cell>
          <cell r="AJ126" t="str">
            <v>495</v>
          </cell>
          <cell r="AM126" t="str">
            <v>495</v>
          </cell>
          <cell r="AN126" t="str">
            <v>496.5</v>
          </cell>
          <cell r="AQ126" t="str">
            <v>496.5</v>
          </cell>
        </row>
        <row r="127">
          <cell r="D127" t="str">
            <v>생물환경화학과</v>
          </cell>
          <cell r="E127">
            <v>11</v>
          </cell>
          <cell r="F127">
            <v>62</v>
          </cell>
          <cell r="G127">
            <v>5.6363636363636367</v>
          </cell>
          <cell r="H127">
            <v>11</v>
          </cell>
          <cell r="I127">
            <v>0</v>
          </cell>
          <cell r="J127">
            <v>11</v>
          </cell>
          <cell r="K127">
            <v>21</v>
          </cell>
          <cell r="L127" t="str">
            <v>584.63</v>
          </cell>
          <cell r="M127" t="str">
            <v>544.5</v>
          </cell>
          <cell r="N127">
            <v>562.64</v>
          </cell>
          <cell r="O127" t="str">
            <v>14.05</v>
          </cell>
          <cell r="P127" t="str">
            <v>4.09</v>
          </cell>
          <cell r="Q127" t="str">
            <v>4.45</v>
          </cell>
          <cell r="R127">
            <v>4.18</v>
          </cell>
          <cell r="S127" t="str">
            <v>3.14</v>
          </cell>
          <cell r="T127">
            <v>110.45</v>
          </cell>
          <cell r="U127">
            <v>107</v>
          </cell>
          <cell r="V127">
            <v>108.27</v>
          </cell>
          <cell r="W127">
            <v>59.41</v>
          </cell>
          <cell r="AJ127" t="str">
            <v>544.5</v>
          </cell>
          <cell r="AM127" t="str">
            <v>544.5</v>
          </cell>
          <cell r="AN127" t="str">
            <v>548.28</v>
          </cell>
          <cell r="AQ127" t="str">
            <v>548.28</v>
          </cell>
        </row>
        <row r="128">
          <cell r="D128" t="str">
            <v>식품공학과</v>
          </cell>
          <cell r="E128">
            <v>13</v>
          </cell>
          <cell r="F128">
            <v>129</v>
          </cell>
          <cell r="G128">
            <v>9.9230769230769234</v>
          </cell>
          <cell r="H128">
            <v>13</v>
          </cell>
          <cell r="I128">
            <v>0</v>
          </cell>
          <cell r="J128">
            <v>7</v>
          </cell>
          <cell r="K128">
            <v>9</v>
          </cell>
          <cell r="L128" t="str">
            <v>594.45</v>
          </cell>
          <cell r="M128" t="str">
            <v>578.5</v>
          </cell>
          <cell r="N128">
            <v>584.37</v>
          </cell>
          <cell r="O128" t="str">
            <v>5.16</v>
          </cell>
          <cell r="P128" t="str">
            <v>3.86</v>
          </cell>
          <cell r="Q128" t="str">
            <v>3.14</v>
          </cell>
          <cell r="R128">
            <v>4.1399999999999997</v>
          </cell>
          <cell r="S128" t="str">
            <v>3.64</v>
          </cell>
          <cell r="T128">
            <v>112</v>
          </cell>
          <cell r="U128">
            <v>121.71</v>
          </cell>
          <cell r="V128">
            <v>109.71</v>
          </cell>
          <cell r="W128">
            <v>56.71</v>
          </cell>
          <cell r="AJ128" t="str">
            <v>578.5</v>
          </cell>
          <cell r="AM128" t="str">
            <v>578.5</v>
          </cell>
          <cell r="AN128" t="str">
            <v>579.75</v>
          </cell>
          <cell r="AQ128" t="str">
            <v>579.75</v>
          </cell>
        </row>
        <row r="129">
          <cell r="D129" t="str">
            <v>원예학과</v>
          </cell>
          <cell r="E129">
            <v>11</v>
          </cell>
          <cell r="F129">
            <v>186</v>
          </cell>
          <cell r="G129">
            <v>16.90909090909091</v>
          </cell>
          <cell r="H129">
            <v>11</v>
          </cell>
          <cell r="I129">
            <v>0</v>
          </cell>
          <cell r="J129">
            <v>11</v>
          </cell>
          <cell r="K129">
            <v>7</v>
          </cell>
          <cell r="L129" t="str">
            <v>563</v>
          </cell>
          <cell r="M129" t="str">
            <v>553</v>
          </cell>
          <cell r="N129">
            <v>558.76</v>
          </cell>
          <cell r="O129" t="str">
            <v>3.79</v>
          </cell>
          <cell r="P129" t="str">
            <v>4.55</v>
          </cell>
          <cell r="Q129" t="str">
            <v>4</v>
          </cell>
          <cell r="R129">
            <v>4.09</v>
          </cell>
          <cell r="S129" t="str">
            <v>3.59</v>
          </cell>
          <cell r="T129">
            <v>108.27</v>
          </cell>
          <cell r="U129">
            <v>112.09</v>
          </cell>
          <cell r="V129">
            <v>110.91</v>
          </cell>
          <cell r="W129">
            <v>57.86</v>
          </cell>
          <cell r="AJ129" t="str">
            <v>553</v>
          </cell>
          <cell r="AM129" t="str">
            <v>553</v>
          </cell>
          <cell r="AN129" t="str">
            <v>553.75</v>
          </cell>
          <cell r="AQ129" t="str">
            <v>553.75</v>
          </cell>
        </row>
        <row r="130">
          <cell r="D130" t="str">
            <v>작물생명과학과</v>
          </cell>
          <cell r="E130">
            <v>12</v>
          </cell>
          <cell r="F130">
            <v>52</v>
          </cell>
          <cell r="G130">
            <v>4.333333333333333</v>
          </cell>
          <cell r="H130">
            <v>12</v>
          </cell>
          <cell r="I130">
            <v>0</v>
          </cell>
          <cell r="J130">
            <v>12</v>
          </cell>
          <cell r="K130">
            <v>7</v>
          </cell>
          <cell r="L130" t="str">
            <v>607.5</v>
          </cell>
          <cell r="M130" t="str">
            <v>506.5</v>
          </cell>
          <cell r="N130">
            <v>531.65</v>
          </cell>
          <cell r="O130" t="str">
            <v>30.48</v>
          </cell>
          <cell r="P130" t="str">
            <v>4.08</v>
          </cell>
          <cell r="Q130" t="str">
            <v>5.25</v>
          </cell>
          <cell r="R130">
            <v>4.5</v>
          </cell>
          <cell r="S130" t="str">
            <v>3.63</v>
          </cell>
          <cell r="T130">
            <v>111.67</v>
          </cell>
          <cell r="U130">
            <v>97.5</v>
          </cell>
          <cell r="V130">
            <v>106.58</v>
          </cell>
          <cell r="W130">
            <v>57.29</v>
          </cell>
          <cell r="AJ130" t="str">
            <v>506.5</v>
          </cell>
          <cell r="AM130" t="str">
            <v>506.5</v>
          </cell>
          <cell r="AN130" t="str">
            <v>510.75</v>
          </cell>
          <cell r="AQ130" t="str">
            <v>510.75</v>
          </cell>
        </row>
        <row r="131">
          <cell r="D131" t="str">
            <v>조경학과</v>
          </cell>
          <cell r="E131">
            <v>10</v>
          </cell>
          <cell r="F131">
            <v>62</v>
          </cell>
          <cell r="G131">
            <v>6.2</v>
          </cell>
          <cell r="H131">
            <v>10</v>
          </cell>
          <cell r="I131">
            <v>0</v>
          </cell>
          <cell r="J131">
            <v>10</v>
          </cell>
          <cell r="K131">
            <v>8</v>
          </cell>
          <cell r="L131" t="str">
            <v>607.63</v>
          </cell>
          <cell r="M131" t="str">
            <v>565.6</v>
          </cell>
          <cell r="N131">
            <v>582.36</v>
          </cell>
          <cell r="O131" t="str">
            <v>15.61</v>
          </cell>
          <cell r="P131" t="str">
            <v>3.6</v>
          </cell>
          <cell r="Q131" t="str">
            <v>3.3</v>
          </cell>
          <cell r="R131">
            <v>4</v>
          </cell>
          <cell r="S131" t="str">
            <v>3.65</v>
          </cell>
          <cell r="T131">
            <v>112.1</v>
          </cell>
          <cell r="U131">
            <v>117.1</v>
          </cell>
          <cell r="V131">
            <v>112.3</v>
          </cell>
          <cell r="W131">
            <v>57.15</v>
          </cell>
          <cell r="AJ131" t="str">
            <v>565.6</v>
          </cell>
          <cell r="AM131" t="str">
            <v>565.6</v>
          </cell>
          <cell r="AN131" t="str">
            <v>571.23</v>
          </cell>
          <cell r="AQ131" t="str">
            <v>571.23</v>
          </cell>
        </row>
        <row r="132">
          <cell r="D132" t="str">
            <v>지역건설공학과</v>
          </cell>
          <cell r="E132">
            <v>11</v>
          </cell>
          <cell r="F132">
            <v>41</v>
          </cell>
          <cell r="G132">
            <v>3.7272727272727271</v>
          </cell>
          <cell r="H132">
            <v>11</v>
          </cell>
          <cell r="I132">
            <v>0</v>
          </cell>
          <cell r="J132">
            <v>11</v>
          </cell>
          <cell r="K132">
            <v>4</v>
          </cell>
          <cell r="L132" t="str">
            <v>521.75</v>
          </cell>
          <cell r="M132" t="str">
            <v>489.25</v>
          </cell>
          <cell r="N132">
            <v>504.82</v>
          </cell>
          <cell r="O132" t="str">
            <v>9.91</v>
          </cell>
          <cell r="P132" t="str">
            <v>4.55</v>
          </cell>
          <cell r="Q132" t="str">
            <v>5.82</v>
          </cell>
          <cell r="R132">
            <v>4.7300000000000004</v>
          </cell>
          <cell r="S132" t="str">
            <v>4.73</v>
          </cell>
          <cell r="T132">
            <v>106.64</v>
          </cell>
          <cell r="U132">
            <v>90.36</v>
          </cell>
          <cell r="V132">
            <v>106.18</v>
          </cell>
          <cell r="W132">
            <v>51.14</v>
          </cell>
          <cell r="AJ132" t="str">
            <v>489.25</v>
          </cell>
          <cell r="AM132" t="str">
            <v>489.25</v>
          </cell>
          <cell r="AN132" t="str">
            <v>494</v>
          </cell>
          <cell r="AQ132" t="str">
            <v>494</v>
          </cell>
        </row>
        <row r="133">
          <cell r="D133" t="str">
            <v>과학교육학부(물리교육)</v>
          </cell>
          <cell r="E133">
            <v>6</v>
          </cell>
          <cell r="F133">
            <v>15</v>
          </cell>
          <cell r="G133">
            <v>2.5</v>
          </cell>
          <cell r="H133">
            <v>6</v>
          </cell>
          <cell r="I133">
            <v>0</v>
          </cell>
          <cell r="J133">
            <v>6</v>
          </cell>
          <cell r="K133">
            <v>3</v>
          </cell>
          <cell r="L133" t="str">
            <v>588.25</v>
          </cell>
          <cell r="M133" t="str">
            <v>552.75</v>
          </cell>
          <cell r="N133">
            <v>574.63</v>
          </cell>
          <cell r="O133" t="str">
            <v>14.72</v>
          </cell>
          <cell r="P133" t="str">
            <v>2.83</v>
          </cell>
          <cell r="Q133" t="str">
            <v>4.33</v>
          </cell>
          <cell r="R133">
            <v>4</v>
          </cell>
          <cell r="S133" t="str">
            <v>2.42</v>
          </cell>
          <cell r="T133">
            <v>120.5</v>
          </cell>
          <cell r="U133">
            <v>107.67</v>
          </cell>
          <cell r="V133">
            <v>112.33</v>
          </cell>
          <cell r="W133">
            <v>62.67</v>
          </cell>
          <cell r="AJ133" t="str">
            <v>552.75</v>
          </cell>
          <cell r="AM133" t="str">
            <v>552.75</v>
          </cell>
          <cell r="AN133" t="str">
            <v>560.5</v>
          </cell>
          <cell r="AQ133" t="str">
            <v>560.5</v>
          </cell>
        </row>
        <row r="134">
          <cell r="D134" t="str">
            <v>과학교육학부(생물교육)</v>
          </cell>
          <cell r="E134">
            <v>6</v>
          </cell>
          <cell r="F134">
            <v>16</v>
          </cell>
          <cell r="G134">
            <v>2.6666666666666665</v>
          </cell>
          <cell r="H134">
            <v>6</v>
          </cell>
          <cell r="I134">
            <v>0</v>
          </cell>
          <cell r="J134">
            <v>6</v>
          </cell>
          <cell r="K134">
            <v>2</v>
          </cell>
          <cell r="L134" t="str">
            <v>617.5</v>
          </cell>
          <cell r="M134" t="str">
            <v>603.25</v>
          </cell>
          <cell r="N134">
            <v>613</v>
          </cell>
          <cell r="O134" t="str">
            <v>5.18</v>
          </cell>
          <cell r="P134" t="str">
            <v>2</v>
          </cell>
          <cell r="Q134" t="str">
            <v>3.17</v>
          </cell>
          <cell r="R134">
            <v>2.83</v>
          </cell>
          <cell r="S134" t="str">
            <v>2.17</v>
          </cell>
          <cell r="T134">
            <v>124</v>
          </cell>
          <cell r="U134">
            <v>118.67</v>
          </cell>
          <cell r="V134">
            <v>123</v>
          </cell>
          <cell r="W134">
            <v>63.67</v>
          </cell>
          <cell r="AJ134" t="str">
            <v>603.25</v>
          </cell>
          <cell r="AM134" t="str">
            <v>603.25</v>
          </cell>
          <cell r="AN134" t="str">
            <v>612.25</v>
          </cell>
          <cell r="AQ134" t="str">
            <v>612.25</v>
          </cell>
        </row>
        <row r="135">
          <cell r="D135" t="str">
            <v>과학교육학부(지구과학교육)</v>
          </cell>
          <cell r="E135">
            <v>6</v>
          </cell>
          <cell r="F135">
            <v>12</v>
          </cell>
          <cell r="G135">
            <v>2</v>
          </cell>
          <cell r="H135">
            <v>6</v>
          </cell>
          <cell r="I135">
            <v>0</v>
          </cell>
          <cell r="J135">
            <v>6</v>
          </cell>
          <cell r="K135">
            <v>1</v>
          </cell>
          <cell r="L135" t="str">
            <v>603.25</v>
          </cell>
          <cell r="M135" t="str">
            <v>537.5</v>
          </cell>
          <cell r="N135">
            <v>567.54</v>
          </cell>
          <cell r="O135" t="str">
            <v>25.12</v>
          </cell>
          <cell r="P135" t="str">
            <v>3.5</v>
          </cell>
          <cell r="Q135" t="str">
            <v>4.67</v>
          </cell>
          <cell r="R135">
            <v>3.83</v>
          </cell>
          <cell r="S135" t="str">
            <v>2.33</v>
          </cell>
          <cell r="T135">
            <v>115.83</v>
          </cell>
          <cell r="U135">
            <v>103.83</v>
          </cell>
          <cell r="V135">
            <v>115.33</v>
          </cell>
          <cell r="W135">
            <v>62.67</v>
          </cell>
          <cell r="AJ135" t="str">
            <v>537.5</v>
          </cell>
          <cell r="AM135" t="str">
            <v>537.5</v>
          </cell>
          <cell r="AN135" t="str">
            <v>539.25</v>
          </cell>
          <cell r="AQ135" t="str">
            <v>539.25</v>
          </cell>
        </row>
        <row r="136">
          <cell r="D136" t="str">
            <v>과학교육학부(화학교육)</v>
          </cell>
          <cell r="E136">
            <v>6</v>
          </cell>
          <cell r="F136">
            <v>12</v>
          </cell>
          <cell r="G136">
            <v>2</v>
          </cell>
          <cell r="H136">
            <v>6</v>
          </cell>
          <cell r="I136">
            <v>0</v>
          </cell>
          <cell r="J136">
            <v>6</v>
          </cell>
          <cell r="K136">
            <v>6</v>
          </cell>
          <cell r="L136" t="str">
            <v>621.5</v>
          </cell>
          <cell r="M136" t="str">
            <v>441.25</v>
          </cell>
          <cell r="N136">
            <v>556</v>
          </cell>
          <cell r="O136" t="str">
            <v>69.28</v>
          </cell>
          <cell r="P136" t="str">
            <v>3.67</v>
          </cell>
          <cell r="Q136" t="str">
            <v>4.5</v>
          </cell>
          <cell r="R136">
            <v>4</v>
          </cell>
          <cell r="S136" t="str">
            <v>3.08</v>
          </cell>
          <cell r="T136">
            <v>113</v>
          </cell>
          <cell r="U136">
            <v>104.33</v>
          </cell>
          <cell r="V136">
            <v>112.67</v>
          </cell>
          <cell r="W136">
            <v>59.5</v>
          </cell>
          <cell r="AJ136" t="str">
            <v>441.25</v>
          </cell>
          <cell r="AM136" t="str">
            <v>441.25</v>
          </cell>
          <cell r="AN136" t="str">
            <v>511.25</v>
          </cell>
          <cell r="AQ136" t="str">
            <v>511.25</v>
          </cell>
        </row>
        <row r="137">
          <cell r="D137" t="str">
            <v>교육학과</v>
          </cell>
          <cell r="E137">
            <v>7</v>
          </cell>
          <cell r="F137">
            <v>46</v>
          </cell>
          <cell r="G137">
            <v>6.5714285714285712</v>
          </cell>
          <cell r="H137">
            <v>7</v>
          </cell>
          <cell r="I137">
            <v>0</v>
          </cell>
          <cell r="J137">
            <v>7</v>
          </cell>
          <cell r="K137">
            <v>3</v>
          </cell>
          <cell r="L137" t="str">
            <v>637.25</v>
          </cell>
          <cell r="M137" t="str">
            <v>612.5</v>
          </cell>
          <cell r="N137">
            <v>620.71</v>
          </cell>
          <cell r="O137" t="str">
            <v>8.57</v>
          </cell>
          <cell r="P137" t="str">
            <v>3</v>
          </cell>
          <cell r="Q137" t="str">
            <v>2.43</v>
          </cell>
          <cell r="R137">
            <v>2.4300000000000002</v>
          </cell>
          <cell r="S137" t="str">
            <v>2.29</v>
          </cell>
          <cell r="T137">
            <v>118.71</v>
          </cell>
          <cell r="U137">
            <v>127.57</v>
          </cell>
          <cell r="V137">
            <v>125.86</v>
          </cell>
          <cell r="W137">
            <v>62.93</v>
          </cell>
          <cell r="AJ137" t="str">
            <v>612.5</v>
          </cell>
          <cell r="AM137" t="str">
            <v>612.5</v>
          </cell>
          <cell r="AN137" t="str">
            <v>613</v>
          </cell>
          <cell r="AQ137" t="str">
            <v>613</v>
          </cell>
        </row>
        <row r="138">
          <cell r="D138" t="str">
            <v>국어교육과</v>
          </cell>
          <cell r="E138">
            <v>7</v>
          </cell>
          <cell r="F138">
            <v>31</v>
          </cell>
          <cell r="G138">
            <v>4.4285714285714288</v>
          </cell>
          <cell r="H138">
            <v>7</v>
          </cell>
          <cell r="I138">
            <v>0</v>
          </cell>
          <cell r="J138">
            <v>7</v>
          </cell>
          <cell r="K138">
            <v>6</v>
          </cell>
          <cell r="L138" t="str">
            <v>647.25</v>
          </cell>
          <cell r="M138" t="str">
            <v>631.5</v>
          </cell>
          <cell r="N138">
            <v>638.82000000000005</v>
          </cell>
          <cell r="O138" t="str">
            <v>5.07</v>
          </cell>
          <cell r="P138" t="str">
            <v>2.14</v>
          </cell>
          <cell r="Q138" t="str">
            <v>1.86</v>
          </cell>
          <cell r="R138">
            <v>2</v>
          </cell>
          <cell r="S138" t="str">
            <v>1.86</v>
          </cell>
          <cell r="T138">
            <v>123.14</v>
          </cell>
          <cell r="U138">
            <v>131.86000000000001</v>
          </cell>
          <cell r="V138">
            <v>128</v>
          </cell>
          <cell r="W138">
            <v>64.86</v>
          </cell>
          <cell r="AJ138" t="str">
            <v>631.5</v>
          </cell>
          <cell r="AM138" t="str">
            <v>631.5</v>
          </cell>
          <cell r="AN138" t="str">
            <v>635</v>
          </cell>
          <cell r="AQ138" t="str">
            <v>635</v>
          </cell>
        </row>
        <row r="139">
          <cell r="D139" t="str">
            <v>독어교육과</v>
          </cell>
          <cell r="E139">
            <v>4</v>
          </cell>
          <cell r="F139">
            <v>15</v>
          </cell>
          <cell r="G139">
            <v>3.75</v>
          </cell>
          <cell r="H139">
            <v>4</v>
          </cell>
          <cell r="I139">
            <v>0</v>
          </cell>
          <cell r="J139">
            <v>4</v>
          </cell>
          <cell r="K139">
            <v>3</v>
          </cell>
          <cell r="L139" t="str">
            <v>573.75</v>
          </cell>
          <cell r="M139" t="str">
            <v>518.5</v>
          </cell>
          <cell r="N139">
            <v>549.44000000000005</v>
          </cell>
          <cell r="O139" t="str">
            <v>22.89</v>
          </cell>
          <cell r="P139" t="str">
            <v>5</v>
          </cell>
          <cell r="Q139" t="str">
            <v>3.75</v>
          </cell>
          <cell r="R139">
            <v>3.75</v>
          </cell>
          <cell r="S139" t="str">
            <v>3.63</v>
          </cell>
          <cell r="T139">
            <v>102.5</v>
          </cell>
          <cell r="U139">
            <v>113.75</v>
          </cell>
          <cell r="V139">
            <v>111.5</v>
          </cell>
          <cell r="W139">
            <v>57.5</v>
          </cell>
          <cell r="AJ139" t="str">
            <v>518.5</v>
          </cell>
          <cell r="AM139" t="str">
            <v>518.5</v>
          </cell>
          <cell r="AN139" t="str">
            <v>551.75</v>
          </cell>
          <cell r="AQ139" t="str">
            <v>551.75</v>
          </cell>
        </row>
        <row r="140">
          <cell r="D140" t="str">
            <v>사회교육학부</v>
          </cell>
          <cell r="E140">
            <v>10</v>
          </cell>
          <cell r="F140">
            <v>56</v>
          </cell>
          <cell r="G140">
            <v>5.6</v>
          </cell>
          <cell r="H140">
            <v>10</v>
          </cell>
          <cell r="I140">
            <v>0</v>
          </cell>
          <cell r="J140">
            <v>10</v>
          </cell>
          <cell r="K140">
            <v>7</v>
          </cell>
          <cell r="L140" t="str">
            <v>638.5</v>
          </cell>
          <cell r="M140" t="str">
            <v>621</v>
          </cell>
          <cell r="N140">
            <v>630.38</v>
          </cell>
          <cell r="O140" t="str">
            <v>6.41</v>
          </cell>
          <cell r="P140" t="str">
            <v>2.1</v>
          </cell>
          <cell r="Q140" t="str">
            <v>2.2</v>
          </cell>
          <cell r="R140">
            <v>2.9</v>
          </cell>
          <cell r="S140" t="str">
            <v>1.9</v>
          </cell>
          <cell r="T140">
            <v>123.5</v>
          </cell>
          <cell r="U140">
            <v>129.30000000000001</v>
          </cell>
          <cell r="V140">
            <v>123.4</v>
          </cell>
          <cell r="W140">
            <v>65.599999999999994</v>
          </cell>
          <cell r="AJ140" t="str">
            <v>621</v>
          </cell>
          <cell r="AM140" t="str">
            <v>621</v>
          </cell>
          <cell r="AN140" t="str">
            <v>624</v>
          </cell>
          <cell r="AQ140" t="str">
            <v>624</v>
          </cell>
        </row>
        <row r="141">
          <cell r="D141" t="str">
            <v>수학교육과</v>
          </cell>
          <cell r="E141">
            <v>8</v>
          </cell>
          <cell r="F141">
            <v>25</v>
          </cell>
          <cell r="G141">
            <v>3.125</v>
          </cell>
          <cell r="H141">
            <v>8</v>
          </cell>
          <cell r="I141">
            <v>0</v>
          </cell>
          <cell r="J141">
            <v>8</v>
          </cell>
          <cell r="K141">
            <v>8</v>
          </cell>
          <cell r="L141" t="str">
            <v>638</v>
          </cell>
          <cell r="M141" t="str">
            <v>607.75</v>
          </cell>
          <cell r="N141">
            <v>620.5</v>
          </cell>
          <cell r="O141" t="str">
            <v>11.2</v>
          </cell>
          <cell r="P141" t="str">
            <v>2.13</v>
          </cell>
          <cell r="Q141" t="str">
            <v>3</v>
          </cell>
          <cell r="R141">
            <v>2.5</v>
          </cell>
          <cell r="S141" t="str">
            <v>1.81</v>
          </cell>
          <cell r="T141">
            <v>123.88</v>
          </cell>
          <cell r="U141">
            <v>119.38</v>
          </cell>
          <cell r="V141">
            <v>125.63</v>
          </cell>
          <cell r="W141">
            <v>65.44</v>
          </cell>
          <cell r="AJ141" t="str">
            <v>607.75</v>
          </cell>
          <cell r="AM141" t="str">
            <v>607.75</v>
          </cell>
          <cell r="AN141" t="str">
            <v>610.5</v>
          </cell>
          <cell r="AQ141" t="str">
            <v>610.5</v>
          </cell>
        </row>
        <row r="142">
          <cell r="D142" t="str">
            <v>영어교육과</v>
          </cell>
          <cell r="E142">
            <v>8</v>
          </cell>
          <cell r="F142">
            <v>23</v>
          </cell>
          <cell r="G142">
            <v>2.875</v>
          </cell>
          <cell r="H142">
            <v>8</v>
          </cell>
          <cell r="I142">
            <v>0</v>
          </cell>
          <cell r="J142">
            <v>8</v>
          </cell>
          <cell r="K142">
            <v>9</v>
          </cell>
          <cell r="L142" t="str">
            <v>663.5</v>
          </cell>
          <cell r="M142" t="str">
            <v>624</v>
          </cell>
          <cell r="N142">
            <v>641.97</v>
          </cell>
          <cell r="O142" t="str">
            <v>14.11</v>
          </cell>
          <cell r="P142" t="str">
            <v>2.13</v>
          </cell>
          <cell r="Q142" t="str">
            <v>1.63</v>
          </cell>
          <cell r="R142">
            <v>1.75</v>
          </cell>
          <cell r="S142" t="str">
            <v>2.63</v>
          </cell>
          <cell r="T142">
            <v>124.75</v>
          </cell>
          <cell r="U142">
            <v>134.38</v>
          </cell>
          <cell r="V142">
            <v>129.88</v>
          </cell>
          <cell r="W142">
            <v>61.38</v>
          </cell>
          <cell r="AJ142" t="str">
            <v>624</v>
          </cell>
          <cell r="AM142" t="str">
            <v>624</v>
          </cell>
          <cell r="AN142" t="str">
            <v>630.25</v>
          </cell>
          <cell r="AQ142" t="str">
            <v>630.25</v>
          </cell>
        </row>
        <row r="143">
          <cell r="D143" t="str">
            <v>윤리교육과</v>
          </cell>
          <cell r="E143">
            <v>6</v>
          </cell>
          <cell r="F143">
            <v>22</v>
          </cell>
          <cell r="G143">
            <v>3.6666666666666665</v>
          </cell>
          <cell r="H143">
            <v>6</v>
          </cell>
          <cell r="I143">
            <v>0</v>
          </cell>
          <cell r="J143">
            <v>6</v>
          </cell>
          <cell r="K143">
            <v>1</v>
          </cell>
          <cell r="L143" t="str">
            <v>626.25</v>
          </cell>
          <cell r="M143" t="str">
            <v>612.5</v>
          </cell>
          <cell r="N143">
            <v>618.38</v>
          </cell>
          <cell r="O143" t="str">
            <v>4.62</v>
          </cell>
          <cell r="P143" t="str">
            <v>2.17</v>
          </cell>
          <cell r="Q143" t="str">
            <v>2.67</v>
          </cell>
          <cell r="R143">
            <v>3.5</v>
          </cell>
          <cell r="S143" t="str">
            <v>2.08</v>
          </cell>
          <cell r="T143">
            <v>124</v>
          </cell>
          <cell r="U143">
            <v>127</v>
          </cell>
          <cell r="V143">
            <v>117.83</v>
          </cell>
          <cell r="W143">
            <v>64.58</v>
          </cell>
          <cell r="AJ143" t="str">
            <v>612.5</v>
          </cell>
          <cell r="AM143" t="str">
            <v>612.5</v>
          </cell>
          <cell r="AN143" t="str">
            <v>616</v>
          </cell>
          <cell r="AQ143" t="str">
            <v>616</v>
          </cell>
        </row>
        <row r="144">
          <cell r="D144" t="str">
            <v>지리교육과</v>
          </cell>
          <cell r="E144">
            <v>4</v>
          </cell>
          <cell r="F144">
            <v>19</v>
          </cell>
          <cell r="G144">
            <v>4.75</v>
          </cell>
          <cell r="H144">
            <v>4</v>
          </cell>
          <cell r="I144">
            <v>0</v>
          </cell>
          <cell r="J144">
            <v>4</v>
          </cell>
          <cell r="K144">
            <v>2</v>
          </cell>
          <cell r="L144" t="str">
            <v>630.75</v>
          </cell>
          <cell r="M144" t="str">
            <v>608.25</v>
          </cell>
          <cell r="N144">
            <v>619.30999999999995</v>
          </cell>
          <cell r="O144" t="str">
            <v>9.23</v>
          </cell>
          <cell r="P144" t="str">
            <v>1.5</v>
          </cell>
          <cell r="Q144" t="str">
            <v>3.25</v>
          </cell>
          <cell r="R144">
            <v>3.25</v>
          </cell>
          <cell r="S144" t="str">
            <v>1.75</v>
          </cell>
          <cell r="T144">
            <v>126</v>
          </cell>
          <cell r="U144">
            <v>123</v>
          </cell>
          <cell r="V144">
            <v>118.75</v>
          </cell>
          <cell r="W144">
            <v>65.63</v>
          </cell>
          <cell r="AJ144" t="str">
            <v>608.25</v>
          </cell>
          <cell r="AM144" t="str">
            <v>608.25</v>
          </cell>
          <cell r="AN144" t="str">
            <v>618</v>
          </cell>
          <cell r="AQ144" t="str">
            <v>618</v>
          </cell>
        </row>
        <row r="145">
          <cell r="D145" t="str">
            <v>사회복지학과</v>
          </cell>
          <cell r="E145">
            <v>12</v>
          </cell>
          <cell r="F145">
            <v>57</v>
          </cell>
          <cell r="G145">
            <v>4.75</v>
          </cell>
          <cell r="H145">
            <v>12</v>
          </cell>
          <cell r="I145">
            <v>0</v>
          </cell>
          <cell r="J145">
            <v>12</v>
          </cell>
          <cell r="K145">
            <v>4</v>
          </cell>
          <cell r="L145" t="str">
            <v>621.75</v>
          </cell>
          <cell r="M145" t="str">
            <v>582.25</v>
          </cell>
          <cell r="N145">
            <v>598.29</v>
          </cell>
          <cell r="O145" t="str">
            <v>15.24</v>
          </cell>
          <cell r="P145" t="str">
            <v>2.83</v>
          </cell>
          <cell r="Q145" t="str">
            <v>3.25</v>
          </cell>
          <cell r="R145">
            <v>3.25</v>
          </cell>
          <cell r="S145" t="str">
            <v>2.42</v>
          </cell>
          <cell r="T145">
            <v>119</v>
          </cell>
          <cell r="U145">
            <v>119.08</v>
          </cell>
          <cell r="V145">
            <v>117.58</v>
          </cell>
          <cell r="W145">
            <v>63.04</v>
          </cell>
          <cell r="AJ145" t="str">
            <v>582.25</v>
          </cell>
          <cell r="AM145" t="str">
            <v>582.25</v>
          </cell>
          <cell r="AN145" t="str">
            <v>583.75</v>
          </cell>
          <cell r="AQ145" t="str">
            <v>583.75</v>
          </cell>
        </row>
        <row r="146">
          <cell r="D146" t="str">
            <v>사회학과</v>
          </cell>
          <cell r="E146">
            <v>11</v>
          </cell>
          <cell r="F146">
            <v>37</v>
          </cell>
          <cell r="G146">
            <v>3.3636363636363638</v>
          </cell>
          <cell r="H146">
            <v>11</v>
          </cell>
          <cell r="I146">
            <v>0</v>
          </cell>
          <cell r="J146">
            <v>11</v>
          </cell>
          <cell r="K146">
            <v>10</v>
          </cell>
          <cell r="L146" t="str">
            <v>605.75</v>
          </cell>
          <cell r="M146" t="str">
            <v>577.5</v>
          </cell>
          <cell r="N146">
            <v>589.42999999999995</v>
          </cell>
          <cell r="O146" t="str">
            <v>8.17</v>
          </cell>
          <cell r="P146" t="str">
            <v>3.73</v>
          </cell>
          <cell r="Q146" t="str">
            <v>3</v>
          </cell>
          <cell r="R146">
            <v>3.36</v>
          </cell>
          <cell r="S146" t="str">
            <v>2.86</v>
          </cell>
          <cell r="T146">
            <v>114.36</v>
          </cell>
          <cell r="U146">
            <v>121.64</v>
          </cell>
          <cell r="V146">
            <v>116.36</v>
          </cell>
          <cell r="W146">
            <v>60.86</v>
          </cell>
          <cell r="AJ146" t="str">
            <v>577.5</v>
          </cell>
          <cell r="AM146" t="str">
            <v>577.5</v>
          </cell>
          <cell r="AN146" t="str">
            <v>582.75</v>
          </cell>
          <cell r="AQ146" t="str">
            <v>582.75</v>
          </cell>
        </row>
        <row r="147">
          <cell r="D147" t="str">
            <v>신문방송학과</v>
          </cell>
          <cell r="E147">
            <v>11</v>
          </cell>
          <cell r="F147">
            <v>32</v>
          </cell>
          <cell r="G147">
            <v>2.9090909090909092</v>
          </cell>
          <cell r="H147">
            <v>11</v>
          </cell>
          <cell r="I147">
            <v>0</v>
          </cell>
          <cell r="J147">
            <v>11</v>
          </cell>
          <cell r="K147">
            <v>2</v>
          </cell>
          <cell r="L147" t="str">
            <v>623.75</v>
          </cell>
          <cell r="M147" t="str">
            <v>579.5</v>
          </cell>
          <cell r="N147">
            <v>598.95000000000005</v>
          </cell>
          <cell r="O147" t="str">
            <v>15.77</v>
          </cell>
          <cell r="P147" t="str">
            <v>3.27</v>
          </cell>
          <cell r="Q147" t="str">
            <v>2.73</v>
          </cell>
          <cell r="R147">
            <v>3.64</v>
          </cell>
          <cell r="S147" t="str">
            <v>2.86</v>
          </cell>
          <cell r="T147">
            <v>116.64</v>
          </cell>
          <cell r="U147">
            <v>127.45</v>
          </cell>
          <cell r="V147">
            <v>115.64</v>
          </cell>
          <cell r="W147">
            <v>60.82</v>
          </cell>
          <cell r="AJ147" t="str">
            <v>579.5</v>
          </cell>
          <cell r="AM147" t="str">
            <v>579.5</v>
          </cell>
          <cell r="AN147" t="str">
            <v>583.5</v>
          </cell>
          <cell r="AQ147" t="str">
            <v>583.5</v>
          </cell>
        </row>
        <row r="148">
          <cell r="D148" t="str">
            <v>심리학과</v>
          </cell>
          <cell r="E148">
            <v>9</v>
          </cell>
          <cell r="F148">
            <v>39</v>
          </cell>
          <cell r="G148">
            <v>4.333333333333333</v>
          </cell>
          <cell r="H148">
            <v>9</v>
          </cell>
          <cell r="I148">
            <v>0</v>
          </cell>
          <cell r="J148">
            <v>9</v>
          </cell>
          <cell r="K148">
            <v>5</v>
          </cell>
          <cell r="L148" t="str">
            <v>620.75</v>
          </cell>
          <cell r="M148" t="str">
            <v>584.75</v>
          </cell>
          <cell r="N148">
            <v>601.25</v>
          </cell>
          <cell r="O148" t="str">
            <v>10.98</v>
          </cell>
          <cell r="P148" t="str">
            <v>3</v>
          </cell>
          <cell r="Q148" t="str">
            <v>3</v>
          </cell>
          <cell r="R148">
            <v>3.44</v>
          </cell>
          <cell r="S148" t="str">
            <v>2.39</v>
          </cell>
          <cell r="T148">
            <v>119.11</v>
          </cell>
          <cell r="U148">
            <v>123.33</v>
          </cell>
          <cell r="V148">
            <v>115.89</v>
          </cell>
          <cell r="W148">
            <v>63.06</v>
          </cell>
          <cell r="AJ148" t="str">
            <v>584.75</v>
          </cell>
          <cell r="AM148" t="str">
            <v>584.75</v>
          </cell>
          <cell r="AN148" t="str">
            <v>593</v>
          </cell>
          <cell r="AQ148" t="str">
            <v>593</v>
          </cell>
        </row>
        <row r="149">
          <cell r="D149" t="str">
            <v>정치외교학과</v>
          </cell>
          <cell r="E149">
            <v>16</v>
          </cell>
          <cell r="F149">
            <v>66</v>
          </cell>
          <cell r="G149">
            <v>4.125</v>
          </cell>
          <cell r="H149">
            <v>16</v>
          </cell>
          <cell r="I149">
            <v>0</v>
          </cell>
          <cell r="J149">
            <v>16</v>
          </cell>
          <cell r="K149">
            <v>12</v>
          </cell>
          <cell r="L149" t="str">
            <v>623</v>
          </cell>
          <cell r="M149" t="str">
            <v>586.5</v>
          </cell>
          <cell r="N149">
            <v>596.80999999999995</v>
          </cell>
          <cell r="O149" t="str">
            <v>10.1</v>
          </cell>
          <cell r="P149" t="str">
            <v>3.13</v>
          </cell>
          <cell r="Q149" t="str">
            <v>3.13</v>
          </cell>
          <cell r="R149">
            <v>3.44</v>
          </cell>
          <cell r="S149" t="str">
            <v>2.38</v>
          </cell>
          <cell r="T149">
            <v>117.88</v>
          </cell>
          <cell r="U149">
            <v>120.75</v>
          </cell>
          <cell r="V149">
            <v>116.94</v>
          </cell>
          <cell r="W149">
            <v>62.44</v>
          </cell>
          <cell r="AJ149" t="str">
            <v>586.5</v>
          </cell>
          <cell r="AM149" t="str">
            <v>586.5</v>
          </cell>
          <cell r="AN149" t="str">
            <v>590.25</v>
          </cell>
          <cell r="AQ149" t="str">
            <v>590.25</v>
          </cell>
        </row>
        <row r="150">
          <cell r="D150" t="str">
            <v>행정학과</v>
          </cell>
          <cell r="E150">
            <v>19</v>
          </cell>
          <cell r="F150">
            <v>53</v>
          </cell>
          <cell r="G150">
            <v>2.7894736842105261</v>
          </cell>
          <cell r="H150">
            <v>19</v>
          </cell>
          <cell r="I150">
            <v>0</v>
          </cell>
          <cell r="J150">
            <v>19</v>
          </cell>
          <cell r="K150">
            <v>4</v>
          </cell>
          <cell r="L150" t="str">
            <v>647</v>
          </cell>
          <cell r="M150" t="str">
            <v>594.75</v>
          </cell>
          <cell r="N150">
            <v>620.01</v>
          </cell>
          <cell r="O150" t="str">
            <v>17.16</v>
          </cell>
          <cell r="P150" t="str">
            <v>2.84</v>
          </cell>
          <cell r="Q150" t="str">
            <v>2.32</v>
          </cell>
          <cell r="R150">
            <v>2.63</v>
          </cell>
          <cell r="S150" t="str">
            <v>2.18</v>
          </cell>
          <cell r="T150">
            <v>119.74</v>
          </cell>
          <cell r="U150">
            <v>127.58</v>
          </cell>
          <cell r="V150">
            <v>123.74</v>
          </cell>
          <cell r="W150">
            <v>63.55</v>
          </cell>
          <cell r="AJ150" t="str">
            <v>594.75</v>
          </cell>
          <cell r="AM150" t="str">
            <v>594.75</v>
          </cell>
          <cell r="AN150" t="str">
            <v>605.5</v>
          </cell>
          <cell r="AQ150" t="str">
            <v>605.5</v>
          </cell>
        </row>
        <row r="151">
          <cell r="D151" t="str">
            <v>경영학부</v>
          </cell>
          <cell r="E151">
            <v>77</v>
          </cell>
          <cell r="F151">
            <v>216</v>
          </cell>
          <cell r="G151">
            <v>2.8051948051948052</v>
          </cell>
          <cell r="H151">
            <v>77</v>
          </cell>
          <cell r="I151">
            <v>0</v>
          </cell>
          <cell r="J151">
            <v>77</v>
          </cell>
          <cell r="K151">
            <v>34</v>
          </cell>
          <cell r="L151" t="str">
            <v>636.75</v>
          </cell>
          <cell r="M151" t="str">
            <v>595.5</v>
          </cell>
          <cell r="N151">
            <v>609.71</v>
          </cell>
          <cell r="O151" t="str">
            <v>9.2</v>
          </cell>
          <cell r="P151" t="str">
            <v>3.01</v>
          </cell>
          <cell r="Q151" t="str">
            <v>2.68</v>
          </cell>
          <cell r="R151">
            <v>3.01</v>
          </cell>
          <cell r="S151" t="str">
            <v>2.54</v>
          </cell>
          <cell r="T151">
            <v>118.53</v>
          </cell>
          <cell r="U151">
            <v>125.58</v>
          </cell>
          <cell r="V151">
            <v>120.96</v>
          </cell>
          <cell r="W151">
            <v>62.32</v>
          </cell>
          <cell r="AJ151" t="str">
            <v>595.5</v>
          </cell>
          <cell r="AM151" t="str">
            <v>595.5</v>
          </cell>
          <cell r="AN151" t="str">
            <v>600.75</v>
          </cell>
          <cell r="AQ151" t="str">
            <v>600.75</v>
          </cell>
        </row>
        <row r="152">
          <cell r="D152" t="str">
            <v>경제학부</v>
          </cell>
          <cell r="E152">
            <v>26</v>
          </cell>
          <cell r="F152">
            <v>80</v>
          </cell>
          <cell r="G152">
            <v>3.0769230769230771</v>
          </cell>
          <cell r="H152">
            <v>26</v>
          </cell>
          <cell r="I152">
            <v>0</v>
          </cell>
          <cell r="J152">
            <v>25</v>
          </cell>
          <cell r="K152">
            <v>11</v>
          </cell>
          <cell r="L152" t="str">
            <v>631.5</v>
          </cell>
          <cell r="M152" t="str">
            <v>591.75</v>
          </cell>
          <cell r="N152">
            <v>600.16</v>
          </cell>
          <cell r="O152" t="str">
            <v>9.03</v>
          </cell>
          <cell r="P152" t="str">
            <v>3.2</v>
          </cell>
          <cell r="Q152" t="str">
            <v>2.64</v>
          </cell>
          <cell r="R152">
            <v>3.64</v>
          </cell>
          <cell r="S152" t="str">
            <v>2.54</v>
          </cell>
          <cell r="T152">
            <v>117.4</v>
          </cell>
          <cell r="U152">
            <v>126.32</v>
          </cell>
          <cell r="V152">
            <v>115.48</v>
          </cell>
          <cell r="W152">
            <v>61.96</v>
          </cell>
          <cell r="AJ152" t="str">
            <v>591.75</v>
          </cell>
          <cell r="AM152" t="str">
            <v>591.75</v>
          </cell>
          <cell r="AN152" t="str">
            <v>594.25</v>
          </cell>
          <cell r="AQ152" t="str">
            <v>594.25</v>
          </cell>
        </row>
        <row r="153">
          <cell r="D153" t="str">
            <v>무역학과</v>
          </cell>
          <cell r="E153">
            <v>41</v>
          </cell>
          <cell r="F153">
            <v>124</v>
          </cell>
          <cell r="G153">
            <v>3.024390243902439</v>
          </cell>
          <cell r="H153">
            <v>41</v>
          </cell>
          <cell r="I153">
            <v>0</v>
          </cell>
          <cell r="J153">
            <v>42</v>
          </cell>
          <cell r="K153">
            <v>24</v>
          </cell>
          <cell r="L153" t="str">
            <v>628.5</v>
          </cell>
          <cell r="M153" t="str">
            <v>578.5</v>
          </cell>
          <cell r="N153">
            <v>591.61</v>
          </cell>
          <cell r="O153" t="str">
            <v>8.79</v>
          </cell>
          <cell r="P153" t="str">
            <v>3.21</v>
          </cell>
          <cell r="Q153" t="str">
            <v>3.21</v>
          </cell>
          <cell r="R153">
            <v>3.62</v>
          </cell>
          <cell r="S153" t="str">
            <v>2.64</v>
          </cell>
          <cell r="T153">
            <v>117.14</v>
          </cell>
          <cell r="U153">
            <v>120.29</v>
          </cell>
          <cell r="V153">
            <v>115.38</v>
          </cell>
          <cell r="W153">
            <v>61.64</v>
          </cell>
          <cell r="AJ153" t="str">
            <v>578.5</v>
          </cell>
          <cell r="AM153" t="str">
            <v>578.5</v>
          </cell>
          <cell r="AN153" t="str">
            <v>585</v>
          </cell>
          <cell r="AQ153" t="str">
            <v>585</v>
          </cell>
        </row>
        <row r="154">
          <cell r="D154" t="str">
            <v>식품영양학과</v>
          </cell>
          <cell r="E154">
            <v>12</v>
          </cell>
          <cell r="F154">
            <v>37</v>
          </cell>
          <cell r="G154">
            <v>3.0833333333333335</v>
          </cell>
          <cell r="H154">
            <v>12</v>
          </cell>
          <cell r="I154">
            <v>0</v>
          </cell>
          <cell r="J154">
            <v>11</v>
          </cell>
          <cell r="K154">
            <v>6</v>
          </cell>
          <cell r="L154" t="str">
            <v>576.5</v>
          </cell>
          <cell r="M154" t="str">
            <v>499.75</v>
          </cell>
          <cell r="N154">
            <v>534.89</v>
          </cell>
          <cell r="O154" t="str">
            <v>24.74</v>
          </cell>
          <cell r="P154" t="str">
            <v>3.73</v>
          </cell>
          <cell r="Q154" t="str">
            <v>5.27</v>
          </cell>
          <cell r="R154">
            <v>4.45</v>
          </cell>
          <cell r="S154" t="str">
            <v>3.64</v>
          </cell>
          <cell r="T154">
            <v>113.18</v>
          </cell>
          <cell r="U154">
            <v>99.09</v>
          </cell>
          <cell r="V154">
            <v>106.82</v>
          </cell>
          <cell r="W154">
            <v>56.36</v>
          </cell>
          <cell r="AJ154" t="str">
            <v>499.75</v>
          </cell>
          <cell r="AM154" t="str">
            <v>499.75</v>
          </cell>
          <cell r="AN154" t="str">
            <v>508.75</v>
          </cell>
          <cell r="AQ154" t="str">
            <v>508.75</v>
          </cell>
        </row>
        <row r="155">
          <cell r="D155" t="str">
            <v>아동학과</v>
          </cell>
          <cell r="E155">
            <v>6</v>
          </cell>
          <cell r="F155">
            <v>48</v>
          </cell>
          <cell r="G155">
            <v>8</v>
          </cell>
          <cell r="H155">
            <v>6</v>
          </cell>
          <cell r="I155">
            <v>0</v>
          </cell>
          <cell r="J155">
            <v>6</v>
          </cell>
          <cell r="K155">
            <v>10</v>
          </cell>
          <cell r="L155" t="str">
            <v>588.75</v>
          </cell>
          <cell r="M155" t="str">
            <v>579.75</v>
          </cell>
          <cell r="N155">
            <v>584.13</v>
          </cell>
          <cell r="O155" t="str">
            <v>3.52</v>
          </cell>
          <cell r="P155" t="str">
            <v>3.17</v>
          </cell>
          <cell r="Q155" t="str">
            <v>3.5</v>
          </cell>
          <cell r="R155">
            <v>3.5</v>
          </cell>
          <cell r="S155" t="str">
            <v>3.25</v>
          </cell>
          <cell r="T155">
            <v>117.83</v>
          </cell>
          <cell r="U155">
            <v>117</v>
          </cell>
          <cell r="V155">
            <v>115.5</v>
          </cell>
          <cell r="W155">
            <v>58.58</v>
          </cell>
          <cell r="AJ155" t="str">
            <v>579.75</v>
          </cell>
          <cell r="AM155" t="str">
            <v>579.75</v>
          </cell>
          <cell r="AN155" t="str">
            <v>582</v>
          </cell>
          <cell r="AQ155" t="str">
            <v>582</v>
          </cell>
        </row>
        <row r="156">
          <cell r="D156" t="str">
            <v>의류학과</v>
          </cell>
          <cell r="E156">
            <v>13</v>
          </cell>
          <cell r="F156">
            <v>138</v>
          </cell>
          <cell r="G156">
            <v>10.615384615384615</v>
          </cell>
          <cell r="H156">
            <v>13</v>
          </cell>
          <cell r="I156">
            <v>0</v>
          </cell>
          <cell r="J156">
            <v>12</v>
          </cell>
          <cell r="K156">
            <v>3</v>
          </cell>
          <cell r="L156" t="str">
            <v>592.75</v>
          </cell>
          <cell r="M156" t="str">
            <v>567.5</v>
          </cell>
          <cell r="N156">
            <v>574.25</v>
          </cell>
          <cell r="O156" t="str">
            <v>6.83</v>
          </cell>
          <cell r="P156" t="str">
            <v>3.5</v>
          </cell>
          <cell r="Q156" t="str">
            <v>4.17</v>
          </cell>
          <cell r="R156">
            <v>3.58</v>
          </cell>
          <cell r="S156" t="str">
            <v>3.71</v>
          </cell>
          <cell r="T156">
            <v>115</v>
          </cell>
          <cell r="U156">
            <v>110</v>
          </cell>
          <cell r="V156">
            <v>115.25</v>
          </cell>
          <cell r="W156">
            <v>56.71</v>
          </cell>
          <cell r="AJ156" t="str">
            <v>567.5</v>
          </cell>
          <cell r="AM156" t="str">
            <v>567.5</v>
          </cell>
          <cell r="AN156" t="str">
            <v>569</v>
          </cell>
          <cell r="AQ156" t="str">
            <v>569</v>
          </cell>
        </row>
        <row r="157">
          <cell r="D157" t="str">
            <v>주거환경학과</v>
          </cell>
          <cell r="E157">
            <v>9</v>
          </cell>
          <cell r="F157">
            <v>50</v>
          </cell>
          <cell r="G157">
            <v>5.5555555555555554</v>
          </cell>
          <cell r="H157">
            <v>9</v>
          </cell>
          <cell r="I157">
            <v>0</v>
          </cell>
          <cell r="J157">
            <v>9</v>
          </cell>
          <cell r="K157">
            <v>10</v>
          </cell>
          <cell r="L157" t="str">
            <v>581</v>
          </cell>
          <cell r="M157" t="str">
            <v>563.28</v>
          </cell>
          <cell r="N157">
            <v>572.04</v>
          </cell>
          <cell r="O157" t="str">
            <v>6.24</v>
          </cell>
          <cell r="P157" t="str">
            <v>4.11</v>
          </cell>
          <cell r="Q157" t="str">
            <v>3.67</v>
          </cell>
          <cell r="R157">
            <v>4.1100000000000003</v>
          </cell>
          <cell r="S157" t="str">
            <v>3.06</v>
          </cell>
          <cell r="T157">
            <v>110.44</v>
          </cell>
          <cell r="U157">
            <v>115.78</v>
          </cell>
          <cell r="V157">
            <v>110.89</v>
          </cell>
          <cell r="W157">
            <v>59.67</v>
          </cell>
          <cell r="AJ157" t="str">
            <v>563.28</v>
          </cell>
          <cell r="AM157" t="str">
            <v>563.28</v>
          </cell>
          <cell r="AN157" t="str">
            <v>567.75</v>
          </cell>
          <cell r="AQ157" t="str">
            <v>567.75</v>
          </cell>
        </row>
        <row r="158">
          <cell r="D158" t="str">
            <v>고고문화인류학과</v>
          </cell>
          <cell r="E158">
            <v>8</v>
          </cell>
          <cell r="F158">
            <v>66</v>
          </cell>
          <cell r="G158">
            <v>8.25</v>
          </cell>
          <cell r="H158">
            <v>8</v>
          </cell>
          <cell r="I158">
            <v>0</v>
          </cell>
          <cell r="J158">
            <v>8</v>
          </cell>
          <cell r="K158">
            <v>5</v>
          </cell>
          <cell r="L158" t="str">
            <v>593.25</v>
          </cell>
          <cell r="M158" t="str">
            <v>571.75</v>
          </cell>
          <cell r="N158">
            <v>577.97</v>
          </cell>
          <cell r="O158" t="str">
            <v>7.02</v>
          </cell>
          <cell r="P158" t="str">
            <v>3.75</v>
          </cell>
          <cell r="Q158" t="str">
            <v>3.38</v>
          </cell>
          <cell r="R158">
            <v>3.75</v>
          </cell>
          <cell r="S158" t="str">
            <v>2.94</v>
          </cell>
          <cell r="T158">
            <v>114.38</v>
          </cell>
          <cell r="U158">
            <v>116.63</v>
          </cell>
          <cell r="V158">
            <v>112.88</v>
          </cell>
          <cell r="W158">
            <v>60.88</v>
          </cell>
          <cell r="AJ158" t="str">
            <v>571.75</v>
          </cell>
          <cell r="AM158" t="str">
            <v>571.75</v>
          </cell>
          <cell r="AN158" t="str">
            <v>573.75</v>
          </cell>
          <cell r="AQ158" t="str">
            <v>573.75</v>
          </cell>
        </row>
        <row r="159">
          <cell r="D159" t="str">
            <v>국어국문학과</v>
          </cell>
          <cell r="E159">
            <v>14</v>
          </cell>
          <cell r="F159">
            <v>44</v>
          </cell>
          <cell r="G159">
            <v>3.1428571428571428</v>
          </cell>
          <cell r="H159">
            <v>14</v>
          </cell>
          <cell r="I159">
            <v>0</v>
          </cell>
          <cell r="J159">
            <v>14</v>
          </cell>
          <cell r="K159">
            <v>11</v>
          </cell>
          <cell r="L159" t="str">
            <v>621.5</v>
          </cell>
          <cell r="M159" t="str">
            <v>573.75</v>
          </cell>
          <cell r="N159">
            <v>598.54999999999995</v>
          </cell>
          <cell r="O159" t="str">
            <v>14.8</v>
          </cell>
          <cell r="P159" t="str">
            <v>2.79</v>
          </cell>
          <cell r="Q159" t="str">
            <v>2.86</v>
          </cell>
          <cell r="R159">
            <v>3.71</v>
          </cell>
          <cell r="S159" t="str">
            <v>2.79</v>
          </cell>
          <cell r="T159">
            <v>120.29</v>
          </cell>
          <cell r="U159">
            <v>122.36</v>
          </cell>
          <cell r="V159">
            <v>115.5</v>
          </cell>
          <cell r="W159">
            <v>61.29</v>
          </cell>
          <cell r="AJ159" t="str">
            <v>573.75</v>
          </cell>
          <cell r="AM159" t="str">
            <v>573.75</v>
          </cell>
          <cell r="AN159" t="str">
            <v>587.25</v>
          </cell>
          <cell r="AQ159" t="str">
            <v>587.25</v>
          </cell>
        </row>
        <row r="160">
          <cell r="D160" t="str">
            <v>독어독문학과</v>
          </cell>
          <cell r="E160">
            <v>13</v>
          </cell>
          <cell r="F160">
            <v>45</v>
          </cell>
          <cell r="G160">
            <v>3.4615384615384617</v>
          </cell>
          <cell r="H160">
            <v>13</v>
          </cell>
          <cell r="I160">
            <v>0</v>
          </cell>
          <cell r="J160">
            <v>13</v>
          </cell>
          <cell r="K160">
            <v>7</v>
          </cell>
          <cell r="L160" t="str">
            <v>594</v>
          </cell>
          <cell r="M160" t="str">
            <v>552.25</v>
          </cell>
          <cell r="N160">
            <v>569.63</v>
          </cell>
          <cell r="O160" t="str">
            <v>10.95</v>
          </cell>
          <cell r="P160" t="str">
            <v>3.69</v>
          </cell>
          <cell r="Q160" t="str">
            <v>3.62</v>
          </cell>
          <cell r="R160">
            <v>4</v>
          </cell>
          <cell r="S160" t="str">
            <v>3.27</v>
          </cell>
          <cell r="T160">
            <v>113.38</v>
          </cell>
          <cell r="U160">
            <v>115.23</v>
          </cell>
          <cell r="V160">
            <v>111.92</v>
          </cell>
          <cell r="W160">
            <v>58.42</v>
          </cell>
          <cell r="AJ160" t="str">
            <v>552.25</v>
          </cell>
          <cell r="AM160" t="str">
            <v>552.25</v>
          </cell>
          <cell r="AN160" t="str">
            <v>562.5</v>
          </cell>
          <cell r="AQ160" t="str">
            <v>562.5</v>
          </cell>
        </row>
        <row r="161">
          <cell r="D161" t="str">
            <v>문헌정보학과</v>
          </cell>
          <cell r="E161">
            <v>13</v>
          </cell>
          <cell r="F161">
            <v>54</v>
          </cell>
          <cell r="G161">
            <v>4.1538461538461542</v>
          </cell>
          <cell r="H161">
            <v>13</v>
          </cell>
          <cell r="I161">
            <v>0</v>
          </cell>
          <cell r="J161">
            <v>12</v>
          </cell>
          <cell r="K161">
            <v>18</v>
          </cell>
          <cell r="L161" t="str">
            <v>599.5</v>
          </cell>
          <cell r="M161" t="str">
            <v>578.75</v>
          </cell>
          <cell r="N161">
            <v>587.94000000000005</v>
          </cell>
          <cell r="O161" t="str">
            <v>6.88</v>
          </cell>
          <cell r="P161" t="str">
            <v>2.83</v>
          </cell>
          <cell r="Q161" t="str">
            <v>3.58</v>
          </cell>
          <cell r="R161">
            <v>3.67</v>
          </cell>
          <cell r="S161" t="str">
            <v>2.63</v>
          </cell>
          <cell r="T161">
            <v>118.83</v>
          </cell>
          <cell r="U161">
            <v>115.75</v>
          </cell>
          <cell r="V161">
            <v>115.42</v>
          </cell>
          <cell r="W161">
            <v>61.25</v>
          </cell>
          <cell r="AJ161" t="str">
            <v>578.75</v>
          </cell>
          <cell r="AM161" t="str">
            <v>578.75</v>
          </cell>
          <cell r="AN161" t="str">
            <v>581.25</v>
          </cell>
          <cell r="AQ161" t="str">
            <v>581.25</v>
          </cell>
        </row>
        <row r="162">
          <cell r="D162" t="str">
            <v>사학과</v>
          </cell>
          <cell r="E162">
            <v>13</v>
          </cell>
          <cell r="F162">
            <v>50</v>
          </cell>
          <cell r="G162">
            <v>3.8461538461538463</v>
          </cell>
          <cell r="H162">
            <v>13</v>
          </cell>
          <cell r="I162">
            <v>0</v>
          </cell>
          <cell r="J162">
            <v>13</v>
          </cell>
          <cell r="K162">
            <v>6</v>
          </cell>
          <cell r="L162" t="str">
            <v>614.25</v>
          </cell>
          <cell r="M162" t="str">
            <v>577.5</v>
          </cell>
          <cell r="N162">
            <v>592.58000000000004</v>
          </cell>
          <cell r="O162" t="str">
            <v>12.31</v>
          </cell>
          <cell r="P162" t="str">
            <v>2.85</v>
          </cell>
          <cell r="Q162" t="str">
            <v>3.46</v>
          </cell>
          <cell r="R162">
            <v>3.77</v>
          </cell>
          <cell r="S162" t="str">
            <v>2.12</v>
          </cell>
          <cell r="T162">
            <v>119.08</v>
          </cell>
          <cell r="U162">
            <v>115.54</v>
          </cell>
          <cell r="V162">
            <v>115.23</v>
          </cell>
          <cell r="W162">
            <v>64.459999999999994</v>
          </cell>
          <cell r="AJ162" t="str">
            <v>577.5</v>
          </cell>
          <cell r="AM162" t="str">
            <v>577.5</v>
          </cell>
          <cell r="AN162" t="str">
            <v>582</v>
          </cell>
          <cell r="AQ162" t="str">
            <v>582</v>
          </cell>
        </row>
        <row r="163">
          <cell r="D163" t="str">
            <v>스페인.중남미어문학과</v>
          </cell>
          <cell r="E163">
            <v>13</v>
          </cell>
          <cell r="F163">
            <v>52</v>
          </cell>
          <cell r="G163">
            <v>4</v>
          </cell>
          <cell r="H163">
            <v>13</v>
          </cell>
          <cell r="I163">
            <v>0</v>
          </cell>
          <cell r="J163">
            <v>13</v>
          </cell>
          <cell r="K163">
            <v>8</v>
          </cell>
          <cell r="L163" t="str">
            <v>603.75</v>
          </cell>
          <cell r="M163" t="str">
            <v>571.5</v>
          </cell>
          <cell r="N163">
            <v>583.77</v>
          </cell>
          <cell r="O163" t="str">
            <v>8.95</v>
          </cell>
          <cell r="P163" t="str">
            <v>3.54</v>
          </cell>
          <cell r="Q163" t="str">
            <v>3.62</v>
          </cell>
          <cell r="R163">
            <v>3.54</v>
          </cell>
          <cell r="S163" t="str">
            <v>2.85</v>
          </cell>
          <cell r="T163">
            <v>115.08</v>
          </cell>
          <cell r="U163">
            <v>115.92</v>
          </cell>
          <cell r="V163">
            <v>116.69</v>
          </cell>
          <cell r="W163">
            <v>60.81</v>
          </cell>
          <cell r="AJ163" t="str">
            <v>571.5</v>
          </cell>
          <cell r="AM163" t="str">
            <v>571.5</v>
          </cell>
          <cell r="AN163" t="str">
            <v>578.75</v>
          </cell>
          <cell r="AQ163" t="str">
            <v>578.75</v>
          </cell>
        </row>
        <row r="164">
          <cell r="D164" t="str">
            <v>영어영문학과</v>
          </cell>
          <cell r="E164">
            <v>17</v>
          </cell>
          <cell r="F164">
            <v>44</v>
          </cell>
          <cell r="G164">
            <v>2.5882352941176472</v>
          </cell>
          <cell r="H164">
            <v>17</v>
          </cell>
          <cell r="I164">
            <v>0</v>
          </cell>
          <cell r="J164">
            <v>17</v>
          </cell>
          <cell r="K164">
            <v>9</v>
          </cell>
          <cell r="L164" t="str">
            <v>628.5</v>
          </cell>
          <cell r="M164" t="str">
            <v>582.75</v>
          </cell>
          <cell r="N164">
            <v>609.54</v>
          </cell>
          <cell r="O164" t="str">
            <v>14.23</v>
          </cell>
          <cell r="P164" t="str">
            <v>3.12</v>
          </cell>
          <cell r="Q164" t="str">
            <v>3.12</v>
          </cell>
          <cell r="R164">
            <v>2.4700000000000002</v>
          </cell>
          <cell r="S164" t="str">
            <v>2.56</v>
          </cell>
          <cell r="T164">
            <v>118.06</v>
          </cell>
          <cell r="U164">
            <v>120.65</v>
          </cell>
          <cell r="V164">
            <v>125.59</v>
          </cell>
          <cell r="W164">
            <v>62.18</v>
          </cell>
          <cell r="AJ164" t="str">
            <v>582.75</v>
          </cell>
          <cell r="AM164" t="str">
            <v>582.75</v>
          </cell>
          <cell r="AN164" t="str">
            <v>592.25</v>
          </cell>
          <cell r="AQ164" t="str">
            <v>592.25</v>
          </cell>
        </row>
        <row r="165">
          <cell r="D165" t="str">
            <v>일어일문학과</v>
          </cell>
          <cell r="E165">
            <v>13</v>
          </cell>
          <cell r="F165">
            <v>53</v>
          </cell>
          <cell r="G165">
            <v>4.0769230769230766</v>
          </cell>
          <cell r="H165">
            <v>13</v>
          </cell>
          <cell r="I165">
            <v>0</v>
          </cell>
          <cell r="J165">
            <v>13</v>
          </cell>
          <cell r="K165">
            <v>10</v>
          </cell>
          <cell r="L165" t="str">
            <v>623</v>
          </cell>
          <cell r="M165" t="str">
            <v>579</v>
          </cell>
          <cell r="N165">
            <v>590.12</v>
          </cell>
          <cell r="O165" t="str">
            <v>13.08</v>
          </cell>
          <cell r="P165" t="str">
            <v>3.08</v>
          </cell>
          <cell r="Q165" t="str">
            <v>3.85</v>
          </cell>
          <cell r="R165">
            <v>3.15</v>
          </cell>
          <cell r="S165" t="str">
            <v>3.15</v>
          </cell>
          <cell r="T165">
            <v>117.92</v>
          </cell>
          <cell r="U165">
            <v>114.54</v>
          </cell>
          <cell r="V165">
            <v>120.69</v>
          </cell>
          <cell r="W165">
            <v>59.35</v>
          </cell>
          <cell r="AJ165" t="str">
            <v>579</v>
          </cell>
          <cell r="AM165" t="str">
            <v>579</v>
          </cell>
          <cell r="AN165" t="str">
            <v>580.5</v>
          </cell>
          <cell r="AQ165" t="str">
            <v>580.5</v>
          </cell>
        </row>
        <row r="166">
          <cell r="D166" t="str">
            <v>중어중문학과</v>
          </cell>
          <cell r="E166">
            <v>18</v>
          </cell>
          <cell r="F166">
            <v>70</v>
          </cell>
          <cell r="G166">
            <v>3.8888888888888888</v>
          </cell>
          <cell r="H166">
            <v>18</v>
          </cell>
          <cell r="I166">
            <v>0</v>
          </cell>
          <cell r="J166">
            <v>13</v>
          </cell>
          <cell r="K166">
            <v>10</v>
          </cell>
          <cell r="L166" t="str">
            <v>625.75</v>
          </cell>
          <cell r="M166" t="str">
            <v>577</v>
          </cell>
          <cell r="N166">
            <v>588.96</v>
          </cell>
          <cell r="O166" t="str">
            <v>14.53</v>
          </cell>
          <cell r="P166" t="str">
            <v>3</v>
          </cell>
          <cell r="Q166" t="str">
            <v>3.38</v>
          </cell>
          <cell r="R166">
            <v>3.38</v>
          </cell>
          <cell r="S166" t="str">
            <v>3.23</v>
          </cell>
          <cell r="T166">
            <v>118.46</v>
          </cell>
          <cell r="U166">
            <v>118</v>
          </cell>
          <cell r="V166">
            <v>117.31</v>
          </cell>
          <cell r="W166">
            <v>58.54</v>
          </cell>
          <cell r="AJ166" t="str">
            <v>577</v>
          </cell>
          <cell r="AM166" t="str">
            <v>577</v>
          </cell>
          <cell r="AN166" t="str">
            <v>579.75</v>
          </cell>
          <cell r="AQ166" t="str">
            <v>579.75</v>
          </cell>
        </row>
        <row r="167">
          <cell r="D167" t="str">
            <v>철학과</v>
          </cell>
          <cell r="E167">
            <v>11</v>
          </cell>
          <cell r="F167">
            <v>44</v>
          </cell>
          <cell r="G167">
            <v>4</v>
          </cell>
          <cell r="H167">
            <v>11</v>
          </cell>
          <cell r="I167">
            <v>0</v>
          </cell>
          <cell r="J167">
            <v>11</v>
          </cell>
          <cell r="K167">
            <v>4</v>
          </cell>
          <cell r="L167" t="str">
            <v>582.75</v>
          </cell>
          <cell r="M167" t="str">
            <v>561.5</v>
          </cell>
          <cell r="N167">
            <v>569.59</v>
          </cell>
          <cell r="O167" t="str">
            <v>7.27</v>
          </cell>
          <cell r="P167" t="str">
            <v>3.73</v>
          </cell>
          <cell r="Q167" t="str">
            <v>3.45</v>
          </cell>
          <cell r="R167">
            <v>4.09</v>
          </cell>
          <cell r="S167" t="str">
            <v>3.27</v>
          </cell>
          <cell r="T167">
            <v>114</v>
          </cell>
          <cell r="U167">
            <v>116.18</v>
          </cell>
          <cell r="V167">
            <v>109.91</v>
          </cell>
          <cell r="W167">
            <v>59</v>
          </cell>
          <cell r="AJ167" t="str">
            <v>561.5</v>
          </cell>
          <cell r="AM167" t="str">
            <v>561.5</v>
          </cell>
          <cell r="AN167" t="str">
            <v>562.25</v>
          </cell>
          <cell r="AQ167" t="str">
            <v>562.25</v>
          </cell>
        </row>
        <row r="168">
          <cell r="D168" t="str">
            <v>프랑스학과</v>
          </cell>
          <cell r="E168">
            <v>15</v>
          </cell>
          <cell r="F168">
            <v>58</v>
          </cell>
          <cell r="G168">
            <v>3.8666666666666667</v>
          </cell>
          <cell r="H168">
            <v>15</v>
          </cell>
          <cell r="I168">
            <v>0</v>
          </cell>
          <cell r="J168">
            <v>14</v>
          </cell>
          <cell r="K168">
            <v>15</v>
          </cell>
          <cell r="L168" t="str">
            <v>588.75</v>
          </cell>
          <cell r="M168" t="str">
            <v>549</v>
          </cell>
          <cell r="N168">
            <v>568.41</v>
          </cell>
          <cell r="O168" t="str">
            <v>11.47</v>
          </cell>
          <cell r="P168" t="str">
            <v>3.64</v>
          </cell>
          <cell r="Q168" t="str">
            <v>4</v>
          </cell>
          <cell r="R168">
            <v>3.86</v>
          </cell>
          <cell r="S168" t="str">
            <v>3.25</v>
          </cell>
          <cell r="T168">
            <v>114.57</v>
          </cell>
          <cell r="U168">
            <v>110.93</v>
          </cell>
          <cell r="V168">
            <v>113.5</v>
          </cell>
          <cell r="W168">
            <v>58.43</v>
          </cell>
          <cell r="AJ168" t="str">
            <v>549</v>
          </cell>
          <cell r="AM168" t="str">
            <v>549</v>
          </cell>
          <cell r="AN168" t="str">
            <v>561.75</v>
          </cell>
          <cell r="AQ168" t="str">
            <v>561.75</v>
          </cell>
        </row>
        <row r="169">
          <cell r="D169" t="str">
            <v>과학학과</v>
          </cell>
          <cell r="E169">
            <v>9</v>
          </cell>
          <cell r="F169">
            <v>35</v>
          </cell>
          <cell r="G169">
            <v>3.8888888888888888</v>
          </cell>
          <cell r="H169">
            <v>9</v>
          </cell>
          <cell r="I169">
            <v>0</v>
          </cell>
          <cell r="J169">
            <v>9</v>
          </cell>
          <cell r="K169">
            <v>7</v>
          </cell>
          <cell r="L169" t="str">
            <v>577.75</v>
          </cell>
          <cell r="M169" t="str">
            <v>551</v>
          </cell>
          <cell r="N169">
            <v>562.79</v>
          </cell>
          <cell r="O169" t="str">
            <v>8.28</v>
          </cell>
          <cell r="P169" t="str">
            <v>4.33</v>
          </cell>
          <cell r="Q169" t="str">
            <v>3.33</v>
          </cell>
          <cell r="R169">
            <v>4.1100000000000003</v>
          </cell>
          <cell r="S169" t="str">
            <v>4.17</v>
          </cell>
          <cell r="T169">
            <v>108.89</v>
          </cell>
          <cell r="U169">
            <v>120.11</v>
          </cell>
          <cell r="V169">
            <v>109.67</v>
          </cell>
          <cell r="W169">
            <v>53.44</v>
          </cell>
          <cell r="AJ169" t="str">
            <v>551</v>
          </cell>
          <cell r="AM169" t="str">
            <v>551</v>
          </cell>
          <cell r="AN169" t="str">
            <v>559.5</v>
          </cell>
          <cell r="AQ169" t="str">
            <v>559.5</v>
          </cell>
        </row>
        <row r="170">
          <cell r="D170" t="str">
            <v>물리학과</v>
          </cell>
          <cell r="E170">
            <v>13</v>
          </cell>
          <cell r="F170">
            <v>34</v>
          </cell>
          <cell r="G170">
            <v>2.6153846153846154</v>
          </cell>
          <cell r="H170">
            <v>13</v>
          </cell>
          <cell r="I170">
            <v>0</v>
          </cell>
          <cell r="J170">
            <v>13</v>
          </cell>
          <cell r="K170">
            <v>9</v>
          </cell>
          <cell r="L170" t="str">
            <v>556.5</v>
          </cell>
          <cell r="M170" t="str">
            <v>503</v>
          </cell>
          <cell r="N170">
            <v>530.63</v>
          </cell>
          <cell r="O170" t="str">
            <v>14.67</v>
          </cell>
          <cell r="P170" t="str">
            <v>3.77</v>
          </cell>
          <cell r="Q170" t="str">
            <v>5.38</v>
          </cell>
          <cell r="R170">
            <v>4.46</v>
          </cell>
          <cell r="S170" t="str">
            <v>3.81</v>
          </cell>
          <cell r="T170">
            <v>112.46</v>
          </cell>
          <cell r="U170">
            <v>98.15</v>
          </cell>
          <cell r="V170">
            <v>105.85</v>
          </cell>
          <cell r="W170">
            <v>56.04</v>
          </cell>
          <cell r="AJ170" t="str">
            <v>503</v>
          </cell>
          <cell r="AM170" t="str">
            <v>503</v>
          </cell>
          <cell r="AN170" t="str">
            <v>525.75</v>
          </cell>
          <cell r="AQ170" t="str">
            <v>525.75</v>
          </cell>
        </row>
        <row r="171">
          <cell r="D171" t="str">
            <v>반도체과학기술학과</v>
          </cell>
          <cell r="E171">
            <v>17</v>
          </cell>
          <cell r="F171">
            <v>51</v>
          </cell>
          <cell r="G171">
            <v>3</v>
          </cell>
          <cell r="H171">
            <v>17</v>
          </cell>
          <cell r="I171">
            <v>0</v>
          </cell>
          <cell r="J171">
            <v>17</v>
          </cell>
          <cell r="K171">
            <v>7</v>
          </cell>
          <cell r="L171" t="str">
            <v>545.25</v>
          </cell>
          <cell r="M171" t="str">
            <v>514</v>
          </cell>
          <cell r="N171">
            <v>527.6</v>
          </cell>
          <cell r="O171" t="str">
            <v>9.53</v>
          </cell>
          <cell r="P171" t="str">
            <v>4.41</v>
          </cell>
          <cell r="Q171" t="str">
            <v>4.94</v>
          </cell>
          <cell r="R171">
            <v>4.53</v>
          </cell>
          <cell r="S171" t="str">
            <v>4.09</v>
          </cell>
          <cell r="T171">
            <v>108.71</v>
          </cell>
          <cell r="U171">
            <v>100.94</v>
          </cell>
          <cell r="V171">
            <v>105.88</v>
          </cell>
          <cell r="W171">
            <v>54.32</v>
          </cell>
          <cell r="AJ171" t="str">
            <v>514</v>
          </cell>
          <cell r="AM171" t="str">
            <v>514</v>
          </cell>
          <cell r="AN171" t="str">
            <v>516</v>
          </cell>
          <cell r="AQ171" t="str">
            <v>516</v>
          </cell>
        </row>
        <row r="172">
          <cell r="D172" t="str">
            <v>생물과학부</v>
          </cell>
          <cell r="E172">
            <v>32</v>
          </cell>
          <cell r="F172">
            <v>70</v>
          </cell>
          <cell r="G172">
            <v>2.1875</v>
          </cell>
          <cell r="H172">
            <v>32</v>
          </cell>
          <cell r="I172">
            <v>0</v>
          </cell>
          <cell r="J172">
            <v>31</v>
          </cell>
          <cell r="K172">
            <v>10</v>
          </cell>
          <cell r="L172" t="str">
            <v>665.25</v>
          </cell>
          <cell r="M172" t="str">
            <v>533.75</v>
          </cell>
          <cell r="N172">
            <v>576.88</v>
          </cell>
          <cell r="O172" t="str">
            <v>32.98</v>
          </cell>
          <cell r="P172" t="str">
            <v>3.13</v>
          </cell>
          <cell r="Q172" t="str">
            <v>4.26</v>
          </cell>
          <cell r="R172">
            <v>3.06</v>
          </cell>
          <cell r="S172" t="str">
            <v>2.98</v>
          </cell>
          <cell r="T172">
            <v>117.45</v>
          </cell>
          <cell r="U172">
            <v>108.23</v>
          </cell>
          <cell r="V172">
            <v>118.71</v>
          </cell>
          <cell r="W172">
            <v>59.77</v>
          </cell>
          <cell r="AJ172" t="str">
            <v>533.75</v>
          </cell>
          <cell r="AM172" t="str">
            <v>533.75</v>
          </cell>
          <cell r="AN172" t="str">
            <v>546.5</v>
          </cell>
          <cell r="AQ172" t="str">
            <v>546.5</v>
          </cell>
        </row>
        <row r="173">
          <cell r="D173" t="str">
            <v>수의예과</v>
          </cell>
          <cell r="E173">
            <v>22</v>
          </cell>
          <cell r="F173">
            <v>60</v>
          </cell>
          <cell r="G173">
            <v>2.7272727272727271</v>
          </cell>
          <cell r="H173">
            <v>22</v>
          </cell>
          <cell r="I173">
            <v>0</v>
          </cell>
          <cell r="J173">
            <v>21</v>
          </cell>
          <cell r="K173">
            <v>5</v>
          </cell>
          <cell r="L173" t="str">
            <v>651</v>
          </cell>
          <cell r="M173" t="str">
            <v>617.25</v>
          </cell>
          <cell r="N173">
            <v>631.07000000000005</v>
          </cell>
          <cell r="O173" t="str">
            <v>9.29</v>
          </cell>
          <cell r="P173" t="str">
            <v>2.24</v>
          </cell>
          <cell r="Q173" t="str">
            <v>2.05</v>
          </cell>
          <cell r="R173">
            <v>2</v>
          </cell>
          <cell r="S173" t="str">
            <v>2.31</v>
          </cell>
          <cell r="T173">
            <v>123.14</v>
          </cell>
          <cell r="U173">
            <v>126.43</v>
          </cell>
          <cell r="V173">
            <v>128.29</v>
          </cell>
          <cell r="W173">
            <v>63.38</v>
          </cell>
          <cell r="AJ173" t="str">
            <v>617.25</v>
          </cell>
          <cell r="AM173" t="str">
            <v>617.25</v>
          </cell>
          <cell r="AN173" t="str">
            <v>621</v>
          </cell>
          <cell r="AQ173" t="str">
            <v>621</v>
          </cell>
        </row>
        <row r="174">
          <cell r="D174" t="str">
            <v>수학과</v>
          </cell>
          <cell r="E174">
            <v>14</v>
          </cell>
          <cell r="F174">
            <v>32</v>
          </cell>
          <cell r="G174">
            <v>2.2857142857142856</v>
          </cell>
          <cell r="H174">
            <v>14</v>
          </cell>
          <cell r="I174">
            <v>0</v>
          </cell>
          <cell r="J174">
            <v>13</v>
          </cell>
          <cell r="K174">
            <v>10</v>
          </cell>
          <cell r="L174" t="str">
            <v>596.5</v>
          </cell>
          <cell r="M174" t="str">
            <v>544</v>
          </cell>
          <cell r="N174">
            <v>570.75</v>
          </cell>
          <cell r="O174" t="str">
            <v>19.67</v>
          </cell>
          <cell r="P174" t="str">
            <v>3.23</v>
          </cell>
          <cell r="Q174" t="str">
            <v>3.69</v>
          </cell>
          <cell r="R174">
            <v>3.85</v>
          </cell>
          <cell r="S174" t="str">
            <v>3.38</v>
          </cell>
          <cell r="T174">
            <v>115.15</v>
          </cell>
          <cell r="U174">
            <v>113.54</v>
          </cell>
          <cell r="V174">
            <v>112.77</v>
          </cell>
          <cell r="W174">
            <v>58.23</v>
          </cell>
          <cell r="AJ174" t="str">
            <v>544</v>
          </cell>
          <cell r="AM174" t="str">
            <v>544</v>
          </cell>
          <cell r="AN174" t="str">
            <v>552.75</v>
          </cell>
          <cell r="AQ174" t="str">
            <v>552.75</v>
          </cell>
        </row>
        <row r="175">
          <cell r="D175" t="str">
            <v>지구환경과학과</v>
          </cell>
          <cell r="E175">
            <v>15</v>
          </cell>
          <cell r="F175">
            <v>66</v>
          </cell>
          <cell r="G175">
            <v>4.4000000000000004</v>
          </cell>
          <cell r="H175">
            <v>15</v>
          </cell>
          <cell r="I175">
            <v>0</v>
          </cell>
          <cell r="J175">
            <v>15</v>
          </cell>
          <cell r="K175">
            <v>10</v>
          </cell>
          <cell r="L175" t="str">
            <v>564.25</v>
          </cell>
          <cell r="M175" t="str">
            <v>519</v>
          </cell>
          <cell r="N175">
            <v>532.03</v>
          </cell>
          <cell r="O175" t="str">
            <v>13.69</v>
          </cell>
          <cell r="P175" t="str">
            <v>3.6</v>
          </cell>
          <cell r="Q175" t="str">
            <v>5.67</v>
          </cell>
          <cell r="R175">
            <v>4.4000000000000004</v>
          </cell>
          <cell r="S175" t="str">
            <v>3.17</v>
          </cell>
          <cell r="T175">
            <v>114.07</v>
          </cell>
          <cell r="U175">
            <v>93.27</v>
          </cell>
          <cell r="V175">
            <v>107.33</v>
          </cell>
          <cell r="W175">
            <v>59.03</v>
          </cell>
          <cell r="AJ175" t="str">
            <v>519</v>
          </cell>
          <cell r="AM175" t="str">
            <v>519</v>
          </cell>
          <cell r="AN175" t="str">
            <v>521.75</v>
          </cell>
          <cell r="AQ175" t="str">
            <v>521.75</v>
          </cell>
        </row>
        <row r="176">
          <cell r="D176" t="str">
            <v>통계정보과학과</v>
          </cell>
          <cell r="E176">
            <v>13</v>
          </cell>
          <cell r="F176">
            <v>34</v>
          </cell>
          <cell r="G176">
            <v>2.6153846153846154</v>
          </cell>
          <cell r="H176">
            <v>13</v>
          </cell>
          <cell r="I176">
            <v>0</v>
          </cell>
          <cell r="J176">
            <v>13</v>
          </cell>
          <cell r="K176">
            <v>13</v>
          </cell>
          <cell r="L176" t="str">
            <v>588.5</v>
          </cell>
          <cell r="M176" t="str">
            <v>537.5</v>
          </cell>
          <cell r="N176">
            <v>557.98</v>
          </cell>
          <cell r="O176" t="str">
            <v>15.81</v>
          </cell>
          <cell r="P176" t="str">
            <v>3.23</v>
          </cell>
          <cell r="Q176" t="str">
            <v>4.23</v>
          </cell>
          <cell r="R176">
            <v>4.2300000000000004</v>
          </cell>
          <cell r="S176" t="str">
            <v>3.46</v>
          </cell>
          <cell r="T176">
            <v>117.08</v>
          </cell>
          <cell r="U176">
            <v>108.23</v>
          </cell>
          <cell r="V176">
            <v>108.54</v>
          </cell>
          <cell r="W176">
            <v>57.65</v>
          </cell>
          <cell r="AJ176" t="str">
            <v>537.5</v>
          </cell>
          <cell r="AM176" t="str">
            <v>537.5</v>
          </cell>
          <cell r="AN176" t="str">
            <v>545.75</v>
          </cell>
          <cell r="AQ176" t="str">
            <v>545.75</v>
          </cell>
        </row>
        <row r="177">
          <cell r="D177" t="str">
            <v>화학과</v>
          </cell>
          <cell r="E177">
            <v>27</v>
          </cell>
          <cell r="F177">
            <v>59</v>
          </cell>
          <cell r="G177">
            <v>2.1851851851851851</v>
          </cell>
          <cell r="H177">
            <v>27</v>
          </cell>
          <cell r="I177">
            <v>0</v>
          </cell>
          <cell r="J177">
            <v>27</v>
          </cell>
          <cell r="K177">
            <v>21</v>
          </cell>
          <cell r="L177" t="str">
            <v>614</v>
          </cell>
          <cell r="M177" t="str">
            <v>519.75</v>
          </cell>
          <cell r="N177">
            <v>560.20000000000005</v>
          </cell>
          <cell r="O177" t="str">
            <v>27.38</v>
          </cell>
          <cell r="P177" t="str">
            <v>3.59</v>
          </cell>
          <cell r="Q177" t="str">
            <v>4.63</v>
          </cell>
          <cell r="R177">
            <v>3.74</v>
          </cell>
          <cell r="S177" t="str">
            <v>3.2</v>
          </cell>
          <cell r="T177">
            <v>114.96</v>
          </cell>
          <cell r="U177">
            <v>104.93</v>
          </cell>
          <cell r="V177">
            <v>113.3</v>
          </cell>
          <cell r="W177">
            <v>59.44</v>
          </cell>
          <cell r="AJ177" t="str">
            <v>519.75</v>
          </cell>
          <cell r="AM177" t="str">
            <v>519.75</v>
          </cell>
          <cell r="AN177" t="str">
            <v>535.25</v>
          </cell>
          <cell r="AQ177" t="str">
            <v>535.25</v>
          </cell>
        </row>
        <row r="178">
          <cell r="D178" t="str">
            <v>자율전공학부(인문계)</v>
          </cell>
          <cell r="E178">
            <v>38</v>
          </cell>
          <cell r="F178">
            <v>97</v>
          </cell>
          <cell r="G178">
            <v>2.5526315789473686</v>
          </cell>
          <cell r="H178">
            <v>38</v>
          </cell>
          <cell r="I178">
            <v>0</v>
          </cell>
          <cell r="J178">
            <v>39</v>
          </cell>
          <cell r="K178">
            <v>18</v>
          </cell>
          <cell r="L178" t="str">
            <v>674.5</v>
          </cell>
          <cell r="M178" t="str">
            <v>615.75</v>
          </cell>
          <cell r="N178">
            <v>634.14</v>
          </cell>
          <cell r="O178" t="str">
            <v>13.79</v>
          </cell>
          <cell r="P178" t="str">
            <v>2.36</v>
          </cell>
          <cell r="Q178" t="str">
            <v>2.05</v>
          </cell>
          <cell r="R178">
            <v>2.15</v>
          </cell>
          <cell r="S178" t="str">
            <v>1.99</v>
          </cell>
          <cell r="T178">
            <v>122.56</v>
          </cell>
          <cell r="U178">
            <v>130.1</v>
          </cell>
          <cell r="V178">
            <v>128.36000000000001</v>
          </cell>
          <cell r="W178">
            <v>64.92</v>
          </cell>
          <cell r="AJ178" t="str">
            <v>615.75</v>
          </cell>
          <cell r="AM178" t="str">
            <v>615.75</v>
          </cell>
          <cell r="AN178" t="str">
            <v>625</v>
          </cell>
          <cell r="AQ178" t="str">
            <v>625</v>
          </cell>
        </row>
        <row r="179">
          <cell r="D179" t="str">
            <v>자율전공학부(자연계)</v>
          </cell>
          <cell r="E179">
            <v>10</v>
          </cell>
          <cell r="F179">
            <v>22</v>
          </cell>
          <cell r="G179">
            <v>2.2000000000000002</v>
          </cell>
          <cell r="H179">
            <v>10</v>
          </cell>
          <cell r="I179">
            <v>0</v>
          </cell>
          <cell r="J179">
            <v>10</v>
          </cell>
          <cell r="K179">
            <v>5</v>
          </cell>
          <cell r="L179" t="str">
            <v>655.25</v>
          </cell>
          <cell r="M179" t="str">
            <v>585.25</v>
          </cell>
          <cell r="N179">
            <v>611.42999999999995</v>
          </cell>
          <cell r="O179" t="str">
            <v>21.29</v>
          </cell>
          <cell r="P179" t="str">
            <v>2.7</v>
          </cell>
          <cell r="Q179" t="str">
            <v>3</v>
          </cell>
          <cell r="R179">
            <v>2.6</v>
          </cell>
          <cell r="S179" t="str">
            <v>1.85</v>
          </cell>
          <cell r="T179">
            <v>120.2</v>
          </cell>
          <cell r="U179">
            <v>118.7</v>
          </cell>
          <cell r="V179">
            <v>125</v>
          </cell>
          <cell r="W179">
            <v>64.75</v>
          </cell>
          <cell r="AJ179" t="str">
            <v>585.25</v>
          </cell>
          <cell r="AM179" t="str">
            <v>585.25</v>
          </cell>
          <cell r="AN179" t="str">
            <v>600.75</v>
          </cell>
          <cell r="AQ179" t="str">
            <v>600.75</v>
          </cell>
        </row>
        <row r="180">
          <cell r="D180" t="str">
            <v>바이오식품공학과</v>
          </cell>
          <cell r="E180">
            <v>11</v>
          </cell>
          <cell r="F180">
            <v>68</v>
          </cell>
          <cell r="G180">
            <v>6.1818181818181817</v>
          </cell>
          <cell r="H180">
            <v>11</v>
          </cell>
          <cell r="I180">
            <v>0</v>
          </cell>
          <cell r="J180">
            <v>11</v>
          </cell>
          <cell r="K180">
            <v>4</v>
          </cell>
          <cell r="L180" t="str">
            <v>515.75</v>
          </cell>
          <cell r="M180" t="str">
            <v>489.75</v>
          </cell>
          <cell r="N180">
            <v>499.11</v>
          </cell>
          <cell r="O180" t="str">
            <v>8.49</v>
          </cell>
          <cell r="P180" t="str">
            <v>4.91</v>
          </cell>
          <cell r="Q180" t="str">
            <v>6</v>
          </cell>
          <cell r="R180">
            <v>4.55</v>
          </cell>
          <cell r="S180" t="str">
            <v>4.73</v>
          </cell>
          <cell r="T180">
            <v>104.64</v>
          </cell>
          <cell r="U180">
            <v>89.91</v>
          </cell>
          <cell r="V180">
            <v>104.91</v>
          </cell>
          <cell r="W180">
            <v>50.73</v>
          </cell>
          <cell r="AJ180" t="str">
            <v>489.75</v>
          </cell>
          <cell r="AM180" t="str">
            <v>489.75</v>
          </cell>
          <cell r="AN180" t="str">
            <v>490</v>
          </cell>
          <cell r="AQ180" t="str">
            <v>490</v>
          </cell>
        </row>
        <row r="181">
          <cell r="D181" t="str">
            <v>생명공학부</v>
          </cell>
          <cell r="E181">
            <v>25</v>
          </cell>
          <cell r="F181">
            <v>155</v>
          </cell>
          <cell r="G181">
            <v>6.2</v>
          </cell>
          <cell r="H181">
            <v>25</v>
          </cell>
          <cell r="I181">
            <v>0</v>
          </cell>
          <cell r="J181">
            <v>25</v>
          </cell>
          <cell r="K181">
            <v>19</v>
          </cell>
          <cell r="L181" t="str">
            <v>604.5</v>
          </cell>
          <cell r="M181" t="str">
            <v>536</v>
          </cell>
          <cell r="N181">
            <v>559.21</v>
          </cell>
          <cell r="O181" t="str">
            <v>19.42</v>
          </cell>
          <cell r="P181" t="str">
            <v>4</v>
          </cell>
          <cell r="Q181" t="str">
            <v>4.08</v>
          </cell>
          <cell r="R181">
            <v>4.32</v>
          </cell>
          <cell r="S181" t="str">
            <v>3.86</v>
          </cell>
          <cell r="T181">
            <v>110.8</v>
          </cell>
          <cell r="U181">
            <v>111.24</v>
          </cell>
          <cell r="V181">
            <v>107.52</v>
          </cell>
          <cell r="W181">
            <v>55.92</v>
          </cell>
          <cell r="AJ181" t="str">
            <v>536</v>
          </cell>
          <cell r="AM181" t="str">
            <v>536</v>
          </cell>
          <cell r="AN181" t="str">
            <v>542.75</v>
          </cell>
          <cell r="AQ181" t="str">
            <v>542.75</v>
          </cell>
        </row>
        <row r="182">
          <cell r="D182" t="str">
            <v>생명자원유통경제학과</v>
          </cell>
          <cell r="E182">
            <v>11</v>
          </cell>
          <cell r="F182">
            <v>43</v>
          </cell>
          <cell r="G182">
            <v>3.9090909090909092</v>
          </cell>
          <cell r="H182">
            <v>11</v>
          </cell>
          <cell r="I182">
            <v>0</v>
          </cell>
          <cell r="J182">
            <v>10</v>
          </cell>
          <cell r="K182">
            <v>5</v>
          </cell>
          <cell r="L182" t="str">
            <v>581</v>
          </cell>
          <cell r="M182" t="str">
            <v>548</v>
          </cell>
          <cell r="N182">
            <v>563.78</v>
          </cell>
          <cell r="O182" t="str">
            <v>10.98</v>
          </cell>
          <cell r="P182" t="str">
            <v>3.8</v>
          </cell>
          <cell r="Q182" t="str">
            <v>3.7</v>
          </cell>
          <cell r="R182">
            <v>4.4000000000000004</v>
          </cell>
          <cell r="S182" t="str">
            <v>3.2</v>
          </cell>
          <cell r="T182">
            <v>113.1</v>
          </cell>
          <cell r="U182">
            <v>113.7</v>
          </cell>
          <cell r="V182">
            <v>108.6</v>
          </cell>
          <cell r="W182">
            <v>59.4</v>
          </cell>
          <cell r="AJ182" t="str">
            <v>548</v>
          </cell>
          <cell r="AM182" t="str">
            <v>548</v>
          </cell>
          <cell r="AN182" t="str">
            <v>555.25</v>
          </cell>
          <cell r="AQ182" t="str">
            <v>555.25</v>
          </cell>
        </row>
        <row r="183">
          <cell r="D183" t="str">
            <v>한약자원학과</v>
          </cell>
          <cell r="E183">
            <v>11</v>
          </cell>
          <cell r="F183">
            <v>60</v>
          </cell>
          <cell r="G183">
            <v>5.4545454545454541</v>
          </cell>
          <cell r="H183">
            <v>11</v>
          </cell>
          <cell r="I183">
            <v>0</v>
          </cell>
          <cell r="J183">
            <v>11</v>
          </cell>
          <cell r="K183">
            <v>6</v>
          </cell>
          <cell r="L183" t="str">
            <v>572</v>
          </cell>
          <cell r="M183" t="str">
            <v>533.1</v>
          </cell>
          <cell r="N183">
            <v>552.61</v>
          </cell>
          <cell r="O183" t="str">
            <v>13.16</v>
          </cell>
          <cell r="P183" t="str">
            <v>3.73</v>
          </cell>
          <cell r="Q183" t="str">
            <v>4.36</v>
          </cell>
          <cell r="R183">
            <v>4.2699999999999996</v>
          </cell>
          <cell r="S183" t="str">
            <v>3.55</v>
          </cell>
          <cell r="T183">
            <v>113.18</v>
          </cell>
          <cell r="U183">
            <v>106.73</v>
          </cell>
          <cell r="V183">
            <v>108.45</v>
          </cell>
          <cell r="W183">
            <v>57.18</v>
          </cell>
          <cell r="AJ183" t="str">
            <v>533.1</v>
          </cell>
          <cell r="AM183" t="str">
            <v>533.1</v>
          </cell>
          <cell r="AN183" t="str">
            <v>544</v>
          </cell>
          <cell r="AQ183" t="str">
            <v>544</v>
          </cell>
        </row>
        <row r="184">
          <cell r="D184" t="str">
            <v>환경조경디자인학과</v>
          </cell>
          <cell r="E184">
            <v>12</v>
          </cell>
          <cell r="F184">
            <v>76</v>
          </cell>
          <cell r="G184">
            <v>6.333333333333333</v>
          </cell>
          <cell r="H184">
            <v>12</v>
          </cell>
          <cell r="I184">
            <v>0</v>
          </cell>
          <cell r="J184">
            <v>12</v>
          </cell>
          <cell r="K184">
            <v>11</v>
          </cell>
          <cell r="L184" t="str">
            <v>580.08</v>
          </cell>
          <cell r="M184" t="str">
            <v>538.25</v>
          </cell>
          <cell r="N184">
            <v>548.9</v>
          </cell>
          <cell r="O184" t="str">
            <v>11.86</v>
          </cell>
          <cell r="P184" t="str">
            <v>4.42</v>
          </cell>
          <cell r="Q184" t="str">
            <v>4.33</v>
          </cell>
          <cell r="R184">
            <v>4.67</v>
          </cell>
          <cell r="S184" t="str">
            <v>4.08</v>
          </cell>
          <cell r="T184">
            <v>108.33</v>
          </cell>
          <cell r="U184">
            <v>108.58</v>
          </cell>
          <cell r="V184">
            <v>104.25</v>
          </cell>
          <cell r="W184">
            <v>55.04</v>
          </cell>
          <cell r="AJ184" t="str">
            <v>538.25</v>
          </cell>
          <cell r="AM184" t="str">
            <v>538.25</v>
          </cell>
          <cell r="AN184" t="str">
            <v>539.43</v>
          </cell>
          <cell r="AQ184" t="str">
            <v>539.43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D5" t="str">
            <v>간호학과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최초합격자"/>
      <sheetName val="최종합격자"/>
      <sheetName val="수시2"/>
      <sheetName val="정시"/>
    </sheetNames>
    <sheetDataSet>
      <sheetData sheetId="0">
        <row r="184">
          <cell r="D184" t="str">
            <v>간호학과</v>
          </cell>
          <cell r="E184">
            <v>201</v>
          </cell>
          <cell r="F184">
            <v>26</v>
          </cell>
          <cell r="G184">
            <v>332.79</v>
          </cell>
          <cell r="H184">
            <v>305.38</v>
          </cell>
          <cell r="I184">
            <v>315.44</v>
          </cell>
          <cell r="J184">
            <v>2.73</v>
          </cell>
          <cell r="K184">
            <v>2.38</v>
          </cell>
          <cell r="L184">
            <v>2.85</v>
          </cell>
          <cell r="M184">
            <v>2.56</v>
          </cell>
          <cell r="N184">
            <v>121.31</v>
          </cell>
          <cell r="O184">
            <v>128.04</v>
          </cell>
          <cell r="P184">
            <v>121.35</v>
          </cell>
          <cell r="Q184">
            <v>61.71</v>
          </cell>
          <cell r="R184">
            <v>494.87</v>
          </cell>
          <cell r="S184">
            <v>480.66</v>
          </cell>
          <cell r="T184">
            <v>488.02</v>
          </cell>
          <cell r="U184">
            <v>2.1695000000000002</v>
          </cell>
          <cell r="V184">
            <v>4.0454999999999997</v>
          </cell>
          <cell r="W184">
            <v>3.14</v>
          </cell>
          <cell r="X184">
            <v>0</v>
          </cell>
          <cell r="Y184">
            <v>0</v>
          </cell>
          <cell r="Z184">
            <v>0</v>
          </cell>
          <cell r="AA184">
            <v>308.38</v>
          </cell>
          <cell r="AB184">
            <v>486.16</v>
          </cell>
          <cell r="AC184">
            <v>3.4266999999999999</v>
          </cell>
          <cell r="AD184">
            <v>0</v>
          </cell>
          <cell r="AE184">
            <v>313.64</v>
          </cell>
          <cell r="AF184">
            <v>484.65</v>
          </cell>
          <cell r="AG184">
            <v>3.6446999999999998</v>
          </cell>
          <cell r="AH184">
            <v>798.29</v>
          </cell>
          <cell r="AI184">
            <v>25</v>
          </cell>
          <cell r="AJ184">
            <v>324.95999999999998</v>
          </cell>
          <cell r="AK184">
            <v>298.81</v>
          </cell>
          <cell r="AL184">
            <v>311.32</v>
          </cell>
          <cell r="AM184">
            <v>2.92</v>
          </cell>
          <cell r="AN184">
            <v>2.84</v>
          </cell>
          <cell r="AO184">
            <v>2.88</v>
          </cell>
          <cell r="AP184">
            <v>2.56</v>
          </cell>
          <cell r="AQ184">
            <v>2.8000000000000003</v>
          </cell>
        </row>
        <row r="185">
          <cell r="D185" t="str">
            <v>바이오메디컬공학부</v>
          </cell>
          <cell r="E185">
            <v>402</v>
          </cell>
          <cell r="F185">
            <v>17</v>
          </cell>
          <cell r="G185">
            <v>284.5</v>
          </cell>
          <cell r="H185">
            <v>252.88</v>
          </cell>
          <cell r="I185">
            <v>266.38</v>
          </cell>
          <cell r="J185">
            <v>4.24</v>
          </cell>
          <cell r="K185">
            <v>5</v>
          </cell>
          <cell r="L185">
            <v>4.24</v>
          </cell>
          <cell r="M185">
            <v>3.53</v>
          </cell>
          <cell r="N185">
            <v>109.29</v>
          </cell>
          <cell r="O185">
            <v>97.88</v>
          </cell>
          <cell r="P185">
            <v>108.06</v>
          </cell>
          <cell r="Q185">
            <v>58.15</v>
          </cell>
          <cell r="R185">
            <v>498.47</v>
          </cell>
          <cell r="S185">
            <v>470.89</v>
          </cell>
          <cell r="T185">
            <v>479.97</v>
          </cell>
          <cell r="U185">
            <v>1.4059999999999999</v>
          </cell>
          <cell r="V185">
            <v>4.9797000000000002</v>
          </cell>
          <cell r="W185">
            <v>3.98</v>
          </cell>
          <cell r="X185">
            <v>0</v>
          </cell>
          <cell r="Y185">
            <v>0</v>
          </cell>
          <cell r="Z185">
            <v>0</v>
          </cell>
          <cell r="AA185">
            <v>266.38</v>
          </cell>
          <cell r="AB185">
            <v>471.35</v>
          </cell>
          <cell r="AC185">
            <v>4.9451999999999998</v>
          </cell>
          <cell r="AD185">
            <v>0</v>
          </cell>
          <cell r="AE185">
            <v>252.88</v>
          </cell>
          <cell r="AF185">
            <v>487.7</v>
          </cell>
          <cell r="AG185">
            <v>3.25</v>
          </cell>
          <cell r="AH185">
            <v>740.58</v>
          </cell>
          <cell r="AI185">
            <v>16</v>
          </cell>
          <cell r="AJ185">
            <v>283.13</v>
          </cell>
          <cell r="AK185">
            <v>241.63</v>
          </cell>
          <cell r="AL185">
            <v>258.8</v>
          </cell>
          <cell r="AM185">
            <v>4.25</v>
          </cell>
          <cell r="AN185">
            <v>5.56</v>
          </cell>
          <cell r="AO185">
            <v>4.5</v>
          </cell>
          <cell r="AP185">
            <v>3.81</v>
          </cell>
          <cell r="AQ185">
            <v>4.5299999999999994</v>
          </cell>
        </row>
        <row r="186">
          <cell r="D186" t="str">
            <v>산업정보시스템공학과</v>
          </cell>
          <cell r="E186">
            <v>403</v>
          </cell>
          <cell r="F186">
            <v>18</v>
          </cell>
          <cell r="G186">
            <v>309.5</v>
          </cell>
          <cell r="H186">
            <v>266.27999999999997</v>
          </cell>
          <cell r="I186">
            <v>284.24</v>
          </cell>
          <cell r="J186">
            <v>4.1100000000000003</v>
          </cell>
          <cell r="K186">
            <v>3.06</v>
          </cell>
          <cell r="L186">
            <v>4.28</v>
          </cell>
          <cell r="M186">
            <v>3.86</v>
          </cell>
          <cell r="N186">
            <v>110.17</v>
          </cell>
          <cell r="O186">
            <v>121</v>
          </cell>
          <cell r="P186">
            <v>108.17</v>
          </cell>
          <cell r="Q186">
            <v>55.17</v>
          </cell>
          <cell r="R186">
            <v>484.81</v>
          </cell>
          <cell r="S186">
            <v>469.78</v>
          </cell>
          <cell r="T186">
            <v>475.99</v>
          </cell>
          <cell r="U186">
            <v>3.54</v>
          </cell>
          <cell r="V186">
            <v>5.1643999999999997</v>
          </cell>
          <cell r="W186">
            <v>4.46</v>
          </cell>
          <cell r="X186">
            <v>0</v>
          </cell>
          <cell r="Y186">
            <v>0</v>
          </cell>
          <cell r="Z186">
            <v>0</v>
          </cell>
          <cell r="AA186">
            <v>266.27999999999997</v>
          </cell>
          <cell r="AB186">
            <v>481.25</v>
          </cell>
          <cell r="AC186">
            <v>3.9466999999999999</v>
          </cell>
          <cell r="AD186">
            <v>0</v>
          </cell>
          <cell r="AE186">
            <v>278.88</v>
          </cell>
          <cell r="AF186">
            <v>469.78</v>
          </cell>
          <cell r="AG186">
            <v>5.1643999999999997</v>
          </cell>
          <cell r="AH186">
            <v>748.66</v>
          </cell>
          <cell r="AI186">
            <v>19</v>
          </cell>
          <cell r="AJ186">
            <v>295.52999999999997</v>
          </cell>
          <cell r="AK186">
            <v>256.63</v>
          </cell>
          <cell r="AL186">
            <v>271.3</v>
          </cell>
          <cell r="AM186">
            <v>4</v>
          </cell>
          <cell r="AN186">
            <v>4.37</v>
          </cell>
          <cell r="AO186">
            <v>4.8899999999999997</v>
          </cell>
          <cell r="AP186">
            <v>3.84</v>
          </cell>
          <cell r="AQ186">
            <v>4.2750000000000004</v>
          </cell>
        </row>
        <row r="187">
          <cell r="D187" t="str">
            <v>섬유소재시스템공학과</v>
          </cell>
          <cell r="E187">
            <v>404</v>
          </cell>
          <cell r="F187">
            <v>17</v>
          </cell>
          <cell r="G187">
            <v>271.88</v>
          </cell>
          <cell r="H187">
            <v>249</v>
          </cell>
          <cell r="I187">
            <v>259.54000000000002</v>
          </cell>
          <cell r="J187">
            <v>4.3499999999999996</v>
          </cell>
          <cell r="K187">
            <v>5.41</v>
          </cell>
          <cell r="L187">
            <v>4.53</v>
          </cell>
          <cell r="M187">
            <v>3.97</v>
          </cell>
          <cell r="N187">
            <v>107.18</v>
          </cell>
          <cell r="O187">
            <v>95</v>
          </cell>
          <cell r="P187">
            <v>106.65</v>
          </cell>
          <cell r="Q187">
            <v>55.09</v>
          </cell>
          <cell r="R187">
            <v>485.59</v>
          </cell>
          <cell r="S187">
            <v>459.99</v>
          </cell>
          <cell r="T187">
            <v>472.92</v>
          </cell>
          <cell r="U187">
            <v>3.5266999999999999</v>
          </cell>
          <cell r="V187">
            <v>6.1067</v>
          </cell>
          <cell r="W187">
            <v>4.78</v>
          </cell>
          <cell r="X187">
            <v>0</v>
          </cell>
          <cell r="Y187">
            <v>0</v>
          </cell>
          <cell r="Z187">
            <v>0</v>
          </cell>
          <cell r="AA187">
            <v>256.5</v>
          </cell>
          <cell r="AB187">
            <v>467.12</v>
          </cell>
          <cell r="AC187">
            <v>5.3311000000000002</v>
          </cell>
          <cell r="AD187">
            <v>0</v>
          </cell>
          <cell r="AE187">
            <v>257.38</v>
          </cell>
          <cell r="AF187">
            <v>470.07</v>
          </cell>
          <cell r="AG187">
            <v>5.0693999999999999</v>
          </cell>
          <cell r="AH187">
            <v>727.45</v>
          </cell>
          <cell r="AI187">
            <v>15</v>
          </cell>
          <cell r="AJ187">
            <v>264</v>
          </cell>
          <cell r="AK187">
            <v>234.63</v>
          </cell>
          <cell r="AL187">
            <v>249.75</v>
          </cell>
          <cell r="AM187">
            <v>5.07</v>
          </cell>
          <cell r="AN187">
            <v>5.73</v>
          </cell>
          <cell r="AO187">
            <v>4.93</v>
          </cell>
          <cell r="AP187">
            <v>4.17</v>
          </cell>
          <cell r="AQ187">
            <v>4.9749999999999996</v>
          </cell>
        </row>
        <row r="188">
          <cell r="D188" t="str">
            <v>자원.에너지공학과</v>
          </cell>
          <cell r="E188">
            <v>405</v>
          </cell>
          <cell r="F188">
            <v>16</v>
          </cell>
          <cell r="G188">
            <v>274.13</v>
          </cell>
          <cell r="H188">
            <v>244.5</v>
          </cell>
          <cell r="I188">
            <v>258.95</v>
          </cell>
          <cell r="J188">
            <v>4.5</v>
          </cell>
          <cell r="K188">
            <v>5.5</v>
          </cell>
          <cell r="L188">
            <v>4.5599999999999996</v>
          </cell>
          <cell r="M188">
            <v>4.13</v>
          </cell>
          <cell r="N188">
            <v>106.63</v>
          </cell>
          <cell r="O188">
            <v>94.69</v>
          </cell>
          <cell r="P188">
            <v>107.31</v>
          </cell>
          <cell r="Q188">
            <v>54.41</v>
          </cell>
          <cell r="R188">
            <v>486.22</v>
          </cell>
          <cell r="S188">
            <v>468.63</v>
          </cell>
          <cell r="T188">
            <v>479.01</v>
          </cell>
          <cell r="U188">
            <v>3.3784000000000001</v>
          </cell>
          <cell r="V188">
            <v>5.1932999999999998</v>
          </cell>
          <cell r="W188">
            <v>4.17</v>
          </cell>
          <cell r="X188">
            <v>0</v>
          </cell>
          <cell r="Y188">
            <v>0</v>
          </cell>
          <cell r="Z188">
            <v>0</v>
          </cell>
          <cell r="AA188">
            <v>244.5</v>
          </cell>
          <cell r="AB188">
            <v>483.82</v>
          </cell>
          <cell r="AC188">
            <v>3.6818</v>
          </cell>
          <cell r="AD188">
            <v>0</v>
          </cell>
          <cell r="AE188">
            <v>251.25</v>
          </cell>
          <cell r="AF188">
            <v>479.85</v>
          </cell>
          <cell r="AG188">
            <v>4.1554000000000002</v>
          </cell>
          <cell r="AH188">
            <v>731.1</v>
          </cell>
          <cell r="AI188">
            <v>13</v>
          </cell>
          <cell r="AJ188">
            <v>268.75</v>
          </cell>
          <cell r="AK188">
            <v>247.63</v>
          </cell>
          <cell r="AL188">
            <v>257.02999999999997</v>
          </cell>
          <cell r="AM188">
            <v>4.8499999999999996</v>
          </cell>
          <cell r="AN188">
            <v>5.54</v>
          </cell>
          <cell r="AO188">
            <v>4.46</v>
          </cell>
          <cell r="AP188">
            <v>4.1500000000000004</v>
          </cell>
          <cell r="AQ188">
            <v>4.75</v>
          </cell>
        </row>
        <row r="189">
          <cell r="D189" t="str">
            <v>토목공학과</v>
          </cell>
          <cell r="E189">
            <v>406</v>
          </cell>
          <cell r="F189">
            <v>18</v>
          </cell>
          <cell r="G189">
            <v>306.75</v>
          </cell>
          <cell r="H189">
            <v>258.25</v>
          </cell>
          <cell r="I189">
            <v>279.04000000000002</v>
          </cell>
          <cell r="J189">
            <v>3.94</v>
          </cell>
          <cell r="K189">
            <v>4.5599999999999996</v>
          </cell>
          <cell r="L189">
            <v>3.44</v>
          </cell>
          <cell r="M189">
            <v>3.06</v>
          </cell>
          <cell r="N189">
            <v>111.22</v>
          </cell>
          <cell r="O189">
            <v>103.44</v>
          </cell>
          <cell r="P189">
            <v>116.61</v>
          </cell>
          <cell r="Q189">
            <v>59.31</v>
          </cell>
          <cell r="R189">
            <v>493.53</v>
          </cell>
          <cell r="S189">
            <v>474.09</v>
          </cell>
          <cell r="T189">
            <v>483.43</v>
          </cell>
          <cell r="U189">
            <v>2.4428999999999998</v>
          </cell>
          <cell r="V189">
            <v>4.6532999999999998</v>
          </cell>
          <cell r="W189">
            <v>3.62</v>
          </cell>
          <cell r="X189">
            <v>0</v>
          </cell>
          <cell r="Y189">
            <v>0</v>
          </cell>
          <cell r="Z189">
            <v>0</v>
          </cell>
          <cell r="AA189">
            <v>258.25</v>
          </cell>
          <cell r="AB189">
            <v>484.26</v>
          </cell>
          <cell r="AC189">
            <v>3.6215999999999999</v>
          </cell>
          <cell r="AD189">
            <v>0</v>
          </cell>
          <cell r="AE189">
            <v>261.38</v>
          </cell>
          <cell r="AF189">
            <v>486.52</v>
          </cell>
          <cell r="AG189">
            <v>3.3492999999999999</v>
          </cell>
          <cell r="AH189">
            <v>747.9</v>
          </cell>
          <cell r="AI189">
            <v>17</v>
          </cell>
          <cell r="AJ189">
            <v>298.88</v>
          </cell>
          <cell r="AK189">
            <v>229.63</v>
          </cell>
          <cell r="AL189">
            <v>259.2</v>
          </cell>
          <cell r="AM189">
            <v>5</v>
          </cell>
          <cell r="AN189">
            <v>5.24</v>
          </cell>
          <cell r="AO189">
            <v>4.47</v>
          </cell>
          <cell r="AP189">
            <v>3.38</v>
          </cell>
          <cell r="AQ189">
            <v>4.5225</v>
          </cell>
        </row>
        <row r="190">
          <cell r="D190" t="str">
            <v>기계설계공학부</v>
          </cell>
          <cell r="E190">
            <v>408</v>
          </cell>
          <cell r="F190">
            <v>29</v>
          </cell>
          <cell r="G190">
            <v>285.63</v>
          </cell>
          <cell r="H190">
            <v>243.5</v>
          </cell>
          <cell r="I190">
            <v>265.17</v>
          </cell>
          <cell r="J190">
            <v>4.38</v>
          </cell>
          <cell r="K190">
            <v>5.41</v>
          </cell>
          <cell r="L190">
            <v>4.07</v>
          </cell>
          <cell r="M190">
            <v>3.52</v>
          </cell>
          <cell r="N190">
            <v>107.76</v>
          </cell>
          <cell r="O190">
            <v>95.34</v>
          </cell>
          <cell r="P190">
            <v>111.1</v>
          </cell>
          <cell r="Q190">
            <v>57.31</v>
          </cell>
          <cell r="R190">
            <v>490.19</v>
          </cell>
          <cell r="S190">
            <v>460.86</v>
          </cell>
          <cell r="T190">
            <v>475.23</v>
          </cell>
          <cell r="U190">
            <v>2.9133</v>
          </cell>
          <cell r="V190">
            <v>5.9729999999999999</v>
          </cell>
          <cell r="W190">
            <v>4.5</v>
          </cell>
          <cell r="X190">
            <v>0</v>
          </cell>
          <cell r="Y190">
            <v>0</v>
          </cell>
          <cell r="Z190">
            <v>0</v>
          </cell>
          <cell r="AA190">
            <v>243.5</v>
          </cell>
          <cell r="AB190">
            <v>482.76</v>
          </cell>
          <cell r="AC190">
            <v>3.7328999999999999</v>
          </cell>
          <cell r="AD190">
            <v>0</v>
          </cell>
          <cell r="AE190">
            <v>262.25</v>
          </cell>
          <cell r="AF190">
            <v>468.44</v>
          </cell>
          <cell r="AG190">
            <v>5.2122999999999999</v>
          </cell>
          <cell r="AH190">
            <v>730.69</v>
          </cell>
          <cell r="AI190">
            <v>28</v>
          </cell>
          <cell r="AJ190">
            <v>285.63</v>
          </cell>
          <cell r="AK190">
            <v>243.5</v>
          </cell>
          <cell r="AL190">
            <v>258.89</v>
          </cell>
          <cell r="AM190">
            <v>4.6100000000000003</v>
          </cell>
          <cell r="AN190">
            <v>5.39</v>
          </cell>
          <cell r="AO190">
            <v>4.54</v>
          </cell>
          <cell r="AP190">
            <v>3.73</v>
          </cell>
          <cell r="AQ190">
            <v>4.5674999999999999</v>
          </cell>
        </row>
        <row r="191">
          <cell r="D191" t="str">
            <v>기계공학과</v>
          </cell>
          <cell r="E191">
            <v>409</v>
          </cell>
          <cell r="F191">
            <v>22</v>
          </cell>
          <cell r="G191">
            <v>300.88</v>
          </cell>
          <cell r="H191">
            <v>273.13</v>
          </cell>
          <cell r="I191">
            <v>284.43</v>
          </cell>
          <cell r="J191">
            <v>3.86</v>
          </cell>
          <cell r="K191">
            <v>3.95</v>
          </cell>
          <cell r="L191">
            <v>3.68</v>
          </cell>
          <cell r="M191">
            <v>3.02</v>
          </cell>
          <cell r="N191">
            <v>112.32</v>
          </cell>
          <cell r="O191">
            <v>110.91</v>
          </cell>
          <cell r="P191">
            <v>114.18</v>
          </cell>
          <cell r="Q191">
            <v>60.55</v>
          </cell>
          <cell r="R191">
            <v>490.19</v>
          </cell>
          <cell r="S191">
            <v>473.2</v>
          </cell>
          <cell r="T191">
            <v>483.43</v>
          </cell>
          <cell r="U191">
            <v>2.9066999999999998</v>
          </cell>
          <cell r="V191">
            <v>4.76</v>
          </cell>
          <cell r="W191">
            <v>3.71</v>
          </cell>
          <cell r="X191">
            <v>0</v>
          </cell>
          <cell r="Y191">
            <v>0</v>
          </cell>
          <cell r="Z191">
            <v>0</v>
          </cell>
          <cell r="AA191">
            <v>283.5</v>
          </cell>
          <cell r="AB191">
            <v>479.02</v>
          </cell>
          <cell r="AC191">
            <v>4.1959</v>
          </cell>
          <cell r="AD191">
            <v>0</v>
          </cell>
          <cell r="AE191">
            <v>273.13</v>
          </cell>
          <cell r="AF191">
            <v>490.19</v>
          </cell>
          <cell r="AG191">
            <v>2.9066999999999998</v>
          </cell>
          <cell r="AH191">
            <v>763.32</v>
          </cell>
          <cell r="AI191">
            <v>14</v>
          </cell>
          <cell r="AJ191">
            <v>300.88</v>
          </cell>
          <cell r="AK191">
            <v>259.25</v>
          </cell>
          <cell r="AL191">
            <v>275.51</v>
          </cell>
          <cell r="AM191">
            <v>3.86</v>
          </cell>
          <cell r="AN191">
            <v>4.6399999999999997</v>
          </cell>
          <cell r="AO191">
            <v>3.86</v>
          </cell>
          <cell r="AP191">
            <v>3.36</v>
          </cell>
          <cell r="AQ191">
            <v>3.9299999999999997</v>
          </cell>
        </row>
        <row r="192">
          <cell r="D192" t="str">
            <v>항공우주공학과</v>
          </cell>
          <cell r="E192">
            <v>410</v>
          </cell>
          <cell r="F192">
            <v>17</v>
          </cell>
          <cell r="G192">
            <v>291.88</v>
          </cell>
          <cell r="H192">
            <v>251.25</v>
          </cell>
          <cell r="I192">
            <v>269.83</v>
          </cell>
          <cell r="J192">
            <v>4.18</v>
          </cell>
          <cell r="K192">
            <v>4.76</v>
          </cell>
          <cell r="L192">
            <v>4.41</v>
          </cell>
          <cell r="M192">
            <v>3.38</v>
          </cell>
          <cell r="N192">
            <v>109.94</v>
          </cell>
          <cell r="O192">
            <v>102.76</v>
          </cell>
          <cell r="P192">
            <v>106.65</v>
          </cell>
          <cell r="Q192">
            <v>58.74</v>
          </cell>
          <cell r="R192">
            <v>494.54</v>
          </cell>
          <cell r="S192">
            <v>462.53</v>
          </cell>
          <cell r="T192">
            <v>478.8</v>
          </cell>
          <cell r="U192">
            <v>2.2837999999999998</v>
          </cell>
          <cell r="V192">
            <v>5.8472</v>
          </cell>
          <cell r="W192">
            <v>4.1500000000000004</v>
          </cell>
          <cell r="X192">
            <v>0</v>
          </cell>
          <cell r="Y192">
            <v>0</v>
          </cell>
          <cell r="Z192">
            <v>0</v>
          </cell>
          <cell r="AA192">
            <v>259.75</v>
          </cell>
          <cell r="AB192">
            <v>475.62</v>
          </cell>
          <cell r="AC192">
            <v>4.5</v>
          </cell>
          <cell r="AD192">
            <v>0</v>
          </cell>
          <cell r="AE192">
            <v>251.25</v>
          </cell>
          <cell r="AF192">
            <v>488.93</v>
          </cell>
          <cell r="AG192">
            <v>3.0428999999999999</v>
          </cell>
          <cell r="AH192">
            <v>740.18</v>
          </cell>
          <cell r="AI192">
            <v>16</v>
          </cell>
          <cell r="AJ192">
            <v>291.88</v>
          </cell>
          <cell r="AK192">
            <v>245.38</v>
          </cell>
          <cell r="AL192">
            <v>263.83</v>
          </cell>
          <cell r="AM192">
            <v>4.5599999999999996</v>
          </cell>
          <cell r="AN192">
            <v>5.19</v>
          </cell>
          <cell r="AO192">
            <v>4.38</v>
          </cell>
          <cell r="AP192">
            <v>3.63</v>
          </cell>
          <cell r="AQ192">
            <v>4.4399999999999995</v>
          </cell>
        </row>
        <row r="193">
          <cell r="D193" t="str">
            <v>고분자.나노공학과</v>
          </cell>
          <cell r="E193">
            <v>412</v>
          </cell>
          <cell r="F193">
            <v>12</v>
          </cell>
          <cell r="G193">
            <v>313.85000000000002</v>
          </cell>
          <cell r="H193">
            <v>275.39999999999998</v>
          </cell>
          <cell r="I193">
            <v>293.88</v>
          </cell>
          <cell r="J193">
            <v>3.33</v>
          </cell>
          <cell r="K193">
            <v>4.08</v>
          </cell>
          <cell r="L193">
            <v>3.25</v>
          </cell>
          <cell r="M193">
            <v>3.75</v>
          </cell>
          <cell r="N193">
            <v>115.75</v>
          </cell>
          <cell r="O193">
            <v>109.83</v>
          </cell>
          <cell r="P193">
            <v>118.75</v>
          </cell>
          <cell r="Q193">
            <v>55.83</v>
          </cell>
          <cell r="R193">
            <v>495.73</v>
          </cell>
          <cell r="S193">
            <v>469.93</v>
          </cell>
          <cell r="T193">
            <v>483.65</v>
          </cell>
          <cell r="U193">
            <v>2.0325000000000002</v>
          </cell>
          <cell r="V193">
            <v>5.0616000000000003</v>
          </cell>
          <cell r="W193">
            <v>3.53</v>
          </cell>
          <cell r="X193">
            <v>0</v>
          </cell>
          <cell r="Y193">
            <v>0</v>
          </cell>
          <cell r="Z193">
            <v>0</v>
          </cell>
          <cell r="AA193">
            <v>289.83999999999997</v>
          </cell>
          <cell r="AB193">
            <v>479.64</v>
          </cell>
          <cell r="AC193">
            <v>4.1603000000000003</v>
          </cell>
          <cell r="AD193">
            <v>0</v>
          </cell>
          <cell r="AE193">
            <v>277.02999999999997</v>
          </cell>
          <cell r="AF193">
            <v>493.69</v>
          </cell>
          <cell r="AG193">
            <v>2.3835999999999999</v>
          </cell>
          <cell r="AH193">
            <v>770.72</v>
          </cell>
          <cell r="AI193">
            <v>10</v>
          </cell>
          <cell r="AJ193">
            <v>299.48</v>
          </cell>
          <cell r="AK193">
            <v>275.39999999999998</v>
          </cell>
          <cell r="AL193">
            <v>289.41000000000003</v>
          </cell>
          <cell r="AM193">
            <v>3.5</v>
          </cell>
          <cell r="AN193">
            <v>4.4000000000000004</v>
          </cell>
          <cell r="AO193">
            <v>3.5</v>
          </cell>
          <cell r="AP193">
            <v>4.05</v>
          </cell>
          <cell r="AQ193">
            <v>3.8624999999999998</v>
          </cell>
        </row>
        <row r="194">
          <cell r="D194" t="str">
            <v>화학공학부</v>
          </cell>
          <cell r="E194">
            <v>414</v>
          </cell>
          <cell r="F194">
            <v>35</v>
          </cell>
          <cell r="G194">
            <v>316.13</v>
          </cell>
          <cell r="H194">
            <v>272.75</v>
          </cell>
          <cell r="I194">
            <v>286.83</v>
          </cell>
          <cell r="J194">
            <v>3.57</v>
          </cell>
          <cell r="K194">
            <v>4.29</v>
          </cell>
          <cell r="L194">
            <v>3.31</v>
          </cell>
          <cell r="M194">
            <v>2.96</v>
          </cell>
          <cell r="N194">
            <v>115.6</v>
          </cell>
          <cell r="O194">
            <v>107.4</v>
          </cell>
          <cell r="P194">
            <v>118.4</v>
          </cell>
          <cell r="Q194">
            <v>60.3</v>
          </cell>
          <cell r="R194">
            <v>493.7</v>
          </cell>
          <cell r="S194">
            <v>470.92</v>
          </cell>
          <cell r="T194">
            <v>484.96</v>
          </cell>
          <cell r="U194">
            <v>2.4013</v>
          </cell>
          <cell r="V194">
            <v>4.9667000000000003</v>
          </cell>
          <cell r="W194">
            <v>3.47</v>
          </cell>
          <cell r="X194">
            <v>0</v>
          </cell>
          <cell r="Y194">
            <v>0</v>
          </cell>
          <cell r="Z194">
            <v>0</v>
          </cell>
          <cell r="AA194">
            <v>276.13</v>
          </cell>
          <cell r="AB194">
            <v>482.57</v>
          </cell>
          <cell r="AC194">
            <v>3.8424999999999998</v>
          </cell>
          <cell r="AD194">
            <v>0</v>
          </cell>
          <cell r="AE194">
            <v>278.63</v>
          </cell>
          <cell r="AF194">
            <v>482.83</v>
          </cell>
          <cell r="AG194">
            <v>3.78</v>
          </cell>
          <cell r="AH194">
            <v>761.46</v>
          </cell>
          <cell r="AI194">
            <v>30</v>
          </cell>
          <cell r="AJ194">
            <v>309.88</v>
          </cell>
          <cell r="AK194">
            <v>261.75</v>
          </cell>
          <cell r="AL194">
            <v>279.79000000000002</v>
          </cell>
          <cell r="AM194">
            <v>3.67</v>
          </cell>
          <cell r="AN194">
            <v>4.5999999999999996</v>
          </cell>
          <cell r="AO194">
            <v>3.7</v>
          </cell>
          <cell r="AP194">
            <v>3.17</v>
          </cell>
          <cell r="AQ194">
            <v>3.7849999999999997</v>
          </cell>
        </row>
        <row r="195">
          <cell r="D195" t="str">
            <v>환경공학과</v>
          </cell>
          <cell r="E195">
            <v>415</v>
          </cell>
          <cell r="F195">
            <v>16</v>
          </cell>
          <cell r="G195">
            <v>294</v>
          </cell>
          <cell r="H195">
            <v>252.75</v>
          </cell>
          <cell r="I195">
            <v>264.97000000000003</v>
          </cell>
          <cell r="J195">
            <v>4.25</v>
          </cell>
          <cell r="K195">
            <v>5.44</v>
          </cell>
          <cell r="L195">
            <v>4</v>
          </cell>
          <cell r="M195">
            <v>3.72</v>
          </cell>
          <cell r="N195">
            <v>107.94</v>
          </cell>
          <cell r="O195">
            <v>96.19</v>
          </cell>
          <cell r="P195">
            <v>110.94</v>
          </cell>
          <cell r="Q195">
            <v>56.22</v>
          </cell>
          <cell r="R195">
            <v>488.73</v>
          </cell>
          <cell r="S195">
            <v>467.63</v>
          </cell>
          <cell r="T195">
            <v>478.59</v>
          </cell>
          <cell r="U195">
            <v>3.1667000000000001</v>
          </cell>
          <cell r="V195">
            <v>5.2632000000000003</v>
          </cell>
          <cell r="W195">
            <v>4.2</v>
          </cell>
          <cell r="X195">
            <v>0</v>
          </cell>
          <cell r="Y195">
            <v>0</v>
          </cell>
          <cell r="Z195">
            <v>0</v>
          </cell>
          <cell r="AA195">
            <v>258.38</v>
          </cell>
          <cell r="AB195">
            <v>468.57</v>
          </cell>
          <cell r="AC195">
            <v>5.1986999999999997</v>
          </cell>
          <cell r="AD195">
            <v>0</v>
          </cell>
          <cell r="AE195">
            <v>258.38</v>
          </cell>
          <cell r="AF195">
            <v>474.87</v>
          </cell>
          <cell r="AG195">
            <v>4.6052999999999997</v>
          </cell>
          <cell r="AH195">
            <v>733.25</v>
          </cell>
          <cell r="AI195">
            <v>16</v>
          </cell>
          <cell r="AJ195">
            <v>294</v>
          </cell>
          <cell r="AK195">
            <v>226.63</v>
          </cell>
          <cell r="AL195">
            <v>255.89</v>
          </cell>
          <cell r="AM195">
            <v>4.3099999999999996</v>
          </cell>
          <cell r="AN195">
            <v>5.94</v>
          </cell>
          <cell r="AO195">
            <v>4.38</v>
          </cell>
          <cell r="AP195">
            <v>4.09</v>
          </cell>
          <cell r="AQ195">
            <v>4.68</v>
          </cell>
        </row>
        <row r="196">
          <cell r="D196" t="str">
            <v>건축공학과</v>
          </cell>
          <cell r="E196">
            <v>417</v>
          </cell>
          <cell r="F196">
            <v>10</v>
          </cell>
          <cell r="G196">
            <v>285.25</v>
          </cell>
          <cell r="H196">
            <v>249.38</v>
          </cell>
          <cell r="I196">
            <v>269.33</v>
          </cell>
          <cell r="J196">
            <v>4.0999999999999996</v>
          </cell>
          <cell r="K196">
            <v>5.2</v>
          </cell>
          <cell r="L196">
            <v>3.8</v>
          </cell>
          <cell r="M196">
            <v>3.5</v>
          </cell>
          <cell r="N196">
            <v>110.4</v>
          </cell>
          <cell r="O196">
            <v>97.2</v>
          </cell>
          <cell r="P196">
            <v>112.3</v>
          </cell>
          <cell r="Q196">
            <v>57.6</v>
          </cell>
          <cell r="R196">
            <v>480.71</v>
          </cell>
          <cell r="S196">
            <v>457.54</v>
          </cell>
          <cell r="T196">
            <v>471.59</v>
          </cell>
          <cell r="U196">
            <v>4.0685000000000002</v>
          </cell>
          <cell r="V196">
            <v>6.2468000000000004</v>
          </cell>
          <cell r="W196">
            <v>4.91</v>
          </cell>
          <cell r="X196">
            <v>0</v>
          </cell>
          <cell r="Y196">
            <v>0</v>
          </cell>
          <cell r="Z196">
            <v>0</v>
          </cell>
          <cell r="AA196">
            <v>254.38</v>
          </cell>
          <cell r="AB196">
            <v>471.88</v>
          </cell>
          <cell r="AC196">
            <v>4.875</v>
          </cell>
          <cell r="AD196">
            <v>0</v>
          </cell>
          <cell r="AE196">
            <v>249.38</v>
          </cell>
          <cell r="AF196">
            <v>480.71</v>
          </cell>
          <cell r="AG196">
            <v>4.0685000000000002</v>
          </cell>
          <cell r="AH196">
            <v>730.09</v>
          </cell>
          <cell r="AI196">
            <v>10</v>
          </cell>
          <cell r="AJ196">
            <v>284.5</v>
          </cell>
          <cell r="AK196">
            <v>231.13</v>
          </cell>
          <cell r="AL196">
            <v>254.62</v>
          </cell>
          <cell r="AM196">
            <v>4.7</v>
          </cell>
          <cell r="AN196">
            <v>5.6</v>
          </cell>
          <cell r="AO196">
            <v>4.5</v>
          </cell>
          <cell r="AP196">
            <v>3.9</v>
          </cell>
          <cell r="AQ196">
            <v>4.6749999999999998</v>
          </cell>
        </row>
        <row r="197">
          <cell r="D197" t="str">
            <v>도시공학과</v>
          </cell>
          <cell r="E197">
            <v>418</v>
          </cell>
          <cell r="F197">
            <v>10</v>
          </cell>
          <cell r="G197">
            <v>308.38</v>
          </cell>
          <cell r="H197">
            <v>243.25</v>
          </cell>
          <cell r="I197">
            <v>269.44</v>
          </cell>
          <cell r="J197">
            <v>3.5</v>
          </cell>
          <cell r="K197">
            <v>4.5999999999999996</v>
          </cell>
          <cell r="L197">
            <v>4.5</v>
          </cell>
          <cell r="M197">
            <v>3.9</v>
          </cell>
          <cell r="N197">
            <v>114.3</v>
          </cell>
          <cell r="O197">
            <v>102</v>
          </cell>
          <cell r="P197">
            <v>106</v>
          </cell>
          <cell r="Q197">
            <v>56</v>
          </cell>
          <cell r="R197">
            <v>491.39</v>
          </cell>
          <cell r="S197">
            <v>464.22</v>
          </cell>
          <cell r="T197">
            <v>474.29</v>
          </cell>
          <cell r="U197">
            <v>2.8067000000000002</v>
          </cell>
          <cell r="V197">
            <v>5.6104000000000003</v>
          </cell>
          <cell r="W197">
            <v>4.59</v>
          </cell>
          <cell r="X197">
            <v>0</v>
          </cell>
          <cell r="Y197">
            <v>0</v>
          </cell>
          <cell r="Z197">
            <v>0</v>
          </cell>
          <cell r="AA197">
            <v>244.75</v>
          </cell>
          <cell r="AB197">
            <v>464.31</v>
          </cell>
          <cell r="AC197">
            <v>5.5753000000000004</v>
          </cell>
          <cell r="AD197">
            <v>0</v>
          </cell>
          <cell r="AE197">
            <v>247</v>
          </cell>
          <cell r="AF197">
            <v>468.27</v>
          </cell>
          <cell r="AG197">
            <v>5.2100999999999997</v>
          </cell>
          <cell r="AH197">
            <v>715.27</v>
          </cell>
          <cell r="AI197">
            <v>8</v>
          </cell>
          <cell r="AJ197">
            <v>281.63</v>
          </cell>
          <cell r="AK197">
            <v>239.63</v>
          </cell>
          <cell r="AL197">
            <v>255.71</v>
          </cell>
          <cell r="AM197">
            <v>4.13</v>
          </cell>
          <cell r="AN197">
            <v>5.13</v>
          </cell>
          <cell r="AO197">
            <v>4.75</v>
          </cell>
          <cell r="AP197">
            <v>4.38</v>
          </cell>
          <cell r="AQ197">
            <v>4.5975000000000001</v>
          </cell>
        </row>
        <row r="198">
          <cell r="D198" t="str">
            <v>건축학과</v>
          </cell>
          <cell r="E198">
            <v>419</v>
          </cell>
          <cell r="F198">
            <v>10</v>
          </cell>
          <cell r="G198">
            <v>305</v>
          </cell>
          <cell r="H198">
            <v>265.13</v>
          </cell>
          <cell r="I198">
            <v>281.10000000000002</v>
          </cell>
          <cell r="J198">
            <v>3.8</v>
          </cell>
          <cell r="K198">
            <v>4.5999999999999996</v>
          </cell>
          <cell r="L198">
            <v>3.5</v>
          </cell>
          <cell r="M198">
            <v>2.2999999999999998</v>
          </cell>
          <cell r="N198">
            <v>112.2</v>
          </cell>
          <cell r="O198">
            <v>102.8</v>
          </cell>
          <cell r="P198">
            <v>115.6</v>
          </cell>
          <cell r="Q198">
            <v>62.9</v>
          </cell>
          <cell r="R198">
            <v>491.67</v>
          </cell>
          <cell r="S198">
            <v>464.11</v>
          </cell>
          <cell r="T198">
            <v>479.87</v>
          </cell>
          <cell r="U198">
            <v>2.7877000000000001</v>
          </cell>
          <cell r="V198">
            <v>5.6</v>
          </cell>
          <cell r="W198">
            <v>3.99</v>
          </cell>
          <cell r="X198">
            <v>0</v>
          </cell>
          <cell r="Y198">
            <v>0</v>
          </cell>
          <cell r="Z198">
            <v>0</v>
          </cell>
          <cell r="AA198">
            <v>265.13</v>
          </cell>
          <cell r="AB198">
            <v>467.87</v>
          </cell>
          <cell r="AC198">
            <v>5.3635999999999999</v>
          </cell>
          <cell r="AD198">
            <v>0</v>
          </cell>
          <cell r="AE198">
            <v>270.5</v>
          </cell>
          <cell r="AF198">
            <v>475.4</v>
          </cell>
          <cell r="AG198">
            <v>0</v>
          </cell>
          <cell r="AH198">
            <v>745.9</v>
          </cell>
          <cell r="AI198">
            <v>10</v>
          </cell>
          <cell r="AJ198">
            <v>286.88</v>
          </cell>
          <cell r="AK198">
            <v>241.13</v>
          </cell>
          <cell r="AL198">
            <v>265.02</v>
          </cell>
          <cell r="AM198">
            <v>4.3</v>
          </cell>
          <cell r="AN198">
            <v>5.0999999999999996</v>
          </cell>
          <cell r="AO198">
            <v>4.0999999999999996</v>
          </cell>
          <cell r="AP198">
            <v>3.5</v>
          </cell>
          <cell r="AQ198">
            <v>4.25</v>
          </cell>
        </row>
        <row r="199">
          <cell r="D199" t="str">
            <v>신소재공학부(금속시스템공학)</v>
          </cell>
          <cell r="E199">
            <v>420</v>
          </cell>
          <cell r="F199">
            <v>16</v>
          </cell>
          <cell r="G199">
            <v>298</v>
          </cell>
          <cell r="H199">
            <v>245.63</v>
          </cell>
          <cell r="I199">
            <v>266.11</v>
          </cell>
          <cell r="J199">
            <v>4.5599999999999996</v>
          </cell>
          <cell r="K199">
            <v>4.6900000000000004</v>
          </cell>
          <cell r="L199">
            <v>4.3099999999999996</v>
          </cell>
          <cell r="M199">
            <v>3.38</v>
          </cell>
          <cell r="N199">
            <v>104.44</v>
          </cell>
          <cell r="O199">
            <v>101.88</v>
          </cell>
          <cell r="P199">
            <v>107.75</v>
          </cell>
          <cell r="Q199">
            <v>58.16</v>
          </cell>
          <cell r="R199">
            <v>494.1</v>
          </cell>
          <cell r="S199">
            <v>468.91</v>
          </cell>
          <cell r="T199">
            <v>479.94</v>
          </cell>
          <cell r="U199">
            <v>2.3142999999999998</v>
          </cell>
          <cell r="V199">
            <v>5.1447000000000003</v>
          </cell>
          <cell r="W199">
            <v>4.0199999999999996</v>
          </cell>
          <cell r="X199">
            <v>0</v>
          </cell>
          <cell r="Y199">
            <v>0</v>
          </cell>
          <cell r="Z199">
            <v>0</v>
          </cell>
          <cell r="AA199">
            <v>267.38</v>
          </cell>
          <cell r="AB199">
            <v>469.88</v>
          </cell>
          <cell r="AC199">
            <v>5.0867000000000004</v>
          </cell>
          <cell r="AD199">
            <v>0</v>
          </cell>
          <cell r="AE199">
            <v>261.38</v>
          </cell>
          <cell r="AF199">
            <v>476.94</v>
          </cell>
          <cell r="AG199">
            <v>4.3356000000000003</v>
          </cell>
          <cell r="AH199">
            <v>738.32</v>
          </cell>
          <cell r="AI199">
            <v>14</v>
          </cell>
          <cell r="AJ199">
            <v>279.25</v>
          </cell>
          <cell r="AK199">
            <v>240</v>
          </cell>
          <cell r="AL199">
            <v>263.41000000000003</v>
          </cell>
          <cell r="AM199">
            <v>4.6399999999999997</v>
          </cell>
          <cell r="AN199">
            <v>4.93</v>
          </cell>
          <cell r="AO199">
            <v>4.6399999999999997</v>
          </cell>
          <cell r="AP199">
            <v>3.5</v>
          </cell>
          <cell r="AQ199">
            <v>4.4275000000000002</v>
          </cell>
        </row>
        <row r="200">
          <cell r="D200" t="str">
            <v>신소재공학부(정보소재공학)</v>
          </cell>
          <cell r="E200">
            <v>421</v>
          </cell>
          <cell r="F200">
            <v>20</v>
          </cell>
          <cell r="G200">
            <v>281.38</v>
          </cell>
          <cell r="H200">
            <v>240.75</v>
          </cell>
          <cell r="I200">
            <v>262.18</v>
          </cell>
          <cell r="J200">
            <v>4.8</v>
          </cell>
          <cell r="K200">
            <v>5.3</v>
          </cell>
          <cell r="L200">
            <v>4.3</v>
          </cell>
          <cell r="M200">
            <v>3.45</v>
          </cell>
          <cell r="N200">
            <v>102.95</v>
          </cell>
          <cell r="O200">
            <v>97.95</v>
          </cell>
          <cell r="P200">
            <v>107.85</v>
          </cell>
          <cell r="Q200">
            <v>57.98</v>
          </cell>
          <cell r="R200">
            <v>482.77</v>
          </cell>
          <cell r="S200">
            <v>458.45</v>
          </cell>
          <cell r="T200">
            <v>473.56</v>
          </cell>
          <cell r="U200">
            <v>3.7877000000000001</v>
          </cell>
          <cell r="V200">
            <v>6.1932999999999998</v>
          </cell>
          <cell r="W200">
            <v>4.7</v>
          </cell>
          <cell r="X200">
            <v>0</v>
          </cell>
          <cell r="Y200">
            <v>0</v>
          </cell>
          <cell r="Z200">
            <v>0</v>
          </cell>
          <cell r="AA200">
            <v>240.75</v>
          </cell>
          <cell r="AB200">
            <v>478.38</v>
          </cell>
          <cell r="AC200">
            <v>4.0753000000000004</v>
          </cell>
          <cell r="AD200">
            <v>0</v>
          </cell>
          <cell r="AE200">
            <v>261.38</v>
          </cell>
          <cell r="AF200">
            <v>460.21</v>
          </cell>
          <cell r="AG200">
            <v>6</v>
          </cell>
          <cell r="AH200">
            <v>721.59</v>
          </cell>
          <cell r="AI200">
            <v>20</v>
          </cell>
          <cell r="AJ200">
            <v>266</v>
          </cell>
          <cell r="AK200">
            <v>236.63</v>
          </cell>
          <cell r="AL200">
            <v>249.42</v>
          </cell>
          <cell r="AM200">
            <v>5.4</v>
          </cell>
          <cell r="AN200">
            <v>5.6</v>
          </cell>
          <cell r="AO200">
            <v>4.8499999999999996</v>
          </cell>
          <cell r="AP200">
            <v>3.8</v>
          </cell>
          <cell r="AQ200">
            <v>4.9124999999999996</v>
          </cell>
        </row>
        <row r="201">
          <cell r="D201" t="str">
            <v>신소재공학부(전자재료공학)</v>
          </cell>
          <cell r="E201">
            <v>422</v>
          </cell>
          <cell r="F201">
            <v>19</v>
          </cell>
          <cell r="G201">
            <v>293.88</v>
          </cell>
          <cell r="H201">
            <v>258.63</v>
          </cell>
          <cell r="I201">
            <v>272.08</v>
          </cell>
          <cell r="J201">
            <v>4.32</v>
          </cell>
          <cell r="K201">
            <v>4.58</v>
          </cell>
          <cell r="L201">
            <v>4.16</v>
          </cell>
          <cell r="M201">
            <v>3.29</v>
          </cell>
          <cell r="N201">
            <v>108.63</v>
          </cell>
          <cell r="O201">
            <v>103.79</v>
          </cell>
          <cell r="P201">
            <v>110</v>
          </cell>
          <cell r="Q201">
            <v>58.45</v>
          </cell>
          <cell r="R201">
            <v>489.87</v>
          </cell>
          <cell r="S201">
            <v>467.63</v>
          </cell>
          <cell r="T201">
            <v>477.7</v>
          </cell>
          <cell r="U201">
            <v>2.9674999999999998</v>
          </cell>
          <cell r="V201">
            <v>5.2732999999999999</v>
          </cell>
          <cell r="W201">
            <v>4.3099999999999996</v>
          </cell>
          <cell r="X201">
            <v>0</v>
          </cell>
          <cell r="Y201">
            <v>0</v>
          </cell>
          <cell r="Z201">
            <v>0</v>
          </cell>
          <cell r="AA201">
            <v>264.75</v>
          </cell>
          <cell r="AB201">
            <v>473.34</v>
          </cell>
          <cell r="AC201">
            <v>4.7431999999999999</v>
          </cell>
          <cell r="AD201">
            <v>0</v>
          </cell>
          <cell r="AE201">
            <v>272.25</v>
          </cell>
          <cell r="AF201">
            <v>467.63</v>
          </cell>
          <cell r="AG201">
            <v>5.2732999999999999</v>
          </cell>
          <cell r="AH201">
            <v>739.88</v>
          </cell>
          <cell r="AI201">
            <v>17</v>
          </cell>
          <cell r="AJ201">
            <v>273.13</v>
          </cell>
          <cell r="AK201">
            <v>244</v>
          </cell>
          <cell r="AL201">
            <v>260.31</v>
          </cell>
          <cell r="AM201">
            <v>4.41</v>
          </cell>
          <cell r="AN201">
            <v>5.65</v>
          </cell>
          <cell r="AO201">
            <v>4.41</v>
          </cell>
          <cell r="AP201">
            <v>3.76</v>
          </cell>
          <cell r="AQ201">
            <v>4.5575000000000001</v>
          </cell>
        </row>
        <row r="202">
          <cell r="D202" t="str">
            <v>전기전자컴퓨터공학부(전기공학)</v>
          </cell>
          <cell r="E202">
            <v>423</v>
          </cell>
          <cell r="F202">
            <v>18</v>
          </cell>
          <cell r="G202">
            <v>309.25</v>
          </cell>
          <cell r="H202">
            <v>266.5</v>
          </cell>
          <cell r="I202">
            <v>283.32</v>
          </cell>
          <cell r="J202">
            <v>4.0599999999999996</v>
          </cell>
          <cell r="K202">
            <v>3.78</v>
          </cell>
          <cell r="L202">
            <v>3.83</v>
          </cell>
          <cell r="M202">
            <v>2.72</v>
          </cell>
          <cell r="N202">
            <v>110.17</v>
          </cell>
          <cell r="O202">
            <v>112.56</v>
          </cell>
          <cell r="P202">
            <v>112.39</v>
          </cell>
          <cell r="Q202">
            <v>61</v>
          </cell>
          <cell r="R202">
            <v>493.76</v>
          </cell>
          <cell r="S202">
            <v>470.89</v>
          </cell>
          <cell r="T202">
            <v>482.33</v>
          </cell>
          <cell r="U202">
            <v>2.2328999999999999</v>
          </cell>
          <cell r="V202">
            <v>4.9740000000000002</v>
          </cell>
          <cell r="W202">
            <v>3.76</v>
          </cell>
          <cell r="X202">
            <v>0</v>
          </cell>
          <cell r="Y202">
            <v>0</v>
          </cell>
          <cell r="Z202">
            <v>0</v>
          </cell>
          <cell r="AA202">
            <v>277.25</v>
          </cell>
          <cell r="AB202">
            <v>470.89</v>
          </cell>
          <cell r="AC202">
            <v>4.9740000000000002</v>
          </cell>
          <cell r="AD202">
            <v>0</v>
          </cell>
          <cell r="AE202">
            <v>280.38</v>
          </cell>
          <cell r="AF202">
            <v>473.11</v>
          </cell>
          <cell r="AG202">
            <v>4.7066999999999997</v>
          </cell>
          <cell r="AH202">
            <v>753.49</v>
          </cell>
          <cell r="AI202">
            <v>14</v>
          </cell>
          <cell r="AJ202">
            <v>282.25</v>
          </cell>
          <cell r="AK202">
            <v>241.63</v>
          </cell>
          <cell r="AL202">
            <v>262.07</v>
          </cell>
          <cell r="AM202">
            <v>4.8600000000000003</v>
          </cell>
          <cell r="AN202">
            <v>4.6399999999999997</v>
          </cell>
          <cell r="AO202">
            <v>4.57</v>
          </cell>
          <cell r="AP202">
            <v>3.79</v>
          </cell>
          <cell r="AQ202">
            <v>4.4649999999999999</v>
          </cell>
        </row>
        <row r="203">
          <cell r="D203" t="str">
            <v>전기전자컴퓨터공학부(전자공학)</v>
          </cell>
          <cell r="E203">
            <v>424</v>
          </cell>
          <cell r="F203">
            <v>70</v>
          </cell>
          <cell r="G203">
            <v>296.88</v>
          </cell>
          <cell r="H203">
            <v>247.25</v>
          </cell>
          <cell r="I203">
            <v>272.83999999999997</v>
          </cell>
          <cell r="J203">
            <v>3.93</v>
          </cell>
          <cell r="K203">
            <v>4.84</v>
          </cell>
          <cell r="L203">
            <v>4.01</v>
          </cell>
          <cell r="M203">
            <v>3.36</v>
          </cell>
          <cell r="N203">
            <v>111.57</v>
          </cell>
          <cell r="O203">
            <v>101.31</v>
          </cell>
          <cell r="P203">
            <v>111.03</v>
          </cell>
          <cell r="Q203">
            <v>58.46</v>
          </cell>
          <cell r="R203">
            <v>493.37</v>
          </cell>
          <cell r="S203">
            <v>464.29</v>
          </cell>
          <cell r="T203">
            <v>480.29</v>
          </cell>
          <cell r="U203">
            <v>2.4733000000000001</v>
          </cell>
          <cell r="V203">
            <v>5.5890000000000004</v>
          </cell>
          <cell r="W203">
            <v>4.01</v>
          </cell>
          <cell r="X203">
            <v>0</v>
          </cell>
          <cell r="Y203">
            <v>0</v>
          </cell>
          <cell r="Z203">
            <v>0</v>
          </cell>
          <cell r="AA203">
            <v>247.25</v>
          </cell>
          <cell r="AB203">
            <v>487.82</v>
          </cell>
          <cell r="AC203">
            <v>3.2568000000000001</v>
          </cell>
          <cell r="AD203">
            <v>0</v>
          </cell>
          <cell r="AE203">
            <v>259.63</v>
          </cell>
          <cell r="AF203">
            <v>481.51</v>
          </cell>
          <cell r="AG203">
            <v>3.9365999999999999</v>
          </cell>
          <cell r="AH203">
            <v>741.14</v>
          </cell>
          <cell r="AI203">
            <v>62</v>
          </cell>
          <cell r="AJ203">
            <v>296.88</v>
          </cell>
          <cell r="AK203">
            <v>234.38</v>
          </cell>
          <cell r="AL203">
            <v>262.29000000000002</v>
          </cell>
          <cell r="AM203">
            <v>4.4400000000000004</v>
          </cell>
          <cell r="AN203">
            <v>5.24</v>
          </cell>
          <cell r="AO203">
            <v>4.42</v>
          </cell>
          <cell r="AP203">
            <v>3.78</v>
          </cell>
          <cell r="AQ203">
            <v>4.47</v>
          </cell>
        </row>
        <row r="204">
          <cell r="D204" t="str">
            <v>전기전자컴퓨터공학부(컴퓨터공학)</v>
          </cell>
          <cell r="E204">
            <v>425</v>
          </cell>
          <cell r="F204">
            <v>54</v>
          </cell>
          <cell r="G204">
            <v>298.25</v>
          </cell>
          <cell r="H204">
            <v>221.38</v>
          </cell>
          <cell r="I204">
            <v>258.49</v>
          </cell>
          <cell r="J204">
            <v>4.3099999999999996</v>
          </cell>
          <cell r="K204">
            <v>5.2</v>
          </cell>
          <cell r="L204">
            <v>4.8499999999999996</v>
          </cell>
          <cell r="M204">
            <v>4.04</v>
          </cell>
          <cell r="N204">
            <v>108.48</v>
          </cell>
          <cell r="O204">
            <v>97.07</v>
          </cell>
          <cell r="P204">
            <v>102.31</v>
          </cell>
          <cell r="Q204">
            <v>54.86</v>
          </cell>
          <cell r="R204">
            <v>490.86</v>
          </cell>
          <cell r="S204">
            <v>455.8</v>
          </cell>
          <cell r="T204">
            <v>473.96</v>
          </cell>
          <cell r="U204">
            <v>2.72</v>
          </cell>
          <cell r="V204">
            <v>6.5434999999999999</v>
          </cell>
          <cell r="W204">
            <v>4.6500000000000004</v>
          </cell>
          <cell r="X204">
            <v>0</v>
          </cell>
          <cell r="Y204">
            <v>0</v>
          </cell>
          <cell r="Z204">
            <v>0</v>
          </cell>
          <cell r="AA204">
            <v>221.38</v>
          </cell>
          <cell r="AB204">
            <v>485.05</v>
          </cell>
          <cell r="AC204">
            <v>3.4863</v>
          </cell>
          <cell r="AD204">
            <v>0</v>
          </cell>
          <cell r="AE204">
            <v>243</v>
          </cell>
          <cell r="AF204">
            <v>471.01</v>
          </cell>
          <cell r="AG204">
            <v>4.9588999999999999</v>
          </cell>
          <cell r="AH204">
            <v>714.01</v>
          </cell>
          <cell r="AI204">
            <v>53</v>
          </cell>
          <cell r="AJ204">
            <v>287.13</v>
          </cell>
          <cell r="AK204">
            <v>204.25</v>
          </cell>
          <cell r="AL204">
            <v>245.05</v>
          </cell>
          <cell r="AM204">
            <v>4.8499999999999996</v>
          </cell>
          <cell r="AN204">
            <v>5.77</v>
          </cell>
          <cell r="AO204">
            <v>5.21</v>
          </cell>
          <cell r="AP204">
            <v>4.42</v>
          </cell>
          <cell r="AQ204">
            <v>5.0625</v>
          </cell>
        </row>
        <row r="205">
          <cell r="D205" t="str">
            <v>응용시스템공학부(사회기반공학)</v>
          </cell>
          <cell r="E205">
            <v>426</v>
          </cell>
          <cell r="F205">
            <v>6</v>
          </cell>
          <cell r="G205">
            <v>269.13</v>
          </cell>
          <cell r="H205">
            <v>242.38</v>
          </cell>
          <cell r="I205">
            <v>257.95999999999998</v>
          </cell>
          <cell r="J205">
            <v>4.33</v>
          </cell>
          <cell r="K205">
            <v>5.83</v>
          </cell>
          <cell r="L205">
            <v>4.33</v>
          </cell>
          <cell r="M205">
            <v>4.5</v>
          </cell>
          <cell r="N205">
            <v>107.83</v>
          </cell>
          <cell r="O205">
            <v>94.33</v>
          </cell>
          <cell r="P205">
            <v>107.5</v>
          </cell>
          <cell r="Q205">
            <v>52.25</v>
          </cell>
          <cell r="R205">
            <v>478.15</v>
          </cell>
          <cell r="S205">
            <v>463.19</v>
          </cell>
          <cell r="T205">
            <v>470.35</v>
          </cell>
          <cell r="U205">
            <v>4.2</v>
          </cell>
          <cell r="V205">
            <v>5.7229999999999999</v>
          </cell>
          <cell r="W205">
            <v>5</v>
          </cell>
          <cell r="X205">
            <v>0</v>
          </cell>
          <cell r="Y205">
            <v>0</v>
          </cell>
          <cell r="Z205">
            <v>0</v>
          </cell>
          <cell r="AA205">
            <v>242.38</v>
          </cell>
          <cell r="AB205">
            <v>476.49</v>
          </cell>
          <cell r="AC205">
            <v>4.3986000000000001</v>
          </cell>
          <cell r="AD205">
            <v>0</v>
          </cell>
          <cell r="AE205">
            <v>257.38</v>
          </cell>
          <cell r="AF205">
            <v>463.19</v>
          </cell>
          <cell r="AG205">
            <v>5.7229999999999999</v>
          </cell>
          <cell r="AH205">
            <v>720.57</v>
          </cell>
          <cell r="AI205">
            <v>6</v>
          </cell>
          <cell r="AJ205">
            <v>269.13</v>
          </cell>
          <cell r="AK205">
            <v>233.88</v>
          </cell>
          <cell r="AL205">
            <v>251.36</v>
          </cell>
          <cell r="AM205">
            <v>4.67</v>
          </cell>
          <cell r="AN205">
            <v>6</v>
          </cell>
          <cell r="AO205">
            <v>4.5</v>
          </cell>
          <cell r="AP205">
            <v>4.5</v>
          </cell>
          <cell r="AQ205">
            <v>4.9175000000000004</v>
          </cell>
        </row>
        <row r="206">
          <cell r="D206" t="str">
            <v>응용시스템공학부(산업전기공학)</v>
          </cell>
          <cell r="E206">
            <v>427</v>
          </cell>
          <cell r="F206">
            <v>7</v>
          </cell>
          <cell r="G206">
            <v>270.88</v>
          </cell>
          <cell r="H206">
            <v>251</v>
          </cell>
          <cell r="I206">
            <v>259.73</v>
          </cell>
          <cell r="J206">
            <v>5.29</v>
          </cell>
          <cell r="K206">
            <v>4.71</v>
          </cell>
          <cell r="L206">
            <v>4.8600000000000003</v>
          </cell>
          <cell r="M206">
            <v>4</v>
          </cell>
          <cell r="N206">
            <v>100.14</v>
          </cell>
          <cell r="O206">
            <v>101.43</v>
          </cell>
          <cell r="P206">
            <v>105.29</v>
          </cell>
          <cell r="Q206">
            <v>56.14</v>
          </cell>
          <cell r="R206">
            <v>486.03</v>
          </cell>
          <cell r="S206">
            <v>467.96</v>
          </cell>
          <cell r="T206">
            <v>475.42</v>
          </cell>
          <cell r="U206">
            <v>3.4729999999999999</v>
          </cell>
          <cell r="V206">
            <v>5.1337999999999999</v>
          </cell>
          <cell r="W206">
            <v>4.41</v>
          </cell>
          <cell r="X206">
            <v>0</v>
          </cell>
          <cell r="Y206">
            <v>0</v>
          </cell>
          <cell r="Z206">
            <v>0</v>
          </cell>
          <cell r="AA206">
            <v>254.25</v>
          </cell>
          <cell r="AB206">
            <v>471.25</v>
          </cell>
          <cell r="AC206">
            <v>4.9324000000000003</v>
          </cell>
          <cell r="AD206">
            <v>0</v>
          </cell>
          <cell r="AE206">
            <v>258.5</v>
          </cell>
          <cell r="AF206">
            <v>467.96</v>
          </cell>
          <cell r="AG206">
            <v>0</v>
          </cell>
          <cell r="AH206">
            <v>726.46</v>
          </cell>
          <cell r="AI206">
            <v>6</v>
          </cell>
          <cell r="AJ206">
            <v>260.63</v>
          </cell>
          <cell r="AK206">
            <v>246.75</v>
          </cell>
          <cell r="AL206">
            <v>253.02</v>
          </cell>
          <cell r="AM206">
            <v>4.67</v>
          </cell>
          <cell r="AN206">
            <v>5.83</v>
          </cell>
          <cell r="AO206">
            <v>4.5</v>
          </cell>
          <cell r="AP206">
            <v>4.58</v>
          </cell>
          <cell r="AQ206">
            <v>4.8949999999999996</v>
          </cell>
        </row>
        <row r="207">
          <cell r="D207" t="str">
            <v>응용시스템공학부(전자통신공학)</v>
          </cell>
          <cell r="E207">
            <v>428</v>
          </cell>
          <cell r="F207">
            <v>7</v>
          </cell>
          <cell r="G207">
            <v>270.63</v>
          </cell>
          <cell r="H207">
            <v>253</v>
          </cell>
          <cell r="I207">
            <v>260.75</v>
          </cell>
          <cell r="J207">
            <v>4.71</v>
          </cell>
          <cell r="K207">
            <v>4.8600000000000003</v>
          </cell>
          <cell r="L207">
            <v>4.71</v>
          </cell>
          <cell r="M207">
            <v>4.29</v>
          </cell>
          <cell r="N207">
            <v>105.29</v>
          </cell>
          <cell r="O207">
            <v>101.86</v>
          </cell>
          <cell r="P207">
            <v>104</v>
          </cell>
          <cell r="Q207">
            <v>54.07</v>
          </cell>
          <cell r="R207">
            <v>477.42</v>
          </cell>
          <cell r="S207">
            <v>465.17</v>
          </cell>
          <cell r="T207">
            <v>472.48</v>
          </cell>
          <cell r="U207">
            <v>4.3288000000000002</v>
          </cell>
          <cell r="V207">
            <v>5.5133000000000001</v>
          </cell>
          <cell r="W207">
            <v>4.8099999999999996</v>
          </cell>
          <cell r="X207">
            <v>0</v>
          </cell>
          <cell r="Y207">
            <v>0</v>
          </cell>
          <cell r="Z207">
            <v>0</v>
          </cell>
          <cell r="AA207">
            <v>253</v>
          </cell>
          <cell r="AB207">
            <v>474.76</v>
          </cell>
          <cell r="AC207">
            <v>4.58</v>
          </cell>
          <cell r="AD207">
            <v>0</v>
          </cell>
          <cell r="AE207">
            <v>256.38</v>
          </cell>
          <cell r="AF207">
            <v>473.59</v>
          </cell>
          <cell r="AG207">
            <v>4.7133000000000003</v>
          </cell>
          <cell r="AH207">
            <v>729.97</v>
          </cell>
          <cell r="AI207">
            <v>7</v>
          </cell>
          <cell r="AJ207">
            <v>260.25</v>
          </cell>
          <cell r="AK207">
            <v>251.13</v>
          </cell>
          <cell r="AL207">
            <v>256.27</v>
          </cell>
          <cell r="AM207">
            <v>5.29</v>
          </cell>
          <cell r="AN207">
            <v>5</v>
          </cell>
          <cell r="AO207">
            <v>4.8600000000000003</v>
          </cell>
          <cell r="AP207">
            <v>4.1399999999999997</v>
          </cell>
          <cell r="AQ207">
            <v>4.8224999999999998</v>
          </cell>
        </row>
        <row r="208">
          <cell r="D208" t="str">
            <v>응용시스템공학부(정보공학)</v>
          </cell>
          <cell r="E208">
            <v>429</v>
          </cell>
          <cell r="F208">
            <v>8</v>
          </cell>
          <cell r="G208">
            <v>279.5</v>
          </cell>
          <cell r="H208">
            <v>237.5</v>
          </cell>
          <cell r="I208">
            <v>263.33</v>
          </cell>
          <cell r="J208">
            <v>5.13</v>
          </cell>
          <cell r="K208">
            <v>4.63</v>
          </cell>
          <cell r="L208">
            <v>4.63</v>
          </cell>
          <cell r="M208">
            <v>3.31</v>
          </cell>
          <cell r="N208">
            <v>101.38</v>
          </cell>
          <cell r="O208">
            <v>104</v>
          </cell>
          <cell r="P208">
            <v>104.38</v>
          </cell>
          <cell r="Q208">
            <v>58.25</v>
          </cell>
          <cell r="R208">
            <v>484.71</v>
          </cell>
          <cell r="S208">
            <v>468.71</v>
          </cell>
          <cell r="T208">
            <v>480.24</v>
          </cell>
          <cell r="U208">
            <v>3.6164000000000001</v>
          </cell>
          <cell r="V208">
            <v>5.1818</v>
          </cell>
          <cell r="W208">
            <v>4.05</v>
          </cell>
          <cell r="X208">
            <v>0</v>
          </cell>
          <cell r="Y208">
            <v>0</v>
          </cell>
          <cell r="Z208">
            <v>0</v>
          </cell>
          <cell r="AA208">
            <v>237.5</v>
          </cell>
          <cell r="AB208">
            <v>484.71</v>
          </cell>
          <cell r="AC208">
            <v>3.625</v>
          </cell>
          <cell r="AD208">
            <v>0</v>
          </cell>
          <cell r="AE208">
            <v>259</v>
          </cell>
          <cell r="AF208">
            <v>468.71</v>
          </cell>
          <cell r="AG208">
            <v>5.1818</v>
          </cell>
          <cell r="AH208">
            <v>727.71</v>
          </cell>
          <cell r="AI208">
            <v>8</v>
          </cell>
          <cell r="AJ208">
            <v>269.5</v>
          </cell>
          <cell r="AK208">
            <v>240.88</v>
          </cell>
          <cell r="AL208">
            <v>254.21</v>
          </cell>
          <cell r="AM208">
            <v>5.13</v>
          </cell>
          <cell r="AN208">
            <v>4.63</v>
          </cell>
          <cell r="AO208">
            <v>5.13</v>
          </cell>
          <cell r="AP208">
            <v>3.81</v>
          </cell>
          <cell r="AQ208">
            <v>4.6749999999999998</v>
          </cell>
        </row>
        <row r="209">
          <cell r="D209" t="str">
            <v>기계시스템공학부</v>
          </cell>
          <cell r="E209">
            <v>430</v>
          </cell>
          <cell r="F209">
            <v>26</v>
          </cell>
          <cell r="G209">
            <v>283.25</v>
          </cell>
          <cell r="H209">
            <v>254</v>
          </cell>
          <cell r="I209">
            <v>266.56</v>
          </cell>
          <cell r="J209">
            <v>4.38</v>
          </cell>
          <cell r="K209">
            <v>4.92</v>
          </cell>
          <cell r="L209">
            <v>4.3499999999999996</v>
          </cell>
          <cell r="M209">
            <v>3.9</v>
          </cell>
          <cell r="N209">
            <v>107.65</v>
          </cell>
          <cell r="O209">
            <v>100.54</v>
          </cell>
          <cell r="P209">
            <v>109.27</v>
          </cell>
          <cell r="Q209">
            <v>55.88</v>
          </cell>
          <cell r="R209">
            <v>484.87</v>
          </cell>
          <cell r="S209">
            <v>463.91</v>
          </cell>
          <cell r="T209">
            <v>476.52</v>
          </cell>
          <cell r="U209">
            <v>3.5733000000000001</v>
          </cell>
          <cell r="V209">
            <v>5.7179000000000002</v>
          </cell>
          <cell r="W209">
            <v>4.41</v>
          </cell>
          <cell r="X209">
            <v>0</v>
          </cell>
          <cell r="Y209">
            <v>0</v>
          </cell>
          <cell r="Z209">
            <v>0</v>
          </cell>
          <cell r="AA209">
            <v>258.13</v>
          </cell>
          <cell r="AB209">
            <v>474.15</v>
          </cell>
          <cell r="AC209">
            <v>4.6447000000000003</v>
          </cell>
          <cell r="AD209">
            <v>0</v>
          </cell>
          <cell r="AE209">
            <v>256.63</v>
          </cell>
          <cell r="AF209">
            <v>479.34</v>
          </cell>
          <cell r="AG209">
            <v>4.1173000000000002</v>
          </cell>
          <cell r="AH209">
            <v>735.97</v>
          </cell>
          <cell r="AI209">
            <v>24</v>
          </cell>
          <cell r="AJ209">
            <v>279.88</v>
          </cell>
          <cell r="AK209">
            <v>241.75</v>
          </cell>
          <cell r="AL209">
            <v>260.33</v>
          </cell>
          <cell r="AM209">
            <v>4.67</v>
          </cell>
          <cell r="AN209">
            <v>5.08</v>
          </cell>
          <cell r="AO209">
            <v>4.5</v>
          </cell>
          <cell r="AP209">
            <v>4.0199999999999996</v>
          </cell>
          <cell r="AQ209">
            <v>4.5674999999999999</v>
          </cell>
        </row>
        <row r="210">
          <cell r="D210" t="str">
            <v>농업경제학과</v>
          </cell>
          <cell r="E210">
            <v>121</v>
          </cell>
          <cell r="F210">
            <v>11</v>
          </cell>
          <cell r="G210">
            <v>297.13</v>
          </cell>
          <cell r="H210">
            <v>278.63</v>
          </cell>
          <cell r="I210">
            <v>285.89</v>
          </cell>
          <cell r="J210">
            <v>3.55</v>
          </cell>
          <cell r="K210">
            <v>4.09</v>
          </cell>
          <cell r="L210">
            <v>3.55</v>
          </cell>
          <cell r="M210">
            <v>3.23</v>
          </cell>
          <cell r="N210">
            <v>115.18</v>
          </cell>
          <cell r="O210">
            <v>107.45</v>
          </cell>
          <cell r="P210">
            <v>117.27</v>
          </cell>
          <cell r="Q210">
            <v>59.18</v>
          </cell>
          <cell r="R210">
            <v>494.46</v>
          </cell>
          <cell r="S210">
            <v>469.03</v>
          </cell>
          <cell r="T210">
            <v>483.07</v>
          </cell>
          <cell r="U210">
            <v>2.1915</v>
          </cell>
          <cell r="V210">
            <v>5.1856999999999998</v>
          </cell>
          <cell r="W210">
            <v>3.68</v>
          </cell>
          <cell r="X210">
            <v>0</v>
          </cell>
          <cell r="Y210">
            <v>0</v>
          </cell>
          <cell r="Z210">
            <v>0</v>
          </cell>
          <cell r="AA210">
            <v>282.38</v>
          </cell>
          <cell r="AB210">
            <v>480.16</v>
          </cell>
          <cell r="AC210">
            <v>4.0671999999999997</v>
          </cell>
          <cell r="AD210">
            <v>0</v>
          </cell>
          <cell r="AE210">
            <v>284.25</v>
          </cell>
          <cell r="AF210">
            <v>478.37</v>
          </cell>
          <cell r="AG210">
            <v>4.2286000000000001</v>
          </cell>
          <cell r="AH210">
            <v>762.62</v>
          </cell>
          <cell r="AI210">
            <v>10</v>
          </cell>
          <cell r="AJ210">
            <v>286.63</v>
          </cell>
          <cell r="AK210">
            <v>274.63</v>
          </cell>
          <cell r="AL210">
            <v>282.04000000000002</v>
          </cell>
          <cell r="AM210">
            <v>3.7</v>
          </cell>
          <cell r="AN210">
            <v>3.9</v>
          </cell>
          <cell r="AO210">
            <v>4.0999999999999996</v>
          </cell>
          <cell r="AP210">
            <v>2.95</v>
          </cell>
          <cell r="AQ210">
            <v>3.6624999999999996</v>
          </cell>
        </row>
        <row r="211">
          <cell r="D211" t="str">
            <v>조경학과</v>
          </cell>
          <cell r="E211">
            <v>227</v>
          </cell>
          <cell r="F211">
            <v>9</v>
          </cell>
          <cell r="G211">
            <v>307.55</v>
          </cell>
          <cell r="H211">
            <v>283.58999999999997</v>
          </cell>
          <cell r="I211">
            <v>295.39</v>
          </cell>
          <cell r="J211">
            <v>4</v>
          </cell>
          <cell r="K211">
            <v>3.67</v>
          </cell>
          <cell r="L211">
            <v>4</v>
          </cell>
          <cell r="M211">
            <v>2.61</v>
          </cell>
          <cell r="N211">
            <v>112.56</v>
          </cell>
          <cell r="O211">
            <v>113.67</v>
          </cell>
          <cell r="P211">
            <v>112.67</v>
          </cell>
          <cell r="Q211">
            <v>61.72</v>
          </cell>
          <cell r="R211">
            <v>488.89</v>
          </cell>
          <cell r="S211">
            <v>466.64</v>
          </cell>
          <cell r="T211">
            <v>481.01</v>
          </cell>
          <cell r="U211">
            <v>3.0832999999999999</v>
          </cell>
          <cell r="V211">
            <v>5.3813000000000004</v>
          </cell>
          <cell r="W211">
            <v>3.96</v>
          </cell>
          <cell r="X211">
            <v>0</v>
          </cell>
          <cell r="Y211">
            <v>0</v>
          </cell>
          <cell r="Z211">
            <v>0</v>
          </cell>
          <cell r="AA211">
            <v>288.56</v>
          </cell>
          <cell r="AB211">
            <v>480.44</v>
          </cell>
          <cell r="AC211">
            <v>4.0278</v>
          </cell>
          <cell r="AD211">
            <v>0</v>
          </cell>
          <cell r="AE211">
            <v>283.58999999999997</v>
          </cell>
          <cell r="AF211">
            <v>485.85</v>
          </cell>
          <cell r="AG211">
            <v>3.4817</v>
          </cell>
          <cell r="AH211">
            <v>769.44</v>
          </cell>
          <cell r="AI211">
            <v>9</v>
          </cell>
          <cell r="AJ211">
            <v>305.38</v>
          </cell>
          <cell r="AK211">
            <v>266</v>
          </cell>
          <cell r="AL211">
            <v>283.77</v>
          </cell>
          <cell r="AM211">
            <v>3.56</v>
          </cell>
          <cell r="AN211">
            <v>3.78</v>
          </cell>
          <cell r="AO211">
            <v>4.4400000000000004</v>
          </cell>
          <cell r="AP211">
            <v>3.22</v>
          </cell>
          <cell r="AQ211">
            <v>3.7500000000000004</v>
          </cell>
        </row>
        <row r="212">
          <cell r="D212" t="str">
            <v>산림자원학과</v>
          </cell>
          <cell r="E212">
            <v>231</v>
          </cell>
          <cell r="F212">
            <v>13</v>
          </cell>
          <cell r="G212">
            <v>290.88</v>
          </cell>
          <cell r="H212">
            <v>269.88</v>
          </cell>
          <cell r="I212">
            <v>280.61</v>
          </cell>
          <cell r="J212">
            <v>4</v>
          </cell>
          <cell r="K212">
            <v>3.77</v>
          </cell>
          <cell r="L212">
            <v>4.3099999999999996</v>
          </cell>
          <cell r="M212">
            <v>3.58</v>
          </cell>
          <cell r="N212">
            <v>111.15</v>
          </cell>
          <cell r="O212">
            <v>112.85</v>
          </cell>
          <cell r="P212">
            <v>109.69</v>
          </cell>
          <cell r="Q212">
            <v>57.35</v>
          </cell>
          <cell r="R212">
            <v>485.66</v>
          </cell>
          <cell r="S212">
            <v>465.2</v>
          </cell>
          <cell r="T212">
            <v>476.53</v>
          </cell>
          <cell r="U212">
            <v>3.4205999999999999</v>
          </cell>
          <cell r="V212">
            <v>5.5339</v>
          </cell>
          <cell r="W212">
            <v>4.41</v>
          </cell>
          <cell r="X212">
            <v>0</v>
          </cell>
          <cell r="Y212">
            <v>0</v>
          </cell>
          <cell r="Z212">
            <v>0</v>
          </cell>
          <cell r="AA212">
            <v>276.88</v>
          </cell>
          <cell r="AB212">
            <v>472.48</v>
          </cell>
          <cell r="AC212">
            <v>4.8852000000000002</v>
          </cell>
          <cell r="AD212">
            <v>0</v>
          </cell>
          <cell r="AE212">
            <v>277.8</v>
          </cell>
          <cell r="AF212">
            <v>472.62</v>
          </cell>
          <cell r="AG212">
            <v>4.7857000000000003</v>
          </cell>
          <cell r="AH212">
            <v>750.42</v>
          </cell>
          <cell r="AI212">
            <v>13</v>
          </cell>
          <cell r="AJ212">
            <v>290.63</v>
          </cell>
          <cell r="AK212">
            <v>269.63</v>
          </cell>
          <cell r="AL212">
            <v>276.83</v>
          </cell>
          <cell r="AM212">
            <v>4.1500000000000004</v>
          </cell>
          <cell r="AN212">
            <v>4.3099999999999996</v>
          </cell>
          <cell r="AO212">
            <v>4.2300000000000004</v>
          </cell>
          <cell r="AP212">
            <v>3.42</v>
          </cell>
          <cell r="AQ212">
            <v>4.0274999999999999</v>
          </cell>
        </row>
        <row r="213">
          <cell r="D213" t="str">
            <v>목재응용과학과</v>
          </cell>
          <cell r="E213">
            <v>232</v>
          </cell>
          <cell r="F213">
            <v>11</v>
          </cell>
          <cell r="G213">
            <v>298.5</v>
          </cell>
          <cell r="H213">
            <v>262.88</v>
          </cell>
          <cell r="I213">
            <v>275.39999999999998</v>
          </cell>
          <cell r="J213">
            <v>4.09</v>
          </cell>
          <cell r="K213">
            <v>4.18</v>
          </cell>
          <cell r="L213">
            <v>4.18</v>
          </cell>
          <cell r="M213">
            <v>3.55</v>
          </cell>
          <cell r="N213">
            <v>108</v>
          </cell>
          <cell r="O213">
            <v>107.36</v>
          </cell>
          <cell r="P213">
            <v>109.64</v>
          </cell>
          <cell r="Q213">
            <v>57</v>
          </cell>
          <cell r="R213">
            <v>484.4</v>
          </cell>
          <cell r="S213">
            <v>462.95</v>
          </cell>
          <cell r="T213">
            <v>475.03</v>
          </cell>
          <cell r="U213">
            <v>3.6452</v>
          </cell>
          <cell r="V213">
            <v>5.8202999999999996</v>
          </cell>
          <cell r="W213">
            <v>4.58</v>
          </cell>
          <cell r="X213">
            <v>0</v>
          </cell>
          <cell r="Y213">
            <v>0</v>
          </cell>
          <cell r="Z213">
            <v>0</v>
          </cell>
          <cell r="AA213">
            <v>274.63</v>
          </cell>
          <cell r="AB213">
            <v>462.95</v>
          </cell>
          <cell r="AC213">
            <v>5.8202999999999996</v>
          </cell>
          <cell r="AD213">
            <v>0</v>
          </cell>
          <cell r="AE213">
            <v>266.25</v>
          </cell>
          <cell r="AF213">
            <v>475.62</v>
          </cell>
          <cell r="AG213">
            <v>4.5316999999999998</v>
          </cell>
          <cell r="AH213">
            <v>741.87</v>
          </cell>
          <cell r="AI213">
            <v>10</v>
          </cell>
          <cell r="AJ213">
            <v>298.5</v>
          </cell>
          <cell r="AK213">
            <v>262.88</v>
          </cell>
          <cell r="AL213">
            <v>273.27</v>
          </cell>
          <cell r="AM213">
            <v>4.2</v>
          </cell>
          <cell r="AN213">
            <v>3.9</v>
          </cell>
          <cell r="AO213">
            <v>4.3</v>
          </cell>
          <cell r="AP213">
            <v>3.9</v>
          </cell>
          <cell r="AQ213">
            <v>4.0749999999999993</v>
          </cell>
        </row>
        <row r="214">
          <cell r="D214" t="str">
            <v>농생물학과</v>
          </cell>
          <cell r="E214">
            <v>233</v>
          </cell>
          <cell r="F214">
            <v>11</v>
          </cell>
          <cell r="G214">
            <v>283.75</v>
          </cell>
          <cell r="H214">
            <v>246.88</v>
          </cell>
          <cell r="I214">
            <v>261.8</v>
          </cell>
          <cell r="J214">
            <v>4.45</v>
          </cell>
          <cell r="K214">
            <v>5.55</v>
          </cell>
          <cell r="L214">
            <v>4.09</v>
          </cell>
          <cell r="M214">
            <v>4.18</v>
          </cell>
          <cell r="N214">
            <v>107.36</v>
          </cell>
          <cell r="O214">
            <v>95</v>
          </cell>
          <cell r="P214">
            <v>110.64</v>
          </cell>
          <cell r="Q214">
            <v>53.95</v>
          </cell>
          <cell r="R214">
            <v>491.4</v>
          </cell>
          <cell r="S214">
            <v>467.01</v>
          </cell>
          <cell r="T214">
            <v>477.29</v>
          </cell>
          <cell r="U214">
            <v>2.7105000000000001</v>
          </cell>
          <cell r="V214">
            <v>5.3108000000000004</v>
          </cell>
          <cell r="W214">
            <v>4.32</v>
          </cell>
          <cell r="X214">
            <v>0</v>
          </cell>
          <cell r="Y214">
            <v>0</v>
          </cell>
          <cell r="Z214">
            <v>0</v>
          </cell>
          <cell r="AA214">
            <v>246.88</v>
          </cell>
          <cell r="AB214">
            <v>469.55</v>
          </cell>
          <cell r="AC214">
            <v>5.1117999999999997</v>
          </cell>
          <cell r="AD214">
            <v>0</v>
          </cell>
          <cell r="AE214">
            <v>262</v>
          </cell>
          <cell r="AF214">
            <v>467.01</v>
          </cell>
          <cell r="AG214">
            <v>5.3108000000000004</v>
          </cell>
          <cell r="AH214">
            <v>729.01</v>
          </cell>
          <cell r="AI214">
            <v>11</v>
          </cell>
          <cell r="AJ214">
            <v>266.88</v>
          </cell>
          <cell r="AK214">
            <v>235.75</v>
          </cell>
          <cell r="AL214">
            <v>251.76</v>
          </cell>
          <cell r="AM214">
            <v>4.45</v>
          </cell>
          <cell r="AN214">
            <v>6.09</v>
          </cell>
          <cell r="AO214">
            <v>4.7300000000000004</v>
          </cell>
          <cell r="AP214">
            <v>4.05</v>
          </cell>
          <cell r="AQ214">
            <v>4.83</v>
          </cell>
        </row>
        <row r="215">
          <cell r="D215" t="str">
            <v>작물생명과학과</v>
          </cell>
          <cell r="E215">
            <v>234</v>
          </cell>
          <cell r="F215">
            <v>12</v>
          </cell>
          <cell r="G215">
            <v>265.88</v>
          </cell>
          <cell r="H215">
            <v>238.5</v>
          </cell>
          <cell r="I215">
            <v>249.66</v>
          </cell>
          <cell r="J215">
            <v>5.25</v>
          </cell>
          <cell r="K215">
            <v>5.67</v>
          </cell>
          <cell r="L215">
            <v>4.58</v>
          </cell>
          <cell r="M215">
            <v>4.46</v>
          </cell>
          <cell r="N215">
            <v>100.25</v>
          </cell>
          <cell r="O215">
            <v>92.42</v>
          </cell>
          <cell r="P215">
            <v>104.67</v>
          </cell>
          <cell r="Q215">
            <v>52.25</v>
          </cell>
          <cell r="R215">
            <v>485.5</v>
          </cell>
          <cell r="S215">
            <v>459.76</v>
          </cell>
          <cell r="T215">
            <v>472.7</v>
          </cell>
          <cell r="U215">
            <v>3.5855000000000001</v>
          </cell>
          <cell r="V215">
            <v>6.0332999999999997</v>
          </cell>
          <cell r="W215">
            <v>4.8</v>
          </cell>
          <cell r="X215">
            <v>0</v>
          </cell>
          <cell r="Y215">
            <v>0</v>
          </cell>
          <cell r="Z215">
            <v>0</v>
          </cell>
          <cell r="AA215">
            <v>251.13</v>
          </cell>
          <cell r="AB215">
            <v>463.61</v>
          </cell>
          <cell r="AC215">
            <v>5.6757</v>
          </cell>
          <cell r="AD215">
            <v>0</v>
          </cell>
          <cell r="AE215">
            <v>257.38</v>
          </cell>
          <cell r="AF215">
            <v>459.76</v>
          </cell>
          <cell r="AG215">
            <v>6.0332999999999997</v>
          </cell>
          <cell r="AH215">
            <v>717.14</v>
          </cell>
          <cell r="AI215">
            <v>9</v>
          </cell>
          <cell r="AJ215">
            <v>265.88</v>
          </cell>
          <cell r="AK215">
            <v>229.13</v>
          </cell>
          <cell r="AL215">
            <v>247.66</v>
          </cell>
          <cell r="AM215">
            <v>5.33</v>
          </cell>
          <cell r="AN215">
            <v>5.89</v>
          </cell>
          <cell r="AO215">
            <v>4.5599999999999996</v>
          </cell>
          <cell r="AP215">
            <v>4.3899999999999997</v>
          </cell>
          <cell r="AQ215">
            <v>5.0424999999999995</v>
          </cell>
        </row>
        <row r="216">
          <cell r="D216" t="str">
            <v>원예학과</v>
          </cell>
          <cell r="E216">
            <v>235</v>
          </cell>
          <cell r="F216">
            <v>12</v>
          </cell>
          <cell r="G216">
            <v>264.63</v>
          </cell>
          <cell r="H216">
            <v>237.38</v>
          </cell>
          <cell r="I216">
            <v>247.46</v>
          </cell>
          <cell r="J216">
            <v>4.67</v>
          </cell>
          <cell r="K216">
            <v>6.33</v>
          </cell>
          <cell r="L216">
            <v>4.42</v>
          </cell>
          <cell r="M216">
            <v>4.58</v>
          </cell>
          <cell r="N216">
            <v>105.08</v>
          </cell>
          <cell r="O216">
            <v>85.25</v>
          </cell>
          <cell r="P216">
            <v>105.83</v>
          </cell>
          <cell r="Q216">
            <v>51.29</v>
          </cell>
          <cell r="R216">
            <v>486.37</v>
          </cell>
          <cell r="S216">
            <v>463.38</v>
          </cell>
          <cell r="T216">
            <v>471.08</v>
          </cell>
          <cell r="U216">
            <v>3.4384000000000001</v>
          </cell>
          <cell r="V216">
            <v>5.6882999999999999</v>
          </cell>
          <cell r="W216">
            <v>4.95</v>
          </cell>
          <cell r="X216">
            <v>0</v>
          </cell>
          <cell r="Y216">
            <v>0</v>
          </cell>
          <cell r="Z216">
            <v>0</v>
          </cell>
          <cell r="AA216">
            <v>245.88</v>
          </cell>
          <cell r="AB216">
            <v>463.97</v>
          </cell>
          <cell r="AC216">
            <v>5.625</v>
          </cell>
          <cell r="AD216">
            <v>0</v>
          </cell>
          <cell r="AE216">
            <v>241.38</v>
          </cell>
          <cell r="AF216">
            <v>468.92</v>
          </cell>
          <cell r="AG216">
            <v>5.1764999999999999</v>
          </cell>
          <cell r="AH216">
            <v>710.3</v>
          </cell>
          <cell r="AI216">
            <v>11</v>
          </cell>
          <cell r="AJ216">
            <v>264.5</v>
          </cell>
          <cell r="AK216">
            <v>237.5</v>
          </cell>
          <cell r="AL216">
            <v>244.07</v>
          </cell>
          <cell r="AM216">
            <v>4.45</v>
          </cell>
          <cell r="AN216">
            <v>6.09</v>
          </cell>
          <cell r="AO216">
            <v>5.09</v>
          </cell>
          <cell r="AP216">
            <v>4.7699999999999996</v>
          </cell>
          <cell r="AQ216">
            <v>5.0999999999999996</v>
          </cell>
        </row>
        <row r="217">
          <cell r="D217" t="str">
            <v>지역건설공학과</v>
          </cell>
          <cell r="E217">
            <v>236</v>
          </cell>
          <cell r="F217">
            <v>14</v>
          </cell>
          <cell r="G217">
            <v>261</v>
          </cell>
          <cell r="H217">
            <v>237.13</v>
          </cell>
          <cell r="I217">
            <v>249.76</v>
          </cell>
          <cell r="J217">
            <v>5.21</v>
          </cell>
          <cell r="K217">
            <v>5.64</v>
          </cell>
          <cell r="L217">
            <v>4.93</v>
          </cell>
          <cell r="M217">
            <v>4.04</v>
          </cell>
          <cell r="N217">
            <v>99.36</v>
          </cell>
          <cell r="O217">
            <v>92.86</v>
          </cell>
          <cell r="P217">
            <v>102.07</v>
          </cell>
          <cell r="Q217">
            <v>55.29</v>
          </cell>
          <cell r="R217">
            <v>482.92</v>
          </cell>
          <cell r="S217">
            <v>464.36</v>
          </cell>
          <cell r="T217">
            <v>472.94</v>
          </cell>
          <cell r="U217">
            <v>3.7122999999999999</v>
          </cell>
          <cell r="V217">
            <v>5.6532999999999998</v>
          </cell>
          <cell r="W217">
            <v>4.78</v>
          </cell>
          <cell r="X217">
            <v>0</v>
          </cell>
          <cell r="Y217">
            <v>0</v>
          </cell>
          <cell r="Z217">
            <v>0</v>
          </cell>
          <cell r="AA217">
            <v>250.38</v>
          </cell>
          <cell r="AB217">
            <v>464.36</v>
          </cell>
          <cell r="AC217">
            <v>5.6532999999999998</v>
          </cell>
          <cell r="AD217">
            <v>0</v>
          </cell>
          <cell r="AE217">
            <v>241.63</v>
          </cell>
          <cell r="AF217">
            <v>477.44</v>
          </cell>
          <cell r="AG217">
            <v>4.3406000000000002</v>
          </cell>
          <cell r="AH217">
            <v>719.07</v>
          </cell>
          <cell r="AI217">
            <v>12</v>
          </cell>
          <cell r="AJ217">
            <v>256.63</v>
          </cell>
          <cell r="AK217">
            <v>237.13</v>
          </cell>
          <cell r="AL217">
            <v>247.64</v>
          </cell>
          <cell r="AM217">
            <v>5.33</v>
          </cell>
          <cell r="AN217">
            <v>5.58</v>
          </cell>
          <cell r="AO217">
            <v>5.08</v>
          </cell>
          <cell r="AP217">
            <v>4.13</v>
          </cell>
          <cell r="AQ217">
            <v>5.03</v>
          </cell>
        </row>
        <row r="218">
          <cell r="D218" t="str">
            <v>생물산업기계공학과</v>
          </cell>
          <cell r="E218">
            <v>237</v>
          </cell>
          <cell r="F218">
            <v>13</v>
          </cell>
          <cell r="G218">
            <v>280.38</v>
          </cell>
          <cell r="H218">
            <v>231.5</v>
          </cell>
          <cell r="I218">
            <v>249.51</v>
          </cell>
          <cell r="J218">
            <v>4.8499999999999996</v>
          </cell>
          <cell r="K218">
            <v>5.85</v>
          </cell>
          <cell r="L218">
            <v>4.8499999999999996</v>
          </cell>
          <cell r="M218">
            <v>4.46</v>
          </cell>
          <cell r="N218">
            <v>102.08</v>
          </cell>
          <cell r="O218">
            <v>92.23</v>
          </cell>
          <cell r="P218">
            <v>102.85</v>
          </cell>
          <cell r="Q218">
            <v>52.54</v>
          </cell>
          <cell r="R218">
            <v>486.31</v>
          </cell>
          <cell r="S218">
            <v>461.73</v>
          </cell>
          <cell r="T218">
            <v>474.44</v>
          </cell>
          <cell r="U218">
            <v>3.4392</v>
          </cell>
          <cell r="V218">
            <v>5.9013999999999998</v>
          </cell>
          <cell r="W218">
            <v>4.62</v>
          </cell>
          <cell r="X218">
            <v>0</v>
          </cell>
          <cell r="Y218">
            <v>0</v>
          </cell>
          <cell r="Z218">
            <v>0</v>
          </cell>
          <cell r="AA218">
            <v>231.5</v>
          </cell>
          <cell r="AB218">
            <v>486.31</v>
          </cell>
          <cell r="AC218">
            <v>3.4392</v>
          </cell>
          <cell r="AD218">
            <v>0</v>
          </cell>
          <cell r="AE218">
            <v>247.5</v>
          </cell>
          <cell r="AF218">
            <v>471.51</v>
          </cell>
          <cell r="AG218">
            <v>4.9177999999999997</v>
          </cell>
          <cell r="AH218">
            <v>719.01</v>
          </cell>
          <cell r="AI218">
            <v>12</v>
          </cell>
          <cell r="AJ218">
            <v>255.13</v>
          </cell>
          <cell r="AK218">
            <v>231.5</v>
          </cell>
          <cell r="AL218">
            <v>240.48</v>
          </cell>
          <cell r="AM218">
            <v>5.42</v>
          </cell>
          <cell r="AN218">
            <v>6</v>
          </cell>
          <cell r="AO218">
            <v>5.42</v>
          </cell>
          <cell r="AP218">
            <v>4.63</v>
          </cell>
          <cell r="AQ218">
            <v>5.3674999999999997</v>
          </cell>
        </row>
        <row r="219">
          <cell r="D219" t="str">
            <v>생물환경학과</v>
          </cell>
          <cell r="E219">
            <v>238</v>
          </cell>
          <cell r="F219">
            <v>14</v>
          </cell>
          <cell r="G219">
            <v>287.76</v>
          </cell>
          <cell r="H219">
            <v>271</v>
          </cell>
          <cell r="I219">
            <v>279.77999999999997</v>
          </cell>
          <cell r="J219">
            <v>3.71</v>
          </cell>
          <cell r="K219">
            <v>4.79</v>
          </cell>
          <cell r="L219">
            <v>3.93</v>
          </cell>
          <cell r="M219">
            <v>3.57</v>
          </cell>
          <cell r="N219">
            <v>113.71</v>
          </cell>
          <cell r="O219">
            <v>102.57</v>
          </cell>
          <cell r="P219">
            <v>111.5</v>
          </cell>
          <cell r="Q219">
            <v>57.18</v>
          </cell>
          <cell r="R219">
            <v>491.45</v>
          </cell>
          <cell r="S219">
            <v>469.1</v>
          </cell>
          <cell r="T219">
            <v>475.53</v>
          </cell>
          <cell r="U219">
            <v>2.7397</v>
          </cell>
          <cell r="V219">
            <v>5.1578999999999997</v>
          </cell>
          <cell r="W219">
            <v>4.5</v>
          </cell>
          <cell r="X219">
            <v>0</v>
          </cell>
          <cell r="Y219">
            <v>0</v>
          </cell>
          <cell r="Z219">
            <v>0</v>
          </cell>
          <cell r="AA219">
            <v>274.13</v>
          </cell>
          <cell r="AB219">
            <v>469.1</v>
          </cell>
          <cell r="AC219">
            <v>5.1578999999999997</v>
          </cell>
          <cell r="AD219">
            <v>0</v>
          </cell>
          <cell r="AE219">
            <v>275.20999999999998</v>
          </cell>
          <cell r="AF219">
            <v>469.89</v>
          </cell>
          <cell r="AG219">
            <v>5.0909000000000004</v>
          </cell>
          <cell r="AH219">
            <v>745.1</v>
          </cell>
          <cell r="AI219">
            <v>12</v>
          </cell>
          <cell r="AJ219">
            <v>285.63</v>
          </cell>
          <cell r="AK219">
            <v>253.75</v>
          </cell>
          <cell r="AL219">
            <v>265.77</v>
          </cell>
          <cell r="AM219">
            <v>4.58</v>
          </cell>
          <cell r="AN219">
            <v>4.5</v>
          </cell>
          <cell r="AO219">
            <v>4.67</v>
          </cell>
          <cell r="AP219">
            <v>3.75</v>
          </cell>
          <cell r="AQ219">
            <v>4.375</v>
          </cell>
        </row>
        <row r="220">
          <cell r="D220" t="str">
            <v>식품공학과</v>
          </cell>
          <cell r="E220">
            <v>239</v>
          </cell>
          <cell r="F220">
            <v>15</v>
          </cell>
          <cell r="G220">
            <v>298.45</v>
          </cell>
          <cell r="H220">
            <v>268.81</v>
          </cell>
          <cell r="I220">
            <v>284.88</v>
          </cell>
          <cell r="J220">
            <v>3.93</v>
          </cell>
          <cell r="K220">
            <v>3.47</v>
          </cell>
          <cell r="L220">
            <v>4.2699999999999996</v>
          </cell>
          <cell r="M220">
            <v>3.77</v>
          </cell>
          <cell r="N220">
            <v>112.4</v>
          </cell>
          <cell r="O220">
            <v>115.27</v>
          </cell>
          <cell r="P220">
            <v>109.6</v>
          </cell>
          <cell r="Q220">
            <v>55.97</v>
          </cell>
          <cell r="R220">
            <v>489.41</v>
          </cell>
          <cell r="S220">
            <v>469.72</v>
          </cell>
          <cell r="T220">
            <v>478.47</v>
          </cell>
          <cell r="U220">
            <v>2.9779</v>
          </cell>
          <cell r="V220">
            <v>5.0789</v>
          </cell>
          <cell r="W220">
            <v>4.22</v>
          </cell>
          <cell r="X220">
            <v>0</v>
          </cell>
          <cell r="Y220">
            <v>0</v>
          </cell>
          <cell r="Z220">
            <v>0</v>
          </cell>
          <cell r="AA220">
            <v>284.93</v>
          </cell>
          <cell r="AB220">
            <v>469.72</v>
          </cell>
          <cell r="AC220">
            <v>5.0789</v>
          </cell>
          <cell r="AD220">
            <v>0</v>
          </cell>
          <cell r="AE220">
            <v>283.13</v>
          </cell>
          <cell r="AF220">
            <v>472.99</v>
          </cell>
          <cell r="AG220">
            <v>4.7705000000000002</v>
          </cell>
          <cell r="AH220">
            <v>756.12</v>
          </cell>
          <cell r="AI220">
            <v>15</v>
          </cell>
          <cell r="AJ220">
            <v>292.99</v>
          </cell>
          <cell r="AK220">
            <v>270.66000000000003</v>
          </cell>
          <cell r="AL220">
            <v>278.95999999999998</v>
          </cell>
          <cell r="AM220">
            <v>4.2699999999999996</v>
          </cell>
          <cell r="AN220">
            <v>3.8</v>
          </cell>
          <cell r="AO220">
            <v>4.33</v>
          </cell>
          <cell r="AP220">
            <v>3.73</v>
          </cell>
          <cell r="AQ220">
            <v>4.0324999999999998</v>
          </cell>
        </row>
        <row r="221">
          <cell r="D221" t="str">
            <v>동물자원과학부(동물소재공학)</v>
          </cell>
          <cell r="E221">
            <v>240</v>
          </cell>
          <cell r="F221">
            <v>13</v>
          </cell>
          <cell r="G221">
            <v>277.5</v>
          </cell>
          <cell r="H221">
            <v>251.63</v>
          </cell>
          <cell r="I221">
            <v>265.66000000000003</v>
          </cell>
          <cell r="J221">
            <v>5.15</v>
          </cell>
          <cell r="K221">
            <v>4.3099999999999996</v>
          </cell>
          <cell r="L221">
            <v>4.62</v>
          </cell>
          <cell r="M221">
            <v>3.81</v>
          </cell>
          <cell r="N221">
            <v>99.92</v>
          </cell>
          <cell r="O221">
            <v>107.46</v>
          </cell>
          <cell r="P221">
            <v>106.38</v>
          </cell>
          <cell r="Q221">
            <v>55.65</v>
          </cell>
          <cell r="R221">
            <v>487.21</v>
          </cell>
          <cell r="S221">
            <v>459.62</v>
          </cell>
          <cell r="T221">
            <v>475.79</v>
          </cell>
          <cell r="U221">
            <v>3.3683999999999998</v>
          </cell>
          <cell r="V221">
            <v>6.1723999999999997</v>
          </cell>
          <cell r="W221">
            <v>4.49</v>
          </cell>
          <cell r="X221">
            <v>0</v>
          </cell>
          <cell r="Y221">
            <v>0</v>
          </cell>
          <cell r="Z221">
            <v>0</v>
          </cell>
          <cell r="AA221">
            <v>259.83</v>
          </cell>
          <cell r="AB221">
            <v>473.07</v>
          </cell>
          <cell r="AC221">
            <v>4.7691999999999997</v>
          </cell>
          <cell r="AD221">
            <v>0</v>
          </cell>
          <cell r="AE221">
            <v>277.5</v>
          </cell>
          <cell r="AF221">
            <v>459.62</v>
          </cell>
          <cell r="AG221">
            <v>6.1723999999999997</v>
          </cell>
          <cell r="AH221">
            <v>737.12</v>
          </cell>
          <cell r="AI221">
            <v>13</v>
          </cell>
          <cell r="AJ221">
            <v>275</v>
          </cell>
          <cell r="AK221">
            <v>251.63</v>
          </cell>
          <cell r="AL221">
            <v>260.05</v>
          </cell>
          <cell r="AM221">
            <v>5.15</v>
          </cell>
          <cell r="AN221">
            <v>4.6900000000000004</v>
          </cell>
          <cell r="AO221">
            <v>4.7699999999999996</v>
          </cell>
          <cell r="AP221">
            <v>4.2699999999999996</v>
          </cell>
          <cell r="AQ221">
            <v>4.72</v>
          </cell>
        </row>
        <row r="222">
          <cell r="D222" t="str">
            <v>동물자원과학부(동물생명공학)</v>
          </cell>
          <cell r="E222">
            <v>241</v>
          </cell>
          <cell r="F222">
            <v>13</v>
          </cell>
          <cell r="G222">
            <v>302.75</v>
          </cell>
          <cell r="H222">
            <v>265.33999999999997</v>
          </cell>
          <cell r="I222">
            <v>276.37</v>
          </cell>
          <cell r="J222">
            <v>3.92</v>
          </cell>
          <cell r="K222">
            <v>4.08</v>
          </cell>
          <cell r="L222">
            <v>4.2300000000000004</v>
          </cell>
          <cell r="M222">
            <v>3.27</v>
          </cell>
          <cell r="N222">
            <v>111</v>
          </cell>
          <cell r="O222">
            <v>107.38</v>
          </cell>
          <cell r="P222">
            <v>106.77</v>
          </cell>
          <cell r="Q222">
            <v>59</v>
          </cell>
          <cell r="R222">
            <v>484.65</v>
          </cell>
          <cell r="S222">
            <v>466.51</v>
          </cell>
          <cell r="T222">
            <v>475.76</v>
          </cell>
          <cell r="U222">
            <v>3.6284000000000001</v>
          </cell>
          <cell r="V222">
            <v>5.4273999999999996</v>
          </cell>
          <cell r="W222">
            <v>4.51</v>
          </cell>
          <cell r="X222">
            <v>0</v>
          </cell>
          <cell r="Y222">
            <v>0</v>
          </cell>
          <cell r="Z222">
            <v>0</v>
          </cell>
          <cell r="AA222">
            <v>265.33999999999997</v>
          </cell>
          <cell r="AB222">
            <v>478.97</v>
          </cell>
          <cell r="AC222">
            <v>4.1753</v>
          </cell>
          <cell r="AD222">
            <v>0</v>
          </cell>
          <cell r="AE222">
            <v>274.48</v>
          </cell>
          <cell r="AF222">
            <v>472.55</v>
          </cell>
          <cell r="AG222">
            <v>4.8291000000000004</v>
          </cell>
          <cell r="AH222">
            <v>747.03</v>
          </cell>
          <cell r="AI222">
            <v>13</v>
          </cell>
          <cell r="AJ222">
            <v>302.75</v>
          </cell>
          <cell r="AK222">
            <v>263.38</v>
          </cell>
          <cell r="AL222">
            <v>273.37</v>
          </cell>
          <cell r="AM222">
            <v>3.92</v>
          </cell>
          <cell r="AN222">
            <v>4.38</v>
          </cell>
          <cell r="AO222">
            <v>4.2300000000000004</v>
          </cell>
          <cell r="AP222">
            <v>3.46</v>
          </cell>
          <cell r="AQ222">
            <v>3.9975000000000005</v>
          </cell>
        </row>
        <row r="223">
          <cell r="D223" t="str">
            <v>국어교육과</v>
          </cell>
          <cell r="E223">
            <v>141</v>
          </cell>
          <cell r="F223">
            <v>7</v>
          </cell>
          <cell r="G223">
            <v>317.88</v>
          </cell>
          <cell r="H223">
            <v>303.13</v>
          </cell>
          <cell r="I223">
            <v>312.31</v>
          </cell>
          <cell r="J223">
            <v>2</v>
          </cell>
          <cell r="K223">
            <v>3</v>
          </cell>
          <cell r="L223">
            <v>2.57</v>
          </cell>
          <cell r="M223">
            <v>2.14</v>
          </cell>
          <cell r="N223">
            <v>127.86</v>
          </cell>
          <cell r="O223">
            <v>122.29</v>
          </cell>
          <cell r="P223">
            <v>122.57</v>
          </cell>
          <cell r="Q223">
            <v>64.069999999999993</v>
          </cell>
          <cell r="R223">
            <v>495.88</v>
          </cell>
          <cell r="S223">
            <v>486.56</v>
          </cell>
          <cell r="T223">
            <v>492.02</v>
          </cell>
          <cell r="U223">
            <v>1.913</v>
          </cell>
          <cell r="V223">
            <v>3.3662000000000001</v>
          </cell>
          <cell r="W223">
            <v>2.61</v>
          </cell>
          <cell r="X223">
            <v>0</v>
          </cell>
          <cell r="Y223">
            <v>0</v>
          </cell>
          <cell r="Z223">
            <v>0</v>
          </cell>
          <cell r="AA223">
            <v>303.13</v>
          </cell>
          <cell r="AB223">
            <v>486.56</v>
          </cell>
          <cell r="AC223">
            <v>3.3662000000000001</v>
          </cell>
          <cell r="AD223">
            <v>0</v>
          </cell>
          <cell r="AE223">
            <v>311.5</v>
          </cell>
          <cell r="AF223">
            <v>490.97</v>
          </cell>
          <cell r="AG223">
            <v>2.8542000000000001</v>
          </cell>
          <cell r="AH223">
            <v>802.47</v>
          </cell>
          <cell r="AI223">
            <v>6</v>
          </cell>
          <cell r="AJ223">
            <v>317.88</v>
          </cell>
          <cell r="AK223">
            <v>303.13</v>
          </cell>
          <cell r="AL223">
            <v>310.92</v>
          </cell>
          <cell r="AM223">
            <v>2.17</v>
          </cell>
          <cell r="AN223">
            <v>2.83</v>
          </cell>
          <cell r="AO223">
            <v>2.67</v>
          </cell>
          <cell r="AP223">
            <v>2.33</v>
          </cell>
          <cell r="AQ223">
            <v>2.5</v>
          </cell>
        </row>
        <row r="224">
          <cell r="D224" t="str">
            <v>독어교육과</v>
          </cell>
          <cell r="E224">
            <v>142</v>
          </cell>
          <cell r="F224">
            <v>4</v>
          </cell>
          <cell r="G224">
            <v>298.75</v>
          </cell>
          <cell r="H224">
            <v>253</v>
          </cell>
          <cell r="I224">
            <v>282.69</v>
          </cell>
          <cell r="J224">
            <v>4</v>
          </cell>
          <cell r="K224">
            <v>4.5</v>
          </cell>
          <cell r="L224">
            <v>3.25</v>
          </cell>
          <cell r="M224">
            <v>2.63</v>
          </cell>
          <cell r="N224">
            <v>109.75</v>
          </cell>
          <cell r="O224">
            <v>104.75</v>
          </cell>
          <cell r="P224">
            <v>118.5</v>
          </cell>
          <cell r="Q224">
            <v>61.38</v>
          </cell>
          <cell r="R224">
            <v>494.42</v>
          </cell>
          <cell r="S224">
            <v>472.85</v>
          </cell>
          <cell r="T224">
            <v>482.95</v>
          </cell>
          <cell r="U224">
            <v>2.169</v>
          </cell>
          <cell r="V224">
            <v>4.806</v>
          </cell>
          <cell r="W224">
            <v>3.66</v>
          </cell>
          <cell r="X224">
            <v>0</v>
          </cell>
          <cell r="Y224">
            <v>0</v>
          </cell>
          <cell r="Z224">
            <v>0</v>
          </cell>
          <cell r="AA224">
            <v>253</v>
          </cell>
          <cell r="AB224">
            <v>494.42</v>
          </cell>
          <cell r="AC224">
            <v>2.169</v>
          </cell>
          <cell r="AD224">
            <v>0</v>
          </cell>
          <cell r="AE224">
            <v>253</v>
          </cell>
          <cell r="AF224">
            <v>494.42</v>
          </cell>
          <cell r="AG224">
            <v>2.169</v>
          </cell>
          <cell r="AH224">
            <v>747.42</v>
          </cell>
          <cell r="AI224">
            <v>4</v>
          </cell>
          <cell r="AJ224">
            <v>298.13</v>
          </cell>
          <cell r="AK224">
            <v>253</v>
          </cell>
          <cell r="AL224">
            <v>274.91000000000003</v>
          </cell>
          <cell r="AM224">
            <v>4.75</v>
          </cell>
          <cell r="AN224">
            <v>4.5</v>
          </cell>
          <cell r="AO224">
            <v>3.5</v>
          </cell>
          <cell r="AP224">
            <v>3.13</v>
          </cell>
          <cell r="AQ224">
            <v>3.9699999999999998</v>
          </cell>
        </row>
        <row r="225">
          <cell r="D225" t="str">
            <v>영어교육과</v>
          </cell>
          <cell r="E225">
            <v>143</v>
          </cell>
          <cell r="F225">
            <v>6</v>
          </cell>
          <cell r="G225">
            <v>334.75</v>
          </cell>
          <cell r="H225">
            <v>311</v>
          </cell>
          <cell r="I225">
            <v>322.25</v>
          </cell>
          <cell r="J225">
            <v>2.5</v>
          </cell>
          <cell r="K225">
            <v>2</v>
          </cell>
          <cell r="L225">
            <v>1.83</v>
          </cell>
          <cell r="M225">
            <v>1.58</v>
          </cell>
          <cell r="N225">
            <v>122.17</v>
          </cell>
          <cell r="O225">
            <v>132.5</v>
          </cell>
          <cell r="P225">
            <v>130</v>
          </cell>
          <cell r="Q225">
            <v>67.08</v>
          </cell>
          <cell r="R225">
            <v>495.79</v>
          </cell>
          <cell r="S225">
            <v>488.71</v>
          </cell>
          <cell r="T225">
            <v>492.9</v>
          </cell>
          <cell r="U225">
            <v>2.0070000000000001</v>
          </cell>
          <cell r="V225">
            <v>2.4</v>
          </cell>
          <cell r="W225">
            <v>2.23</v>
          </cell>
          <cell r="X225">
            <v>0</v>
          </cell>
          <cell r="Y225">
            <v>0</v>
          </cell>
          <cell r="Z225">
            <v>0</v>
          </cell>
          <cell r="AA225">
            <v>311</v>
          </cell>
          <cell r="AB225">
            <v>493.5</v>
          </cell>
          <cell r="AC225">
            <v>2.3938999999999999</v>
          </cell>
          <cell r="AD225">
            <v>0</v>
          </cell>
          <cell r="AE225">
            <v>317.63</v>
          </cell>
          <cell r="AF225">
            <v>488.71</v>
          </cell>
          <cell r="AG225">
            <v>0</v>
          </cell>
          <cell r="AH225">
            <v>806.34</v>
          </cell>
          <cell r="AI225">
            <v>6</v>
          </cell>
          <cell r="AJ225">
            <v>334.25</v>
          </cell>
          <cell r="AK225">
            <v>311</v>
          </cell>
          <cell r="AL225">
            <v>318.39999999999998</v>
          </cell>
          <cell r="AM225">
            <v>2.67</v>
          </cell>
          <cell r="AN225">
            <v>2</v>
          </cell>
          <cell r="AO225">
            <v>2.17</v>
          </cell>
          <cell r="AP225">
            <v>1.67</v>
          </cell>
          <cell r="AQ225">
            <v>2.1274999999999999</v>
          </cell>
        </row>
        <row r="226">
          <cell r="D226" t="str">
            <v>교육학과</v>
          </cell>
          <cell r="E226">
            <v>144</v>
          </cell>
          <cell r="F226">
            <v>5</v>
          </cell>
          <cell r="G226">
            <v>318</v>
          </cell>
          <cell r="H226">
            <v>294.5</v>
          </cell>
          <cell r="I226">
            <v>308.33</v>
          </cell>
          <cell r="J226">
            <v>2.8</v>
          </cell>
          <cell r="K226">
            <v>2.6</v>
          </cell>
          <cell r="L226">
            <v>3</v>
          </cell>
          <cell r="M226">
            <v>1.9</v>
          </cell>
          <cell r="N226">
            <v>120.2</v>
          </cell>
          <cell r="O226">
            <v>124.8</v>
          </cell>
          <cell r="P226">
            <v>122</v>
          </cell>
          <cell r="Q226">
            <v>64.900000000000006</v>
          </cell>
          <cell r="R226">
            <v>497.42</v>
          </cell>
          <cell r="S226">
            <v>484.52</v>
          </cell>
          <cell r="T226">
            <v>491.53</v>
          </cell>
          <cell r="U226">
            <v>1.6765000000000001</v>
          </cell>
          <cell r="V226">
            <v>3.6324000000000001</v>
          </cell>
          <cell r="W226">
            <v>2.62</v>
          </cell>
          <cell r="X226">
            <v>0</v>
          </cell>
          <cell r="Y226">
            <v>0</v>
          </cell>
          <cell r="Z226">
            <v>0</v>
          </cell>
          <cell r="AA226">
            <v>294.5</v>
          </cell>
          <cell r="AB226">
            <v>497.42</v>
          </cell>
          <cell r="AC226">
            <v>1.6765000000000001</v>
          </cell>
          <cell r="AD226">
            <v>0</v>
          </cell>
          <cell r="AE226">
            <v>308</v>
          </cell>
          <cell r="AF226">
            <v>484.52</v>
          </cell>
          <cell r="AG226">
            <v>3.6324000000000001</v>
          </cell>
          <cell r="AH226">
            <v>792.52</v>
          </cell>
          <cell r="AI226">
            <v>4</v>
          </cell>
          <cell r="AJ226">
            <v>318</v>
          </cell>
          <cell r="AK226">
            <v>290.88</v>
          </cell>
          <cell r="AL226">
            <v>307.5</v>
          </cell>
          <cell r="AM226">
            <v>2.75</v>
          </cell>
          <cell r="AN226">
            <v>2.75</v>
          </cell>
          <cell r="AO226">
            <v>3.25</v>
          </cell>
          <cell r="AP226">
            <v>1.88</v>
          </cell>
          <cell r="AQ226">
            <v>2.6574999999999998</v>
          </cell>
        </row>
        <row r="227">
          <cell r="D227" t="str">
            <v>윤리교육과</v>
          </cell>
          <cell r="E227">
            <v>145</v>
          </cell>
          <cell r="F227">
            <v>6</v>
          </cell>
          <cell r="G227">
            <v>325.63</v>
          </cell>
          <cell r="H227">
            <v>300.88</v>
          </cell>
          <cell r="I227">
            <v>312.39999999999998</v>
          </cell>
          <cell r="J227">
            <v>2.33</v>
          </cell>
          <cell r="K227">
            <v>2.67</v>
          </cell>
          <cell r="L227">
            <v>3</v>
          </cell>
          <cell r="M227">
            <v>1.83</v>
          </cell>
          <cell r="N227">
            <v>125.33</v>
          </cell>
          <cell r="O227">
            <v>125.83</v>
          </cell>
          <cell r="P227">
            <v>120.83</v>
          </cell>
          <cell r="Q227">
            <v>65.5</v>
          </cell>
          <cell r="R227">
            <v>495.86</v>
          </cell>
          <cell r="S227">
            <v>485.86</v>
          </cell>
          <cell r="T227">
            <v>490.96</v>
          </cell>
          <cell r="U227">
            <v>2.0289999999999999</v>
          </cell>
          <cell r="V227">
            <v>3.3732000000000002</v>
          </cell>
          <cell r="W227">
            <v>2.79</v>
          </cell>
          <cell r="X227">
            <v>0</v>
          </cell>
          <cell r="Y227">
            <v>0</v>
          </cell>
          <cell r="Z227">
            <v>0</v>
          </cell>
          <cell r="AA227">
            <v>300.88</v>
          </cell>
          <cell r="AB227">
            <v>489.81</v>
          </cell>
          <cell r="AC227">
            <v>3.0145</v>
          </cell>
          <cell r="AD227">
            <v>0</v>
          </cell>
          <cell r="AE227">
            <v>310.75</v>
          </cell>
          <cell r="AF227">
            <v>485.86</v>
          </cell>
          <cell r="AG227">
            <v>3.3732000000000002</v>
          </cell>
          <cell r="AH227">
            <v>796.61</v>
          </cell>
          <cell r="AI227">
            <v>6</v>
          </cell>
          <cell r="AJ227">
            <v>310.75</v>
          </cell>
          <cell r="AK227">
            <v>292</v>
          </cell>
          <cell r="AL227">
            <v>303.82</v>
          </cell>
          <cell r="AM227">
            <v>2</v>
          </cell>
          <cell r="AN227">
            <v>3.17</v>
          </cell>
          <cell r="AO227">
            <v>3.83</v>
          </cell>
          <cell r="AP227">
            <v>2.08</v>
          </cell>
          <cell r="AQ227">
            <v>2.77</v>
          </cell>
        </row>
        <row r="228">
          <cell r="D228" t="str">
            <v>사회교육학부</v>
          </cell>
          <cell r="E228">
            <v>146</v>
          </cell>
          <cell r="F228">
            <v>9</v>
          </cell>
          <cell r="G228">
            <v>326.5</v>
          </cell>
          <cell r="H228">
            <v>302.13</v>
          </cell>
          <cell r="I228">
            <v>316.32</v>
          </cell>
          <cell r="J228">
            <v>2.2200000000000002</v>
          </cell>
          <cell r="K228">
            <v>2</v>
          </cell>
          <cell r="L228">
            <v>2.78</v>
          </cell>
          <cell r="M228">
            <v>1.83</v>
          </cell>
          <cell r="N228">
            <v>124.89</v>
          </cell>
          <cell r="O228">
            <v>130.78</v>
          </cell>
          <cell r="P228">
            <v>122</v>
          </cell>
          <cell r="Q228">
            <v>65.89</v>
          </cell>
          <cell r="R228">
            <v>496.55</v>
          </cell>
          <cell r="S228">
            <v>486.68</v>
          </cell>
          <cell r="T228">
            <v>491.76</v>
          </cell>
          <cell r="U228">
            <v>1.9</v>
          </cell>
          <cell r="V228">
            <v>3.3071000000000002</v>
          </cell>
          <cell r="W228">
            <v>2.65</v>
          </cell>
          <cell r="X228">
            <v>0</v>
          </cell>
          <cell r="Y228">
            <v>0</v>
          </cell>
          <cell r="Z228">
            <v>0</v>
          </cell>
          <cell r="AA228">
            <v>302.13</v>
          </cell>
          <cell r="AB228">
            <v>495.09</v>
          </cell>
          <cell r="AC228">
            <v>2.1751999999999998</v>
          </cell>
          <cell r="AD228">
            <v>0</v>
          </cell>
          <cell r="AE228">
            <v>313.25</v>
          </cell>
          <cell r="AF228">
            <v>489.33</v>
          </cell>
          <cell r="AG228">
            <v>3.0373000000000001</v>
          </cell>
          <cell r="AH228">
            <v>802.58</v>
          </cell>
          <cell r="AI228">
            <v>8</v>
          </cell>
          <cell r="AJ228">
            <v>317</v>
          </cell>
          <cell r="AK228">
            <v>299</v>
          </cell>
          <cell r="AL228">
            <v>307.91000000000003</v>
          </cell>
          <cell r="AM228">
            <v>2.63</v>
          </cell>
          <cell r="AN228">
            <v>2.75</v>
          </cell>
          <cell r="AO228">
            <v>3.13</v>
          </cell>
          <cell r="AP228">
            <v>2</v>
          </cell>
          <cell r="AQ228">
            <v>2.6274999999999999</v>
          </cell>
        </row>
        <row r="229">
          <cell r="D229" t="str">
            <v>지리교육과</v>
          </cell>
          <cell r="E229">
            <v>147</v>
          </cell>
          <cell r="F229">
            <v>4</v>
          </cell>
          <cell r="G229">
            <v>318.75</v>
          </cell>
          <cell r="H229">
            <v>309.25</v>
          </cell>
          <cell r="I229">
            <v>313.94</v>
          </cell>
          <cell r="J229">
            <v>3.25</v>
          </cell>
          <cell r="K229">
            <v>2</v>
          </cell>
          <cell r="L229">
            <v>3</v>
          </cell>
          <cell r="M229">
            <v>1.75</v>
          </cell>
          <cell r="N229">
            <v>118.75</v>
          </cell>
          <cell r="O229">
            <v>133.75</v>
          </cell>
          <cell r="P229">
            <v>121.25</v>
          </cell>
          <cell r="Q229">
            <v>67.13</v>
          </cell>
          <cell r="R229">
            <v>491.8</v>
          </cell>
          <cell r="S229">
            <v>479.63</v>
          </cell>
          <cell r="T229">
            <v>487.77</v>
          </cell>
          <cell r="U229">
            <v>2.6417999999999999</v>
          </cell>
          <cell r="V229">
            <v>4.0987</v>
          </cell>
          <cell r="W229">
            <v>3.15</v>
          </cell>
          <cell r="X229">
            <v>0</v>
          </cell>
          <cell r="Y229">
            <v>0</v>
          </cell>
          <cell r="Z229">
            <v>0</v>
          </cell>
          <cell r="AA229">
            <v>315.38</v>
          </cell>
          <cell r="AB229">
            <v>479.63</v>
          </cell>
          <cell r="AC229">
            <v>4.0987</v>
          </cell>
          <cell r="AD229">
            <v>0</v>
          </cell>
          <cell r="AE229">
            <v>315.38</v>
          </cell>
          <cell r="AF229">
            <v>479.63</v>
          </cell>
          <cell r="AG229">
            <v>4.0987</v>
          </cell>
          <cell r="AH229">
            <v>795.01</v>
          </cell>
          <cell r="AI229">
            <v>4</v>
          </cell>
          <cell r="AJ229">
            <v>318.75</v>
          </cell>
          <cell r="AK229">
            <v>309.25</v>
          </cell>
          <cell r="AL229">
            <v>312.66000000000003</v>
          </cell>
          <cell r="AM229">
            <v>2.75</v>
          </cell>
          <cell r="AN229">
            <v>2.25</v>
          </cell>
          <cell r="AO229">
            <v>3</v>
          </cell>
          <cell r="AP229">
            <v>2</v>
          </cell>
          <cell r="AQ229">
            <v>2.5</v>
          </cell>
        </row>
        <row r="230">
          <cell r="D230" t="str">
            <v>수학교육과</v>
          </cell>
          <cell r="E230">
            <v>247</v>
          </cell>
          <cell r="F230">
            <v>7</v>
          </cell>
          <cell r="G230">
            <v>325.38</v>
          </cell>
          <cell r="H230">
            <v>314.63</v>
          </cell>
          <cell r="I230">
            <v>318.41000000000003</v>
          </cell>
          <cell r="J230">
            <v>2.4300000000000002</v>
          </cell>
          <cell r="K230">
            <v>2.14</v>
          </cell>
          <cell r="L230">
            <v>2.29</v>
          </cell>
          <cell r="M230">
            <v>1.64</v>
          </cell>
          <cell r="N230">
            <v>123.57</v>
          </cell>
          <cell r="O230">
            <v>128.57</v>
          </cell>
          <cell r="P230">
            <v>127.57</v>
          </cell>
          <cell r="Q230">
            <v>65.430000000000007</v>
          </cell>
          <cell r="R230">
            <v>495.73</v>
          </cell>
          <cell r="S230">
            <v>484.55</v>
          </cell>
          <cell r="T230">
            <v>491.3</v>
          </cell>
          <cell r="U230">
            <v>1.9071</v>
          </cell>
          <cell r="V230">
            <v>3.5933000000000002</v>
          </cell>
          <cell r="W230">
            <v>2.72</v>
          </cell>
          <cell r="X230">
            <v>0</v>
          </cell>
          <cell r="Y230">
            <v>0</v>
          </cell>
          <cell r="Z230">
            <v>0</v>
          </cell>
          <cell r="AA230">
            <v>316.63</v>
          </cell>
          <cell r="AB230">
            <v>489.17</v>
          </cell>
          <cell r="AC230">
            <v>3.0486</v>
          </cell>
          <cell r="AD230">
            <v>0</v>
          </cell>
          <cell r="AE230">
            <v>315</v>
          </cell>
          <cell r="AF230">
            <v>493.3</v>
          </cell>
          <cell r="AG230">
            <v>2.5129999999999999</v>
          </cell>
          <cell r="AH230">
            <v>808.3</v>
          </cell>
          <cell r="AI230">
            <v>7</v>
          </cell>
          <cell r="AJ230">
            <v>325.38</v>
          </cell>
          <cell r="AK230">
            <v>306.75</v>
          </cell>
          <cell r="AL230">
            <v>316.16000000000003</v>
          </cell>
          <cell r="AM230">
            <v>2.29</v>
          </cell>
          <cell r="AN230">
            <v>2.29</v>
          </cell>
          <cell r="AO230">
            <v>2.57</v>
          </cell>
          <cell r="AP230">
            <v>2</v>
          </cell>
          <cell r="AQ230">
            <v>2.2875000000000001</v>
          </cell>
        </row>
        <row r="231">
          <cell r="D231" t="str">
            <v>과학교육학부</v>
          </cell>
          <cell r="E231">
            <v>248</v>
          </cell>
          <cell r="F231">
            <v>21</v>
          </cell>
          <cell r="G231">
            <v>323.75</v>
          </cell>
          <cell r="H231">
            <v>297.25</v>
          </cell>
          <cell r="I231">
            <v>307.10000000000002</v>
          </cell>
          <cell r="J231">
            <v>2.57</v>
          </cell>
          <cell r="K231">
            <v>3.14</v>
          </cell>
          <cell r="L231">
            <v>2.62</v>
          </cell>
          <cell r="M231">
            <v>2.1</v>
          </cell>
          <cell r="N231">
            <v>123.24</v>
          </cell>
          <cell r="O231">
            <v>118.9</v>
          </cell>
          <cell r="P231">
            <v>123.67</v>
          </cell>
          <cell r="Q231">
            <v>64.19</v>
          </cell>
          <cell r="R231">
            <v>495.76</v>
          </cell>
          <cell r="S231">
            <v>484.3</v>
          </cell>
          <cell r="T231">
            <v>490.52</v>
          </cell>
          <cell r="U231">
            <v>1.9733000000000001</v>
          </cell>
          <cell r="V231">
            <v>3.6446999999999998</v>
          </cell>
          <cell r="W231">
            <v>2.82</v>
          </cell>
          <cell r="X231">
            <v>0</v>
          </cell>
          <cell r="Y231">
            <v>0</v>
          </cell>
          <cell r="Z231">
            <v>0</v>
          </cell>
          <cell r="AA231">
            <v>301</v>
          </cell>
          <cell r="AB231">
            <v>486.46</v>
          </cell>
          <cell r="AC231">
            <v>3.36</v>
          </cell>
          <cell r="AD231">
            <v>0</v>
          </cell>
          <cell r="AE231">
            <v>305.75</v>
          </cell>
          <cell r="AF231">
            <v>486.97</v>
          </cell>
          <cell r="AG231">
            <v>3.3571</v>
          </cell>
          <cell r="AH231">
            <v>792.72</v>
          </cell>
          <cell r="AI231">
            <v>21</v>
          </cell>
          <cell r="AJ231">
            <v>321.63</v>
          </cell>
          <cell r="AK231">
            <v>236.38</v>
          </cell>
          <cell r="AL231">
            <v>292.58</v>
          </cell>
          <cell r="AM231">
            <v>3.24</v>
          </cell>
          <cell r="AN231">
            <v>3.81</v>
          </cell>
          <cell r="AO231">
            <v>3.24</v>
          </cell>
          <cell r="AP231">
            <v>2.52</v>
          </cell>
          <cell r="AQ231">
            <v>3.2025000000000001</v>
          </cell>
        </row>
        <row r="232">
          <cell r="D232" t="str">
            <v>체육교육과</v>
          </cell>
          <cell r="E232">
            <v>349</v>
          </cell>
          <cell r="F232">
            <v>15</v>
          </cell>
          <cell r="G232">
            <v>196.25</v>
          </cell>
          <cell r="H232">
            <v>147.47</v>
          </cell>
          <cell r="I232">
            <v>171.73</v>
          </cell>
          <cell r="J232">
            <v>3.87</v>
          </cell>
          <cell r="K232">
            <v>4.07</v>
          </cell>
          <cell r="L232">
            <v>3.53</v>
          </cell>
          <cell r="M232">
            <v>2.93</v>
          </cell>
          <cell r="N232">
            <v>111.07</v>
          </cell>
          <cell r="O232">
            <v>110.27</v>
          </cell>
          <cell r="P232">
            <v>115.93</v>
          </cell>
          <cell r="Q232">
            <v>60.6</v>
          </cell>
          <cell r="R232">
            <v>494.34</v>
          </cell>
          <cell r="S232">
            <v>469.89</v>
          </cell>
          <cell r="T232">
            <v>482.61</v>
          </cell>
          <cell r="U232">
            <v>2.2925</v>
          </cell>
          <cell r="V232">
            <v>5.0587999999999997</v>
          </cell>
          <cell r="W232">
            <v>3.74</v>
          </cell>
          <cell r="X232">
            <v>0</v>
          </cell>
          <cell r="Y232">
            <v>0</v>
          </cell>
          <cell r="Z232">
            <v>0</v>
          </cell>
          <cell r="AA232">
            <v>158.77000000000001</v>
          </cell>
          <cell r="AB232">
            <v>469.89</v>
          </cell>
          <cell r="AC232">
            <v>5.0587999999999997</v>
          </cell>
          <cell r="AD232">
            <v>0</v>
          </cell>
          <cell r="AE232">
            <v>196.25</v>
          </cell>
          <cell r="AF232">
            <v>486.17</v>
          </cell>
          <cell r="AG232">
            <v>3.4622999999999999</v>
          </cell>
          <cell r="AH232">
            <v>813.42</v>
          </cell>
          <cell r="AI232">
            <v>15</v>
          </cell>
          <cell r="AJ232">
            <v>196.25</v>
          </cell>
          <cell r="AK232">
            <v>126.84</v>
          </cell>
          <cell r="AL232">
            <v>163.19</v>
          </cell>
          <cell r="AM232">
            <v>4.2699999999999996</v>
          </cell>
          <cell r="AN232">
            <v>4.5999999999999996</v>
          </cell>
          <cell r="AO232">
            <v>4.2</v>
          </cell>
          <cell r="AP232">
            <v>3.53</v>
          </cell>
          <cell r="AQ232">
            <v>4.1500000000000004</v>
          </cell>
        </row>
        <row r="233">
          <cell r="D233" t="str">
            <v>신문방송학과</v>
          </cell>
          <cell r="E233">
            <v>101</v>
          </cell>
          <cell r="F233">
            <v>12</v>
          </cell>
          <cell r="G233">
            <v>313.38</v>
          </cell>
          <cell r="H233">
            <v>284.63</v>
          </cell>
          <cell r="I233">
            <v>298.92</v>
          </cell>
          <cell r="J233">
            <v>3</v>
          </cell>
          <cell r="K233">
            <v>3.17</v>
          </cell>
          <cell r="L233">
            <v>3.5</v>
          </cell>
          <cell r="M233">
            <v>2.33</v>
          </cell>
          <cell r="N233">
            <v>119.75</v>
          </cell>
          <cell r="O233">
            <v>119.17</v>
          </cell>
          <cell r="P233">
            <v>116.17</v>
          </cell>
          <cell r="Q233">
            <v>63.33</v>
          </cell>
          <cell r="R233">
            <v>494.18</v>
          </cell>
          <cell r="S233">
            <v>481.13</v>
          </cell>
          <cell r="T233">
            <v>486.83</v>
          </cell>
          <cell r="U233">
            <v>2.25</v>
          </cell>
          <cell r="V233">
            <v>3.9851000000000001</v>
          </cell>
          <cell r="W233">
            <v>3.29</v>
          </cell>
          <cell r="X233">
            <v>0</v>
          </cell>
          <cell r="Y233">
            <v>0</v>
          </cell>
          <cell r="Z233">
            <v>0</v>
          </cell>
          <cell r="AA233">
            <v>287.38</v>
          </cell>
          <cell r="AB233">
            <v>490.75</v>
          </cell>
          <cell r="AC233">
            <v>2.8188</v>
          </cell>
          <cell r="AD233">
            <v>0</v>
          </cell>
          <cell r="AE233">
            <v>298</v>
          </cell>
          <cell r="AF233">
            <v>481.13</v>
          </cell>
          <cell r="AG233">
            <v>3.9851000000000001</v>
          </cell>
          <cell r="AH233">
            <v>779.13</v>
          </cell>
          <cell r="AI233">
            <v>10</v>
          </cell>
          <cell r="AJ233">
            <v>302.5</v>
          </cell>
          <cell r="AK233">
            <v>284.63</v>
          </cell>
          <cell r="AL233">
            <v>295.88</v>
          </cell>
          <cell r="AM233">
            <v>2.8</v>
          </cell>
          <cell r="AN233">
            <v>3.6</v>
          </cell>
          <cell r="AO233">
            <v>3.6</v>
          </cell>
          <cell r="AP233">
            <v>2.4</v>
          </cell>
          <cell r="AQ233">
            <v>3.1</v>
          </cell>
        </row>
        <row r="234">
          <cell r="D234" t="str">
            <v>심리학과</v>
          </cell>
          <cell r="E234">
            <v>102</v>
          </cell>
          <cell r="F234">
            <v>11</v>
          </cell>
          <cell r="G234">
            <v>313.88</v>
          </cell>
          <cell r="H234">
            <v>283.63</v>
          </cell>
          <cell r="I234">
            <v>298.70999999999998</v>
          </cell>
          <cell r="J234">
            <v>3.45</v>
          </cell>
          <cell r="K234">
            <v>2.82</v>
          </cell>
          <cell r="L234">
            <v>3</v>
          </cell>
          <cell r="M234">
            <v>2.77</v>
          </cell>
          <cell r="N234">
            <v>115.27</v>
          </cell>
          <cell r="O234">
            <v>121.64</v>
          </cell>
          <cell r="P234">
            <v>119.73</v>
          </cell>
          <cell r="Q234">
            <v>61.91</v>
          </cell>
          <cell r="R234">
            <v>497.1</v>
          </cell>
          <cell r="S234">
            <v>485.53</v>
          </cell>
          <cell r="T234">
            <v>490.29</v>
          </cell>
          <cell r="U234">
            <v>1.6866000000000001</v>
          </cell>
          <cell r="V234">
            <v>3.4315000000000002</v>
          </cell>
          <cell r="W234">
            <v>2.79</v>
          </cell>
          <cell r="X234">
            <v>0</v>
          </cell>
          <cell r="Y234">
            <v>0</v>
          </cell>
          <cell r="Z234">
            <v>0</v>
          </cell>
          <cell r="AA234">
            <v>287.75</v>
          </cell>
          <cell r="AB234">
            <v>491.15</v>
          </cell>
          <cell r="AC234">
            <v>2.8239000000000001</v>
          </cell>
          <cell r="AD234">
            <v>0</v>
          </cell>
          <cell r="AE234">
            <v>283.63</v>
          </cell>
          <cell r="AF234">
            <v>497.1</v>
          </cell>
          <cell r="AG234">
            <v>1.6866000000000001</v>
          </cell>
          <cell r="AH234">
            <v>780.73</v>
          </cell>
          <cell r="AI234">
            <v>11</v>
          </cell>
          <cell r="AJ234">
            <v>302.5</v>
          </cell>
          <cell r="AK234">
            <v>280.75</v>
          </cell>
          <cell r="AL234">
            <v>288.27999999999997</v>
          </cell>
          <cell r="AM234">
            <v>4</v>
          </cell>
          <cell r="AN234">
            <v>3.55</v>
          </cell>
          <cell r="AO234">
            <v>3.55</v>
          </cell>
          <cell r="AP234">
            <v>2.77</v>
          </cell>
          <cell r="AQ234">
            <v>3.4674999999999998</v>
          </cell>
        </row>
        <row r="235">
          <cell r="D235" t="str">
            <v>사회학과</v>
          </cell>
          <cell r="E235">
            <v>103</v>
          </cell>
          <cell r="F235">
            <v>12</v>
          </cell>
          <cell r="G235">
            <v>307.13</v>
          </cell>
          <cell r="H235">
            <v>283.75</v>
          </cell>
          <cell r="I235">
            <v>292.49</v>
          </cell>
          <cell r="J235">
            <v>3.42</v>
          </cell>
          <cell r="K235">
            <v>3.33</v>
          </cell>
          <cell r="L235">
            <v>3.92</v>
          </cell>
          <cell r="M235">
            <v>2.13</v>
          </cell>
          <cell r="N235">
            <v>116.42</v>
          </cell>
          <cell r="O235">
            <v>116.58</v>
          </cell>
          <cell r="P235">
            <v>112.67</v>
          </cell>
          <cell r="Q235">
            <v>63.75</v>
          </cell>
          <cell r="R235">
            <v>494.93</v>
          </cell>
          <cell r="S235">
            <v>473.34</v>
          </cell>
          <cell r="T235">
            <v>485.6</v>
          </cell>
          <cell r="U235">
            <v>2.1688999999999998</v>
          </cell>
          <cell r="V235">
            <v>4.7423999999999999</v>
          </cell>
          <cell r="W235">
            <v>3.4</v>
          </cell>
          <cell r="X235">
            <v>0</v>
          </cell>
          <cell r="Y235">
            <v>0</v>
          </cell>
          <cell r="Z235">
            <v>0</v>
          </cell>
          <cell r="AA235">
            <v>290.75</v>
          </cell>
          <cell r="AB235">
            <v>476.08</v>
          </cell>
          <cell r="AC235">
            <v>4.5</v>
          </cell>
          <cell r="AD235">
            <v>0</v>
          </cell>
          <cell r="AE235">
            <v>288.75</v>
          </cell>
          <cell r="AF235">
            <v>485.08</v>
          </cell>
          <cell r="AG235">
            <v>3.5266999999999999</v>
          </cell>
          <cell r="AH235">
            <v>773.83</v>
          </cell>
          <cell r="AI235">
            <v>12</v>
          </cell>
          <cell r="AJ235">
            <v>297.13</v>
          </cell>
          <cell r="AK235">
            <v>267.38</v>
          </cell>
          <cell r="AL235">
            <v>283.02</v>
          </cell>
          <cell r="AM235">
            <v>3.83</v>
          </cell>
          <cell r="AN235">
            <v>3.58</v>
          </cell>
          <cell r="AO235">
            <v>4.17</v>
          </cell>
          <cell r="AP235">
            <v>2.88</v>
          </cell>
          <cell r="AQ235">
            <v>3.6150000000000002</v>
          </cell>
        </row>
        <row r="236">
          <cell r="D236" t="str">
            <v>정치외교학과</v>
          </cell>
          <cell r="E236">
            <v>104</v>
          </cell>
          <cell r="F236">
            <v>16</v>
          </cell>
          <cell r="G236">
            <v>322.13</v>
          </cell>
          <cell r="H236">
            <v>288.13</v>
          </cell>
          <cell r="I236">
            <v>299.35000000000002</v>
          </cell>
          <cell r="J236">
            <v>3.31</v>
          </cell>
          <cell r="K236">
            <v>3.19</v>
          </cell>
          <cell r="L236">
            <v>2.94</v>
          </cell>
          <cell r="M236">
            <v>2.44</v>
          </cell>
          <cell r="N236">
            <v>116.63</v>
          </cell>
          <cell r="O236">
            <v>120.38</v>
          </cell>
          <cell r="P236">
            <v>119.56</v>
          </cell>
          <cell r="Q236">
            <v>62.63</v>
          </cell>
          <cell r="R236">
            <v>491.69</v>
          </cell>
          <cell r="S236">
            <v>474.06</v>
          </cell>
          <cell r="T236">
            <v>484.99</v>
          </cell>
          <cell r="U236">
            <v>2.6818</v>
          </cell>
          <cell r="V236">
            <v>4.6818</v>
          </cell>
          <cell r="W236">
            <v>3.5</v>
          </cell>
          <cell r="X236">
            <v>0</v>
          </cell>
          <cell r="Y236">
            <v>0</v>
          </cell>
          <cell r="Z236">
            <v>0</v>
          </cell>
          <cell r="AA236">
            <v>298.5</v>
          </cell>
          <cell r="AB236">
            <v>478.13</v>
          </cell>
          <cell r="AC236">
            <v>4.3014999999999999</v>
          </cell>
          <cell r="AD236">
            <v>0</v>
          </cell>
          <cell r="AE236">
            <v>301.38</v>
          </cell>
          <cell r="AF236">
            <v>477.9</v>
          </cell>
          <cell r="AG236">
            <v>4.2286000000000001</v>
          </cell>
          <cell r="AH236">
            <v>779.28</v>
          </cell>
          <cell r="AI236">
            <v>15</v>
          </cell>
          <cell r="AJ236">
            <v>302.25</v>
          </cell>
          <cell r="AK236">
            <v>277.75</v>
          </cell>
          <cell r="AL236">
            <v>287.74</v>
          </cell>
          <cell r="AM236">
            <v>3.93</v>
          </cell>
          <cell r="AN236">
            <v>3.87</v>
          </cell>
          <cell r="AO236">
            <v>3.33</v>
          </cell>
          <cell r="AP236">
            <v>3.03</v>
          </cell>
          <cell r="AQ236">
            <v>3.54</v>
          </cell>
        </row>
        <row r="237">
          <cell r="D237" t="str">
            <v>사회복지학과</v>
          </cell>
          <cell r="E237">
            <v>105</v>
          </cell>
          <cell r="F237">
            <v>9</v>
          </cell>
          <cell r="G237">
            <v>312.75</v>
          </cell>
          <cell r="H237">
            <v>267.13</v>
          </cell>
          <cell r="I237">
            <v>285.95</v>
          </cell>
          <cell r="J237">
            <v>3.78</v>
          </cell>
          <cell r="K237">
            <v>3.67</v>
          </cell>
          <cell r="L237">
            <v>3.56</v>
          </cell>
          <cell r="M237">
            <v>2.94</v>
          </cell>
          <cell r="N237">
            <v>112.67</v>
          </cell>
          <cell r="O237">
            <v>113.11</v>
          </cell>
          <cell r="P237">
            <v>114.67</v>
          </cell>
          <cell r="Q237">
            <v>59.67</v>
          </cell>
          <cell r="R237">
            <v>490.18</v>
          </cell>
          <cell r="S237">
            <v>474.53</v>
          </cell>
          <cell r="T237">
            <v>483.17</v>
          </cell>
          <cell r="U237">
            <v>2.5476000000000001</v>
          </cell>
          <cell r="V237">
            <v>4.5732999999999997</v>
          </cell>
          <cell r="W237">
            <v>3.65</v>
          </cell>
          <cell r="X237">
            <v>0</v>
          </cell>
          <cell r="Y237">
            <v>0</v>
          </cell>
          <cell r="Z237">
            <v>0</v>
          </cell>
          <cell r="AA237">
            <v>269.75</v>
          </cell>
          <cell r="AB237">
            <v>482.68</v>
          </cell>
          <cell r="AC237">
            <v>3.8182</v>
          </cell>
          <cell r="AD237">
            <v>0</v>
          </cell>
          <cell r="AE237">
            <v>277.63</v>
          </cell>
          <cell r="AF237">
            <v>476.8</v>
          </cell>
          <cell r="AG237">
            <v>4.4154999999999998</v>
          </cell>
          <cell r="AH237">
            <v>754.43</v>
          </cell>
          <cell r="AI237">
            <v>9</v>
          </cell>
          <cell r="AJ237">
            <v>294.25</v>
          </cell>
          <cell r="AK237">
            <v>269.75</v>
          </cell>
          <cell r="AL237">
            <v>279.61</v>
          </cell>
          <cell r="AM237">
            <v>4</v>
          </cell>
          <cell r="AN237">
            <v>4.1100000000000003</v>
          </cell>
          <cell r="AO237">
            <v>3.56</v>
          </cell>
          <cell r="AP237">
            <v>3.67</v>
          </cell>
          <cell r="AQ237">
            <v>3.835</v>
          </cell>
        </row>
        <row r="238">
          <cell r="D238" t="str">
            <v>행정학과</v>
          </cell>
          <cell r="E238">
            <v>106</v>
          </cell>
          <cell r="F238">
            <v>20</v>
          </cell>
          <cell r="G238">
            <v>327.25</v>
          </cell>
          <cell r="H238">
            <v>298.38</v>
          </cell>
          <cell r="I238">
            <v>311</v>
          </cell>
          <cell r="J238">
            <v>2.65</v>
          </cell>
          <cell r="K238">
            <v>2.5499999999999998</v>
          </cell>
          <cell r="L238">
            <v>2.5499999999999998</v>
          </cell>
          <cell r="M238">
            <v>2.35</v>
          </cell>
          <cell r="N238">
            <v>122.3</v>
          </cell>
          <cell r="O238">
            <v>126.8</v>
          </cell>
          <cell r="P238">
            <v>123.45</v>
          </cell>
          <cell r="Q238">
            <v>63.25</v>
          </cell>
          <cell r="R238">
            <v>498</v>
          </cell>
          <cell r="S238">
            <v>480.93</v>
          </cell>
          <cell r="T238">
            <v>488.58</v>
          </cell>
          <cell r="U238">
            <v>1.4932000000000001</v>
          </cell>
          <cell r="V238">
            <v>4.0286</v>
          </cell>
          <cell r="W238">
            <v>3.06</v>
          </cell>
          <cell r="X238">
            <v>0</v>
          </cell>
          <cell r="Y238">
            <v>0</v>
          </cell>
          <cell r="Z238">
            <v>0</v>
          </cell>
          <cell r="AA238">
            <v>302.63</v>
          </cell>
          <cell r="AB238">
            <v>487.02</v>
          </cell>
          <cell r="AC238">
            <v>3.3551000000000002</v>
          </cell>
          <cell r="AD238">
            <v>0</v>
          </cell>
          <cell r="AE238">
            <v>312.63</v>
          </cell>
          <cell r="AF238">
            <v>480.93</v>
          </cell>
          <cell r="AG238">
            <v>4.0286</v>
          </cell>
          <cell r="AH238">
            <v>793.56</v>
          </cell>
          <cell r="AI238">
            <v>19</v>
          </cell>
          <cell r="AJ238">
            <v>318.25</v>
          </cell>
          <cell r="AK238">
            <v>289.38</v>
          </cell>
          <cell r="AL238">
            <v>303.31</v>
          </cell>
          <cell r="AM238">
            <v>2.95</v>
          </cell>
          <cell r="AN238">
            <v>3.05</v>
          </cell>
          <cell r="AO238">
            <v>2.89</v>
          </cell>
          <cell r="AP238">
            <v>2.39</v>
          </cell>
          <cell r="AQ238">
            <v>2.8200000000000003</v>
          </cell>
        </row>
        <row r="239">
          <cell r="D239" t="str">
            <v>경영학부</v>
          </cell>
          <cell r="E239">
            <v>161</v>
          </cell>
          <cell r="F239">
            <v>78</v>
          </cell>
          <cell r="G239">
            <v>331.63</v>
          </cell>
          <cell r="H239">
            <v>287.75</v>
          </cell>
          <cell r="I239">
            <v>302.23</v>
          </cell>
          <cell r="J239">
            <v>3.22</v>
          </cell>
          <cell r="K239">
            <v>2.91</v>
          </cell>
          <cell r="L239">
            <v>3.08</v>
          </cell>
          <cell r="M239">
            <v>2.34</v>
          </cell>
          <cell r="N239">
            <v>118.13</v>
          </cell>
          <cell r="O239">
            <v>122.79</v>
          </cell>
          <cell r="P239">
            <v>119.36</v>
          </cell>
          <cell r="Q239">
            <v>63.15</v>
          </cell>
          <cell r="R239">
            <v>495.47</v>
          </cell>
          <cell r="S239">
            <v>465.65</v>
          </cell>
          <cell r="T239">
            <v>484.52</v>
          </cell>
          <cell r="U239">
            <v>2.0478999999999998</v>
          </cell>
          <cell r="V239">
            <v>5.6102999999999996</v>
          </cell>
          <cell r="W239">
            <v>3.54</v>
          </cell>
          <cell r="X239">
            <v>0</v>
          </cell>
          <cell r="Y239">
            <v>0</v>
          </cell>
          <cell r="Z239">
            <v>0</v>
          </cell>
          <cell r="AA239">
            <v>296.38</v>
          </cell>
          <cell r="AB239">
            <v>479.43</v>
          </cell>
          <cell r="AC239">
            <v>4.2</v>
          </cell>
          <cell r="AD239">
            <v>0</v>
          </cell>
          <cell r="AE239">
            <v>303.88</v>
          </cell>
          <cell r="AF239">
            <v>475.23</v>
          </cell>
          <cell r="AG239">
            <v>4.5210999999999997</v>
          </cell>
          <cell r="AH239">
            <v>779.11</v>
          </cell>
          <cell r="AI239">
            <v>73</v>
          </cell>
          <cell r="AJ239">
            <v>311.38</v>
          </cell>
          <cell r="AK239">
            <v>274.38</v>
          </cell>
          <cell r="AL239">
            <v>293.68</v>
          </cell>
          <cell r="AM239">
            <v>3.51</v>
          </cell>
          <cell r="AN239">
            <v>3.14</v>
          </cell>
          <cell r="AO239">
            <v>3.58</v>
          </cell>
          <cell r="AP239">
            <v>2.69</v>
          </cell>
          <cell r="AQ239">
            <v>3.23</v>
          </cell>
        </row>
        <row r="240">
          <cell r="D240" t="str">
            <v>경제학부</v>
          </cell>
          <cell r="E240">
            <v>162</v>
          </cell>
          <cell r="F240">
            <v>25</v>
          </cell>
          <cell r="G240">
            <v>328.75</v>
          </cell>
          <cell r="H240">
            <v>287.38</v>
          </cell>
          <cell r="I240">
            <v>300.16000000000003</v>
          </cell>
          <cell r="J240">
            <v>3.44</v>
          </cell>
          <cell r="K240">
            <v>2.68</v>
          </cell>
          <cell r="L240">
            <v>3.32</v>
          </cell>
          <cell r="M240">
            <v>2.2599999999999998</v>
          </cell>
          <cell r="N240">
            <v>115.96</v>
          </cell>
          <cell r="O240">
            <v>124.64</v>
          </cell>
          <cell r="P240">
            <v>116.88</v>
          </cell>
          <cell r="Q240">
            <v>63.5</v>
          </cell>
          <cell r="R240">
            <v>495.55</v>
          </cell>
          <cell r="S240">
            <v>477.07</v>
          </cell>
          <cell r="T240">
            <v>486.23</v>
          </cell>
          <cell r="U240">
            <v>1.9539</v>
          </cell>
          <cell r="V240">
            <v>4.3733000000000004</v>
          </cell>
          <cell r="W240">
            <v>3.35</v>
          </cell>
          <cell r="X240">
            <v>0</v>
          </cell>
          <cell r="Y240">
            <v>0</v>
          </cell>
          <cell r="Z240">
            <v>0</v>
          </cell>
          <cell r="AA240">
            <v>301.88</v>
          </cell>
          <cell r="AB240">
            <v>477.07</v>
          </cell>
          <cell r="AC240">
            <v>4.3733000000000004</v>
          </cell>
          <cell r="AD240">
            <v>0</v>
          </cell>
          <cell r="AE240">
            <v>296.25</v>
          </cell>
          <cell r="AF240">
            <v>486.45</v>
          </cell>
          <cell r="AG240">
            <v>3.4144999999999999</v>
          </cell>
          <cell r="AH240">
            <v>782.7</v>
          </cell>
          <cell r="AI240">
            <v>21</v>
          </cell>
          <cell r="AJ240">
            <v>307.75</v>
          </cell>
          <cell r="AK240">
            <v>285.88</v>
          </cell>
          <cell r="AL240">
            <v>293.62</v>
          </cell>
          <cell r="AM240">
            <v>3.43</v>
          </cell>
          <cell r="AN240">
            <v>3.29</v>
          </cell>
          <cell r="AO240">
            <v>3.62</v>
          </cell>
          <cell r="AP240">
            <v>2.21</v>
          </cell>
          <cell r="AQ240">
            <v>3.1375000000000002</v>
          </cell>
        </row>
        <row r="241">
          <cell r="D241" t="str">
            <v>무역학과</v>
          </cell>
          <cell r="E241">
            <v>163</v>
          </cell>
          <cell r="F241">
            <v>40</v>
          </cell>
          <cell r="G241">
            <v>316</v>
          </cell>
          <cell r="H241">
            <v>280.88</v>
          </cell>
          <cell r="I241">
            <v>297.02</v>
          </cell>
          <cell r="J241">
            <v>3.25</v>
          </cell>
          <cell r="K241">
            <v>3.25</v>
          </cell>
          <cell r="L241">
            <v>3.33</v>
          </cell>
          <cell r="M241">
            <v>2.5299999999999998</v>
          </cell>
          <cell r="N241">
            <v>117.33</v>
          </cell>
          <cell r="O241">
            <v>118.8</v>
          </cell>
          <cell r="P241">
            <v>117.2</v>
          </cell>
          <cell r="Q241">
            <v>62.5</v>
          </cell>
          <cell r="R241">
            <v>494.36</v>
          </cell>
          <cell r="S241">
            <v>471.18</v>
          </cell>
          <cell r="T241">
            <v>484.21</v>
          </cell>
          <cell r="U241">
            <v>2.2265999999999999</v>
          </cell>
          <cell r="V241">
            <v>4.9648000000000003</v>
          </cell>
          <cell r="W241">
            <v>3.56</v>
          </cell>
          <cell r="X241">
            <v>0</v>
          </cell>
          <cell r="Y241">
            <v>0</v>
          </cell>
          <cell r="Z241">
            <v>0</v>
          </cell>
          <cell r="AA241">
            <v>292.38</v>
          </cell>
          <cell r="AB241">
            <v>482.76</v>
          </cell>
          <cell r="AC241">
            <v>3.7646999999999999</v>
          </cell>
          <cell r="AD241">
            <v>0</v>
          </cell>
          <cell r="AE241">
            <v>289.88</v>
          </cell>
          <cell r="AF241">
            <v>486.32</v>
          </cell>
          <cell r="AG241">
            <v>3.3561999999999999</v>
          </cell>
          <cell r="AH241">
            <v>776.2</v>
          </cell>
          <cell r="AI241">
            <v>32</v>
          </cell>
          <cell r="AJ241">
            <v>307.38</v>
          </cell>
          <cell r="AK241">
            <v>279.38</v>
          </cell>
          <cell r="AL241">
            <v>290.72000000000003</v>
          </cell>
          <cell r="AM241">
            <v>3.47</v>
          </cell>
          <cell r="AN241">
            <v>3.53</v>
          </cell>
          <cell r="AO241">
            <v>3.56</v>
          </cell>
          <cell r="AP241">
            <v>2.73</v>
          </cell>
          <cell r="AQ241">
            <v>3.3225000000000002</v>
          </cell>
        </row>
        <row r="242">
          <cell r="D242" t="str">
            <v>주거환경학과</v>
          </cell>
          <cell r="E242">
            <v>272</v>
          </cell>
          <cell r="F242">
            <v>13</v>
          </cell>
          <cell r="G242">
            <v>298.33</v>
          </cell>
          <cell r="H242">
            <v>267.25</v>
          </cell>
          <cell r="I242">
            <v>282.85000000000002</v>
          </cell>
          <cell r="J242">
            <v>4.3099999999999996</v>
          </cell>
          <cell r="K242">
            <v>3.69</v>
          </cell>
          <cell r="L242">
            <v>4.08</v>
          </cell>
          <cell r="M242">
            <v>3.15</v>
          </cell>
          <cell r="N242">
            <v>109.69</v>
          </cell>
          <cell r="O242">
            <v>113.62</v>
          </cell>
          <cell r="P242">
            <v>110.54</v>
          </cell>
          <cell r="Q242">
            <v>59.31</v>
          </cell>
          <cell r="R242">
            <v>491.66</v>
          </cell>
          <cell r="S242">
            <v>468.2</v>
          </cell>
          <cell r="T242">
            <v>478.95</v>
          </cell>
          <cell r="U242">
            <v>2.7281</v>
          </cell>
          <cell r="V242">
            <v>5.2196999999999996</v>
          </cell>
          <cell r="W242">
            <v>4.12</v>
          </cell>
          <cell r="X242">
            <v>0</v>
          </cell>
          <cell r="Y242">
            <v>0</v>
          </cell>
          <cell r="Z242">
            <v>0</v>
          </cell>
          <cell r="AA242">
            <v>282.38</v>
          </cell>
          <cell r="AB242">
            <v>472.52</v>
          </cell>
          <cell r="AC242">
            <v>4.7937000000000003</v>
          </cell>
          <cell r="AD242">
            <v>0</v>
          </cell>
          <cell r="AE242">
            <v>278.38</v>
          </cell>
          <cell r="AF242">
            <v>477.71</v>
          </cell>
          <cell r="AG242">
            <v>4.3076999999999996</v>
          </cell>
          <cell r="AH242">
            <v>756.09</v>
          </cell>
          <cell r="AI242">
            <v>12</v>
          </cell>
          <cell r="AJ242">
            <v>298.33</v>
          </cell>
          <cell r="AK242">
            <v>259.25</v>
          </cell>
          <cell r="AL242">
            <v>278.52</v>
          </cell>
          <cell r="AM242">
            <v>4.25</v>
          </cell>
          <cell r="AN242">
            <v>4</v>
          </cell>
          <cell r="AO242">
            <v>4</v>
          </cell>
          <cell r="AP242">
            <v>3.54</v>
          </cell>
          <cell r="AQ242">
            <v>3.9474999999999998</v>
          </cell>
        </row>
        <row r="243">
          <cell r="D243" t="str">
            <v>식품영양학과</v>
          </cell>
          <cell r="E243">
            <v>273</v>
          </cell>
          <cell r="F243">
            <v>13</v>
          </cell>
          <cell r="G243">
            <v>303.10000000000002</v>
          </cell>
          <cell r="H243">
            <v>282.38</v>
          </cell>
          <cell r="I243">
            <v>294.45</v>
          </cell>
          <cell r="J243">
            <v>3.31</v>
          </cell>
          <cell r="K243">
            <v>3.54</v>
          </cell>
          <cell r="L243">
            <v>3.62</v>
          </cell>
          <cell r="M243">
            <v>2.85</v>
          </cell>
          <cell r="N243">
            <v>117.46</v>
          </cell>
          <cell r="O243">
            <v>116</v>
          </cell>
          <cell r="P243">
            <v>114.85</v>
          </cell>
          <cell r="Q243">
            <v>60.65</v>
          </cell>
          <cell r="R243">
            <v>492.55</v>
          </cell>
          <cell r="S243">
            <v>473.8</v>
          </cell>
          <cell r="T243">
            <v>482.83</v>
          </cell>
          <cell r="U243">
            <v>2.5733000000000001</v>
          </cell>
          <cell r="V243">
            <v>4.6666999999999996</v>
          </cell>
          <cell r="W243">
            <v>3.75</v>
          </cell>
          <cell r="X243">
            <v>0</v>
          </cell>
          <cell r="Y243">
            <v>0</v>
          </cell>
          <cell r="Z243">
            <v>0</v>
          </cell>
          <cell r="AA243">
            <v>282.38</v>
          </cell>
          <cell r="AB243">
            <v>484.2</v>
          </cell>
          <cell r="AC243">
            <v>3.6345999999999998</v>
          </cell>
          <cell r="AD243">
            <v>0</v>
          </cell>
          <cell r="AE243">
            <v>297.25</v>
          </cell>
          <cell r="AF243">
            <v>473.8</v>
          </cell>
          <cell r="AG243">
            <v>4.6666999999999996</v>
          </cell>
          <cell r="AH243">
            <v>771.05</v>
          </cell>
          <cell r="AI243">
            <v>11</v>
          </cell>
          <cell r="AJ243">
            <v>301.5</v>
          </cell>
          <cell r="AK243">
            <v>273.55</v>
          </cell>
          <cell r="AL243">
            <v>286.91000000000003</v>
          </cell>
          <cell r="AM243">
            <v>3.36</v>
          </cell>
          <cell r="AN243">
            <v>3.91</v>
          </cell>
          <cell r="AO243">
            <v>4.09</v>
          </cell>
          <cell r="AP243">
            <v>3.23</v>
          </cell>
          <cell r="AQ243">
            <v>3.6475</v>
          </cell>
        </row>
        <row r="244">
          <cell r="D244" t="str">
            <v>의류학과</v>
          </cell>
          <cell r="E244">
            <v>274</v>
          </cell>
          <cell r="F244">
            <v>12</v>
          </cell>
          <cell r="G244">
            <v>296.93</v>
          </cell>
          <cell r="H244">
            <v>258.64999999999998</v>
          </cell>
          <cell r="I244">
            <v>276.18</v>
          </cell>
          <cell r="J244">
            <v>4</v>
          </cell>
          <cell r="K244">
            <v>5</v>
          </cell>
          <cell r="L244">
            <v>3.75</v>
          </cell>
          <cell r="M244">
            <v>3.63</v>
          </cell>
          <cell r="N244">
            <v>111</v>
          </cell>
          <cell r="O244">
            <v>99.92</v>
          </cell>
          <cell r="P244">
            <v>113</v>
          </cell>
          <cell r="Q244">
            <v>56.58</v>
          </cell>
          <cell r="R244">
            <v>488.8</v>
          </cell>
          <cell r="S244">
            <v>455.86</v>
          </cell>
          <cell r="T244">
            <v>472.43</v>
          </cell>
          <cell r="U244">
            <v>3.0203000000000002</v>
          </cell>
          <cell r="V244">
            <v>6.5</v>
          </cell>
          <cell r="W244">
            <v>4.8</v>
          </cell>
          <cell r="X244">
            <v>0</v>
          </cell>
          <cell r="Y244">
            <v>0</v>
          </cell>
          <cell r="Z244">
            <v>0</v>
          </cell>
          <cell r="AA244">
            <v>261.23</v>
          </cell>
          <cell r="AB244">
            <v>462.32</v>
          </cell>
          <cell r="AC244">
            <v>5.48</v>
          </cell>
          <cell r="AD244">
            <v>0</v>
          </cell>
          <cell r="AE244">
            <v>266.63</v>
          </cell>
          <cell r="AF244">
            <v>469.71</v>
          </cell>
          <cell r="AG244">
            <v>5.0933000000000002</v>
          </cell>
          <cell r="AH244">
            <v>736.34</v>
          </cell>
          <cell r="AI244">
            <v>10</v>
          </cell>
          <cell r="AJ244">
            <v>284.88</v>
          </cell>
          <cell r="AK244">
            <v>229.63</v>
          </cell>
          <cell r="AL244">
            <v>259.64</v>
          </cell>
          <cell r="AM244">
            <v>4.5999999999999996</v>
          </cell>
          <cell r="AN244">
            <v>5.3</v>
          </cell>
          <cell r="AO244">
            <v>4.9000000000000004</v>
          </cell>
          <cell r="AP244">
            <v>3.95</v>
          </cell>
          <cell r="AQ244">
            <v>4.6875</v>
          </cell>
        </row>
        <row r="245">
          <cell r="D245" t="str">
            <v>아동학과</v>
          </cell>
          <cell r="E245">
            <v>275</v>
          </cell>
          <cell r="F245">
            <v>6</v>
          </cell>
          <cell r="G245">
            <v>289.5</v>
          </cell>
          <cell r="H245">
            <v>279.25</v>
          </cell>
          <cell r="I245">
            <v>285.5</v>
          </cell>
          <cell r="J245">
            <v>3.5</v>
          </cell>
          <cell r="K245">
            <v>3.67</v>
          </cell>
          <cell r="L245">
            <v>4.17</v>
          </cell>
          <cell r="M245">
            <v>3.25</v>
          </cell>
          <cell r="N245">
            <v>115.33</v>
          </cell>
          <cell r="O245">
            <v>115.5</v>
          </cell>
          <cell r="P245">
            <v>110.33</v>
          </cell>
          <cell r="Q245">
            <v>58.75</v>
          </cell>
          <cell r="R245">
            <v>491.71</v>
          </cell>
          <cell r="S245">
            <v>472.13</v>
          </cell>
          <cell r="T245">
            <v>481.15</v>
          </cell>
          <cell r="U245">
            <v>2.6688999999999998</v>
          </cell>
          <cell r="V245">
            <v>4.8384999999999998</v>
          </cell>
          <cell r="W245">
            <v>3.92</v>
          </cell>
          <cell r="X245">
            <v>0</v>
          </cell>
          <cell r="Y245">
            <v>0</v>
          </cell>
          <cell r="Z245">
            <v>0</v>
          </cell>
          <cell r="AA245">
            <v>284.25</v>
          </cell>
          <cell r="AB245">
            <v>475.61</v>
          </cell>
          <cell r="AC245">
            <v>4.5242000000000004</v>
          </cell>
          <cell r="AD245">
            <v>0</v>
          </cell>
          <cell r="AE245">
            <v>288.38</v>
          </cell>
          <cell r="AF245">
            <v>472.13</v>
          </cell>
          <cell r="AG245">
            <v>4.8384999999999998</v>
          </cell>
          <cell r="AH245">
            <v>760.51</v>
          </cell>
          <cell r="AI245">
            <v>6</v>
          </cell>
          <cell r="AJ245">
            <v>288.38</v>
          </cell>
          <cell r="AK245">
            <v>273.38</v>
          </cell>
          <cell r="AL245">
            <v>282.08999999999997</v>
          </cell>
          <cell r="AM245">
            <v>4</v>
          </cell>
          <cell r="AN245">
            <v>3.33</v>
          </cell>
          <cell r="AO245">
            <v>4</v>
          </cell>
          <cell r="AP245">
            <v>3.75</v>
          </cell>
          <cell r="AQ245">
            <v>3.77</v>
          </cell>
        </row>
        <row r="246">
          <cell r="D246" t="str">
            <v>한국음악학과(성악.작곡.이론)</v>
          </cell>
          <cell r="E246">
            <v>301</v>
          </cell>
          <cell r="F246">
            <v>4</v>
          </cell>
          <cell r="G246">
            <v>97.99</v>
          </cell>
          <cell r="H246">
            <v>81.099999999999994</v>
          </cell>
          <cell r="I246">
            <v>87.6</v>
          </cell>
          <cell r="J246">
            <v>6</v>
          </cell>
          <cell r="K246">
            <v>1.5</v>
          </cell>
          <cell r="L246">
            <v>6.25</v>
          </cell>
          <cell r="M246">
            <v>5.63</v>
          </cell>
          <cell r="N246">
            <v>90.5</v>
          </cell>
          <cell r="O246">
            <v>21</v>
          </cell>
          <cell r="P246">
            <v>81.25</v>
          </cell>
          <cell r="Q246">
            <v>45.88</v>
          </cell>
          <cell r="R246">
            <v>196.44</v>
          </cell>
          <cell r="S246">
            <v>187.27</v>
          </cell>
          <cell r="T246">
            <v>190.73</v>
          </cell>
          <cell r="U246">
            <v>2.5194999999999999</v>
          </cell>
          <cell r="V246">
            <v>5.2381000000000002</v>
          </cell>
          <cell r="W246">
            <v>4.29</v>
          </cell>
          <cell r="X246">
            <v>0</v>
          </cell>
          <cell r="Y246">
            <v>0</v>
          </cell>
          <cell r="Z246">
            <v>0</v>
          </cell>
          <cell r="AA246">
            <v>84.7</v>
          </cell>
          <cell r="AB246">
            <v>187.27</v>
          </cell>
          <cell r="AC246">
            <v>5.2381000000000002</v>
          </cell>
          <cell r="AD246">
            <v>0</v>
          </cell>
          <cell r="AE246">
            <v>84.7</v>
          </cell>
          <cell r="AF246">
            <v>187.27</v>
          </cell>
          <cell r="AG246">
            <v>5.2381000000000002</v>
          </cell>
          <cell r="AH246">
            <v>853.17</v>
          </cell>
          <cell r="AI246">
            <v>4</v>
          </cell>
          <cell r="AJ246">
            <v>97.99</v>
          </cell>
          <cell r="AK246">
            <v>75.319999999999993</v>
          </cell>
          <cell r="AL246">
            <v>86.16</v>
          </cell>
          <cell r="AM246">
            <v>6.25</v>
          </cell>
          <cell r="AN246">
            <v>1.5</v>
          </cell>
          <cell r="AO246">
            <v>6.5</v>
          </cell>
          <cell r="AP246">
            <v>5.5</v>
          </cell>
          <cell r="AQ246">
            <v>4.9375</v>
          </cell>
        </row>
        <row r="247">
          <cell r="D247" t="str">
            <v>한국음악학과(관악.현악.타악)</v>
          </cell>
          <cell r="E247">
            <v>302</v>
          </cell>
          <cell r="F247">
            <v>10</v>
          </cell>
          <cell r="G247">
            <v>105.25</v>
          </cell>
          <cell r="H247">
            <v>73.680000000000007</v>
          </cell>
          <cell r="I247">
            <v>88.65</v>
          </cell>
          <cell r="J247">
            <v>5.7</v>
          </cell>
          <cell r="K247">
            <v>2.7</v>
          </cell>
          <cell r="L247">
            <v>7.1</v>
          </cell>
          <cell r="M247">
            <v>5.35</v>
          </cell>
          <cell r="N247">
            <v>94.4</v>
          </cell>
          <cell r="O247">
            <v>33.5</v>
          </cell>
          <cell r="P247">
            <v>78.3</v>
          </cell>
          <cell r="Q247">
            <v>47.5</v>
          </cell>
          <cell r="R247">
            <v>194.73</v>
          </cell>
          <cell r="S247">
            <v>180.42</v>
          </cell>
          <cell r="T247">
            <v>187.57</v>
          </cell>
          <cell r="U247">
            <v>2.9935999999999998</v>
          </cell>
          <cell r="V247">
            <v>7.1222000000000003</v>
          </cell>
          <cell r="W247">
            <v>5.13</v>
          </cell>
          <cell r="X247">
            <v>0</v>
          </cell>
          <cell r="Y247">
            <v>0</v>
          </cell>
          <cell r="Z247">
            <v>0</v>
          </cell>
          <cell r="AA247">
            <v>85.68</v>
          </cell>
          <cell r="AB247">
            <v>184.81</v>
          </cell>
          <cell r="AC247">
            <v>5.8952</v>
          </cell>
          <cell r="AD247">
            <v>0</v>
          </cell>
          <cell r="AE247">
            <v>76.64</v>
          </cell>
          <cell r="AF247">
            <v>184.3</v>
          </cell>
          <cell r="AG247">
            <v>5.9821</v>
          </cell>
          <cell r="AH247">
            <v>848.94</v>
          </cell>
          <cell r="AI247">
            <v>10</v>
          </cell>
          <cell r="AJ247">
            <v>102.3</v>
          </cell>
          <cell r="AK247">
            <v>73.680000000000007</v>
          </cell>
          <cell r="AL247">
            <v>87.74</v>
          </cell>
          <cell r="AM247">
            <v>5.7</v>
          </cell>
          <cell r="AN247">
            <v>2.7</v>
          </cell>
          <cell r="AO247">
            <v>7.1</v>
          </cell>
          <cell r="AP247">
            <v>5.55</v>
          </cell>
          <cell r="AQ247">
            <v>5.2625000000000002</v>
          </cell>
        </row>
        <row r="248">
          <cell r="D248" t="str">
            <v>미술학과(한국화)</v>
          </cell>
          <cell r="E248">
            <v>310</v>
          </cell>
          <cell r="F248">
            <v>6</v>
          </cell>
          <cell r="G248">
            <v>46.02</v>
          </cell>
          <cell r="H248">
            <v>37.159999999999997</v>
          </cell>
          <cell r="I248">
            <v>41.99</v>
          </cell>
          <cell r="J248">
            <v>6.17</v>
          </cell>
          <cell r="K248">
            <v>0</v>
          </cell>
          <cell r="L248">
            <v>7.33</v>
          </cell>
          <cell r="M248">
            <v>5.67</v>
          </cell>
          <cell r="N248">
            <v>88.5</v>
          </cell>
          <cell r="O248">
            <v>0</v>
          </cell>
          <cell r="P248">
            <v>74.5</v>
          </cell>
          <cell r="Q248">
            <v>45.58</v>
          </cell>
          <cell r="R248">
            <v>385.59</v>
          </cell>
          <cell r="S248">
            <v>359.39</v>
          </cell>
          <cell r="T248">
            <v>375.12</v>
          </cell>
          <cell r="U248">
            <v>3.8717999999999999</v>
          </cell>
          <cell r="V248">
            <v>7.4550999999999998</v>
          </cell>
          <cell r="W248">
            <v>5.21</v>
          </cell>
          <cell r="X248">
            <v>0</v>
          </cell>
          <cell r="Y248">
            <v>0</v>
          </cell>
          <cell r="Z248">
            <v>0</v>
          </cell>
          <cell r="AA248">
            <v>43.88</v>
          </cell>
          <cell r="AB248">
            <v>378.36</v>
          </cell>
          <cell r="AC248">
            <v>4.7755999999999998</v>
          </cell>
          <cell r="AD248">
            <v>0</v>
          </cell>
          <cell r="AE248">
            <v>39.56</v>
          </cell>
          <cell r="AF248">
            <v>374</v>
          </cell>
          <cell r="AG248">
            <v>5.3013000000000003</v>
          </cell>
          <cell r="AH248">
            <v>835.23</v>
          </cell>
          <cell r="AI248">
            <v>6</v>
          </cell>
          <cell r="AJ248">
            <v>46.02</v>
          </cell>
          <cell r="AK248">
            <v>37.159999999999997</v>
          </cell>
          <cell r="AL248">
            <v>41.99</v>
          </cell>
          <cell r="AM248">
            <v>6.17</v>
          </cell>
          <cell r="AN248">
            <v>0</v>
          </cell>
          <cell r="AO248">
            <v>7.33</v>
          </cell>
          <cell r="AP248">
            <v>5.67</v>
          </cell>
          <cell r="AQ248">
            <v>4.7925000000000004</v>
          </cell>
        </row>
        <row r="249">
          <cell r="D249" t="str">
            <v>미술학과(서양화)</v>
          </cell>
          <cell r="E249">
            <v>311</v>
          </cell>
          <cell r="F249">
            <v>6</v>
          </cell>
          <cell r="G249">
            <v>53.83</v>
          </cell>
          <cell r="H249">
            <v>37.65</v>
          </cell>
          <cell r="I249">
            <v>45.73</v>
          </cell>
          <cell r="J249">
            <v>6.17</v>
          </cell>
          <cell r="K249">
            <v>2.33</v>
          </cell>
          <cell r="L249">
            <v>6</v>
          </cell>
          <cell r="M249">
            <v>5</v>
          </cell>
          <cell r="N249">
            <v>89.67</v>
          </cell>
          <cell r="O249">
            <v>27</v>
          </cell>
          <cell r="P249">
            <v>87.67</v>
          </cell>
          <cell r="Q249">
            <v>49.83</v>
          </cell>
          <cell r="R249">
            <v>395.99</v>
          </cell>
          <cell r="S249">
            <v>358.96</v>
          </cell>
          <cell r="T249">
            <v>373.96</v>
          </cell>
          <cell r="U249">
            <v>2.0255999999999998</v>
          </cell>
          <cell r="V249">
            <v>7.3158000000000003</v>
          </cell>
          <cell r="W249">
            <v>5.25</v>
          </cell>
          <cell r="X249">
            <v>0</v>
          </cell>
          <cell r="Y249">
            <v>0</v>
          </cell>
          <cell r="Z249">
            <v>0</v>
          </cell>
          <cell r="AA249">
            <v>37.65</v>
          </cell>
          <cell r="AB249">
            <v>358.96</v>
          </cell>
          <cell r="AC249">
            <v>7.3158000000000003</v>
          </cell>
          <cell r="AD249">
            <v>0</v>
          </cell>
          <cell r="AE249">
            <v>49.83</v>
          </cell>
          <cell r="AF249">
            <v>377.35</v>
          </cell>
          <cell r="AG249">
            <v>0</v>
          </cell>
          <cell r="AH249">
            <v>872.18</v>
          </cell>
          <cell r="AI249">
            <v>6</v>
          </cell>
          <cell r="AJ249">
            <v>53.83</v>
          </cell>
          <cell r="AK249">
            <v>37.65</v>
          </cell>
          <cell r="AL249">
            <v>45.73</v>
          </cell>
          <cell r="AM249">
            <v>6.17</v>
          </cell>
          <cell r="AN249">
            <v>2.33</v>
          </cell>
          <cell r="AO249">
            <v>6</v>
          </cell>
          <cell r="AP249">
            <v>5</v>
          </cell>
          <cell r="AQ249">
            <v>4.875</v>
          </cell>
        </row>
        <row r="250">
          <cell r="D250" t="str">
            <v>미술학과(조소)</v>
          </cell>
          <cell r="E250">
            <v>312</v>
          </cell>
          <cell r="F250">
            <v>8</v>
          </cell>
          <cell r="G250">
            <v>52.37</v>
          </cell>
          <cell r="H250">
            <v>34.340000000000003</v>
          </cell>
          <cell r="I250">
            <v>40.130000000000003</v>
          </cell>
          <cell r="J250">
            <v>6.75</v>
          </cell>
          <cell r="K250">
            <v>3.63</v>
          </cell>
          <cell r="L250">
            <v>7.25</v>
          </cell>
          <cell r="M250">
            <v>5.75</v>
          </cell>
          <cell r="N250">
            <v>80</v>
          </cell>
          <cell r="O250">
            <v>39.25</v>
          </cell>
          <cell r="P250">
            <v>74.13</v>
          </cell>
          <cell r="Q250">
            <v>45.19</v>
          </cell>
          <cell r="R250">
            <v>376.08</v>
          </cell>
          <cell r="S250">
            <v>360.45</v>
          </cell>
          <cell r="T250">
            <v>369.89</v>
          </cell>
          <cell r="U250">
            <v>5.0640999999999998</v>
          </cell>
          <cell r="V250">
            <v>7.0312999999999999</v>
          </cell>
          <cell r="W250">
            <v>5.82</v>
          </cell>
          <cell r="X250">
            <v>0</v>
          </cell>
          <cell r="Y250">
            <v>0</v>
          </cell>
          <cell r="Z250">
            <v>0</v>
          </cell>
          <cell r="AA250">
            <v>39.369999999999997</v>
          </cell>
          <cell r="AB250">
            <v>360.45</v>
          </cell>
          <cell r="AC250">
            <v>7.0312999999999999</v>
          </cell>
          <cell r="AD250">
            <v>0</v>
          </cell>
          <cell r="AE250">
            <v>36.44</v>
          </cell>
          <cell r="AF250">
            <v>365.9</v>
          </cell>
          <cell r="AG250">
            <v>6.4166999999999996</v>
          </cell>
          <cell r="AH250">
            <v>775.67</v>
          </cell>
          <cell r="AI250">
            <v>8</v>
          </cell>
          <cell r="AJ250">
            <v>52.37</v>
          </cell>
          <cell r="AK250">
            <v>34.340000000000003</v>
          </cell>
          <cell r="AL250">
            <v>40.130000000000003</v>
          </cell>
          <cell r="AM250">
            <v>6.75</v>
          </cell>
          <cell r="AN250">
            <v>3.63</v>
          </cell>
          <cell r="AO250">
            <v>7.25</v>
          </cell>
          <cell r="AP250">
            <v>5.75</v>
          </cell>
          <cell r="AQ250">
            <v>5.8449999999999998</v>
          </cell>
        </row>
        <row r="251">
          <cell r="D251" t="str">
            <v>미술학과(가구조형디자인)</v>
          </cell>
          <cell r="E251">
            <v>313</v>
          </cell>
          <cell r="F251">
            <v>6</v>
          </cell>
          <cell r="G251">
            <v>47.64</v>
          </cell>
          <cell r="H251">
            <v>37.57</v>
          </cell>
          <cell r="I251">
            <v>43.63</v>
          </cell>
          <cell r="J251">
            <v>6.67</v>
          </cell>
          <cell r="K251">
            <v>5</v>
          </cell>
          <cell r="L251">
            <v>6.5</v>
          </cell>
          <cell r="M251">
            <v>4.92</v>
          </cell>
          <cell r="N251">
            <v>85.33</v>
          </cell>
          <cell r="O251">
            <v>50.83</v>
          </cell>
          <cell r="P251">
            <v>82</v>
          </cell>
          <cell r="Q251">
            <v>49.33</v>
          </cell>
          <cell r="R251">
            <v>392.59</v>
          </cell>
          <cell r="S251">
            <v>365.3</v>
          </cell>
          <cell r="T251">
            <v>378.81</v>
          </cell>
          <cell r="U251">
            <v>2.6837</v>
          </cell>
          <cell r="V251">
            <v>6.3936000000000002</v>
          </cell>
          <cell r="W251">
            <v>4.63</v>
          </cell>
          <cell r="X251">
            <v>0</v>
          </cell>
          <cell r="Y251">
            <v>0</v>
          </cell>
          <cell r="Z251">
            <v>0</v>
          </cell>
          <cell r="AA251">
            <v>44.99</v>
          </cell>
          <cell r="AB251">
            <v>392.59</v>
          </cell>
          <cell r="AC251">
            <v>2.6837</v>
          </cell>
          <cell r="AD251">
            <v>0</v>
          </cell>
          <cell r="AE251">
            <v>37.57</v>
          </cell>
          <cell r="AF251">
            <v>373.19</v>
          </cell>
          <cell r="AG251">
            <v>5.3018999999999998</v>
          </cell>
          <cell r="AH251">
            <v>880.76</v>
          </cell>
          <cell r="AI251">
            <v>6</v>
          </cell>
          <cell r="AJ251">
            <v>47.64</v>
          </cell>
          <cell r="AK251">
            <v>37.57</v>
          </cell>
          <cell r="AL251">
            <v>43.63</v>
          </cell>
          <cell r="AM251">
            <v>6.67</v>
          </cell>
          <cell r="AN251">
            <v>5</v>
          </cell>
          <cell r="AO251">
            <v>6.5</v>
          </cell>
          <cell r="AP251">
            <v>4.92</v>
          </cell>
          <cell r="AQ251">
            <v>5.7725000000000009</v>
          </cell>
        </row>
        <row r="252">
          <cell r="D252" t="str">
            <v>산업디자인과(디지털생활기기디자인)</v>
          </cell>
          <cell r="E252">
            <v>331</v>
          </cell>
          <cell r="F252">
            <v>12</v>
          </cell>
          <cell r="G252">
            <v>174.15</v>
          </cell>
          <cell r="H252">
            <v>135.52000000000001</v>
          </cell>
          <cell r="I252">
            <v>152.99</v>
          </cell>
          <cell r="J252">
            <v>4.83</v>
          </cell>
          <cell r="K252">
            <v>5</v>
          </cell>
          <cell r="L252">
            <v>5.25</v>
          </cell>
          <cell r="M252">
            <v>4.58</v>
          </cell>
          <cell r="N252">
            <v>104.08</v>
          </cell>
          <cell r="O252">
            <v>61.75</v>
          </cell>
          <cell r="P252">
            <v>97.5</v>
          </cell>
          <cell r="Q252">
            <v>51.75</v>
          </cell>
          <cell r="R252">
            <v>485.82</v>
          </cell>
          <cell r="S252">
            <v>454.17</v>
          </cell>
          <cell r="T252">
            <v>466.72</v>
          </cell>
          <cell r="U252">
            <v>3.4897999999999998</v>
          </cell>
          <cell r="V252">
            <v>6.67</v>
          </cell>
          <cell r="W252">
            <v>5.39</v>
          </cell>
          <cell r="X252">
            <v>0</v>
          </cell>
          <cell r="Y252">
            <v>0</v>
          </cell>
          <cell r="Z252">
            <v>0</v>
          </cell>
          <cell r="AA252">
            <v>150.34</v>
          </cell>
          <cell r="AB252">
            <v>457.74</v>
          </cell>
          <cell r="AC252">
            <v>6.3468999999999998</v>
          </cell>
          <cell r="AD252">
            <v>0</v>
          </cell>
          <cell r="AE252">
            <v>154.37</v>
          </cell>
          <cell r="AF252">
            <v>469.18</v>
          </cell>
          <cell r="AG252">
            <v>5.1383000000000001</v>
          </cell>
          <cell r="AH252">
            <v>776.88</v>
          </cell>
          <cell r="AI252">
            <v>12</v>
          </cell>
          <cell r="AJ252">
            <v>169.1</v>
          </cell>
          <cell r="AK252">
            <v>124.72</v>
          </cell>
          <cell r="AL252">
            <v>147.99</v>
          </cell>
          <cell r="AM252">
            <v>5.42</v>
          </cell>
          <cell r="AN252">
            <v>5</v>
          </cell>
          <cell r="AO252">
            <v>5.5</v>
          </cell>
          <cell r="AP252">
            <v>4.42</v>
          </cell>
          <cell r="AQ252">
            <v>5.085</v>
          </cell>
        </row>
        <row r="253">
          <cell r="D253" t="str">
            <v>산업디자인과(디지털커뮤니케이션디자인)</v>
          </cell>
          <cell r="E253">
            <v>332</v>
          </cell>
          <cell r="F253">
            <v>13</v>
          </cell>
          <cell r="G253">
            <v>173.34</v>
          </cell>
          <cell r="H253">
            <v>142.59</v>
          </cell>
          <cell r="I253">
            <v>159.35</v>
          </cell>
          <cell r="J253">
            <v>4.62</v>
          </cell>
          <cell r="K253">
            <v>5.23</v>
          </cell>
          <cell r="L253">
            <v>4.62</v>
          </cell>
          <cell r="M253">
            <v>3.92</v>
          </cell>
          <cell r="N253">
            <v>105.77</v>
          </cell>
          <cell r="O253">
            <v>71.23</v>
          </cell>
          <cell r="P253">
            <v>103.08</v>
          </cell>
          <cell r="Q253">
            <v>54.92</v>
          </cell>
          <cell r="R253">
            <v>483.19</v>
          </cell>
          <cell r="S253">
            <v>455.47</v>
          </cell>
          <cell r="T253">
            <v>465.32</v>
          </cell>
          <cell r="U253">
            <v>3.8039000000000001</v>
          </cell>
          <cell r="V253">
            <v>6.6</v>
          </cell>
          <cell r="W253">
            <v>5.54</v>
          </cell>
          <cell r="X253">
            <v>0</v>
          </cell>
          <cell r="Y253">
            <v>0</v>
          </cell>
          <cell r="Z253">
            <v>0</v>
          </cell>
          <cell r="AA253">
            <v>162.75</v>
          </cell>
          <cell r="AB253">
            <v>459.69</v>
          </cell>
          <cell r="AC253">
            <v>6.0833000000000004</v>
          </cell>
          <cell r="AD253">
            <v>0</v>
          </cell>
          <cell r="AE253">
            <v>150.37</v>
          </cell>
          <cell r="AF253">
            <v>456.82</v>
          </cell>
          <cell r="AG253">
            <v>6.4057000000000004</v>
          </cell>
          <cell r="AH253">
            <v>779.86</v>
          </cell>
          <cell r="AI253">
            <v>13</v>
          </cell>
          <cell r="AJ253">
            <v>167.23</v>
          </cell>
          <cell r="AK253">
            <v>142.59</v>
          </cell>
          <cell r="AL253">
            <v>153.46</v>
          </cell>
          <cell r="AM253">
            <v>4.92</v>
          </cell>
          <cell r="AN253">
            <v>5.69</v>
          </cell>
          <cell r="AO253">
            <v>5.23</v>
          </cell>
          <cell r="AP253">
            <v>4.04</v>
          </cell>
          <cell r="AQ253">
            <v>4.97</v>
          </cell>
        </row>
        <row r="254">
          <cell r="D254" t="str">
            <v>산업디자인과(디지털미디어디자인)</v>
          </cell>
          <cell r="E254">
            <v>333</v>
          </cell>
          <cell r="F254">
            <v>5</v>
          </cell>
          <cell r="G254">
            <v>147.32</v>
          </cell>
          <cell r="H254">
            <v>130.57</v>
          </cell>
          <cell r="I254">
            <v>141.28</v>
          </cell>
          <cell r="J254">
            <v>5.6</v>
          </cell>
          <cell r="K254">
            <v>4</v>
          </cell>
          <cell r="L254">
            <v>6.2</v>
          </cell>
          <cell r="M254">
            <v>4.5</v>
          </cell>
          <cell r="N254">
            <v>93</v>
          </cell>
          <cell r="O254">
            <v>48.4</v>
          </cell>
          <cell r="P254">
            <v>88.6</v>
          </cell>
          <cell r="Q254">
            <v>52.3</v>
          </cell>
          <cell r="R254">
            <v>479.24</v>
          </cell>
          <cell r="S254">
            <v>455.14</v>
          </cell>
          <cell r="T254">
            <v>464.32</v>
          </cell>
          <cell r="U254">
            <v>4.0974000000000004</v>
          </cell>
          <cell r="V254">
            <v>6.7592999999999996</v>
          </cell>
          <cell r="W254">
            <v>5.66</v>
          </cell>
          <cell r="X254">
            <v>0</v>
          </cell>
          <cell r="Y254">
            <v>0</v>
          </cell>
          <cell r="Z254">
            <v>0</v>
          </cell>
          <cell r="AA254">
            <v>140.74</v>
          </cell>
          <cell r="AB254">
            <v>464.81</v>
          </cell>
          <cell r="AC254">
            <v>5.5769000000000002</v>
          </cell>
          <cell r="AD254">
            <v>0</v>
          </cell>
          <cell r="AE254">
            <v>140.72</v>
          </cell>
          <cell r="AF254">
            <v>467.23</v>
          </cell>
          <cell r="AG254">
            <v>5.3163</v>
          </cell>
          <cell r="AH254">
            <v>779.95</v>
          </cell>
          <cell r="AI254">
            <v>5</v>
          </cell>
          <cell r="AJ254">
            <v>147.32</v>
          </cell>
          <cell r="AK254">
            <v>130.57</v>
          </cell>
          <cell r="AL254">
            <v>141.28</v>
          </cell>
          <cell r="AM254">
            <v>5.6</v>
          </cell>
          <cell r="AN254">
            <v>4</v>
          </cell>
          <cell r="AO254">
            <v>6.2</v>
          </cell>
          <cell r="AP254">
            <v>4.5</v>
          </cell>
          <cell r="AQ254">
            <v>5.0750000000000002</v>
          </cell>
        </row>
        <row r="255">
          <cell r="D255" t="str">
            <v>무용학과</v>
          </cell>
          <cell r="E255">
            <v>334</v>
          </cell>
          <cell r="F255">
            <v>8</v>
          </cell>
          <cell r="G255">
            <v>47.39</v>
          </cell>
          <cell r="H255">
            <v>33.6</v>
          </cell>
          <cell r="I255">
            <v>40.950000000000003</v>
          </cell>
          <cell r="J255">
            <v>7.13</v>
          </cell>
          <cell r="K255">
            <v>6.5</v>
          </cell>
          <cell r="L255">
            <v>6.63</v>
          </cell>
          <cell r="M255">
            <v>5.81</v>
          </cell>
          <cell r="N255">
            <v>78.25</v>
          </cell>
          <cell r="O255">
            <v>67.38</v>
          </cell>
          <cell r="P255">
            <v>80.75</v>
          </cell>
          <cell r="Q255">
            <v>44.56</v>
          </cell>
          <cell r="R255">
            <v>299.27</v>
          </cell>
          <cell r="S255">
            <v>266.33999999999997</v>
          </cell>
          <cell r="T255">
            <v>285.83999999999997</v>
          </cell>
          <cell r="U255">
            <v>1.3611</v>
          </cell>
          <cell r="V255">
            <v>8.4635999999999996</v>
          </cell>
          <cell r="W255">
            <v>4.3600000000000003</v>
          </cell>
          <cell r="X255">
            <v>0</v>
          </cell>
          <cell r="Y255">
            <v>0</v>
          </cell>
          <cell r="Z255">
            <v>0</v>
          </cell>
          <cell r="AA255">
            <v>39.53</v>
          </cell>
          <cell r="AB255">
            <v>266.33999999999997</v>
          </cell>
          <cell r="AC255">
            <v>8.4635999999999996</v>
          </cell>
          <cell r="AD255">
            <v>0</v>
          </cell>
          <cell r="AE255">
            <v>33.6</v>
          </cell>
          <cell r="AF255">
            <v>281.05</v>
          </cell>
          <cell r="AG255">
            <v>5.2041000000000004</v>
          </cell>
          <cell r="AH255">
            <v>830.65</v>
          </cell>
          <cell r="AI255">
            <v>6</v>
          </cell>
          <cell r="AJ255">
            <v>46.61</v>
          </cell>
          <cell r="AK255">
            <v>33.6</v>
          </cell>
          <cell r="AL255">
            <v>39.409999999999997</v>
          </cell>
          <cell r="AM255">
            <v>7.5</v>
          </cell>
          <cell r="AN255">
            <v>7.5</v>
          </cell>
          <cell r="AO255">
            <v>6.83</v>
          </cell>
          <cell r="AP255">
            <v>6</v>
          </cell>
          <cell r="AQ255">
            <v>6.9574999999999996</v>
          </cell>
        </row>
        <row r="256">
          <cell r="D256" t="str">
            <v>음악과(작곡)</v>
          </cell>
          <cell r="E256">
            <v>361</v>
          </cell>
          <cell r="F256">
            <v>3</v>
          </cell>
          <cell r="G256">
            <v>58.64</v>
          </cell>
          <cell r="H256">
            <v>41.77</v>
          </cell>
          <cell r="I256">
            <v>48.93</v>
          </cell>
          <cell r="J256">
            <v>5</v>
          </cell>
          <cell r="K256">
            <v>7</v>
          </cell>
          <cell r="L256">
            <v>5.33</v>
          </cell>
          <cell r="M256">
            <v>5.33</v>
          </cell>
          <cell r="N256">
            <v>99.33</v>
          </cell>
          <cell r="O256">
            <v>81</v>
          </cell>
          <cell r="P256">
            <v>95.33</v>
          </cell>
          <cell r="Q256">
            <v>48.5</v>
          </cell>
          <cell r="R256">
            <v>189.07</v>
          </cell>
          <cell r="S256">
            <v>181.32</v>
          </cell>
          <cell r="T256">
            <v>184.81</v>
          </cell>
          <cell r="U256">
            <v>4.7699999999999996</v>
          </cell>
          <cell r="V256">
            <v>6.8060999999999998</v>
          </cell>
          <cell r="W256">
            <v>5.85</v>
          </cell>
          <cell r="X256">
            <v>0</v>
          </cell>
          <cell r="Y256">
            <v>0</v>
          </cell>
          <cell r="Z256">
            <v>0</v>
          </cell>
          <cell r="AA256">
            <v>46.37</v>
          </cell>
          <cell r="AB256">
            <v>181.32</v>
          </cell>
          <cell r="AC256">
            <v>6.8060999999999998</v>
          </cell>
          <cell r="AD256">
            <v>0</v>
          </cell>
          <cell r="AE256">
            <v>46.37</v>
          </cell>
          <cell r="AF256">
            <v>181.32</v>
          </cell>
          <cell r="AG256">
            <v>6.8060999999999998</v>
          </cell>
          <cell r="AH256">
            <v>829.69</v>
          </cell>
          <cell r="AI256">
            <v>2</v>
          </cell>
          <cell r="AJ256">
            <v>58.64</v>
          </cell>
          <cell r="AK256">
            <v>46.37</v>
          </cell>
          <cell r="AL256">
            <v>52.51</v>
          </cell>
          <cell r="AM256">
            <v>4</v>
          </cell>
          <cell r="AN256">
            <v>7.5</v>
          </cell>
          <cell r="AO256">
            <v>5</v>
          </cell>
          <cell r="AP256">
            <v>5</v>
          </cell>
          <cell r="AQ256">
            <v>5.375</v>
          </cell>
        </row>
        <row r="257">
          <cell r="D257" t="str">
            <v>음악과(성악)</v>
          </cell>
          <cell r="E257">
            <v>362</v>
          </cell>
          <cell r="F257">
            <v>11</v>
          </cell>
          <cell r="G257">
            <v>48.8</v>
          </cell>
          <cell r="H257">
            <v>33.450000000000003</v>
          </cell>
          <cell r="I257">
            <v>42</v>
          </cell>
          <cell r="J257">
            <v>7</v>
          </cell>
          <cell r="K257">
            <v>2.91</v>
          </cell>
          <cell r="L257">
            <v>6.27</v>
          </cell>
          <cell r="M257">
            <v>5.77</v>
          </cell>
          <cell r="N257">
            <v>80.45</v>
          </cell>
          <cell r="O257">
            <v>38.270000000000003</v>
          </cell>
          <cell r="P257">
            <v>83.73</v>
          </cell>
          <cell r="Q257">
            <v>44.45</v>
          </cell>
          <cell r="R257">
            <v>191.78</v>
          </cell>
          <cell r="S257">
            <v>177.6</v>
          </cell>
          <cell r="T257">
            <v>183.85</v>
          </cell>
          <cell r="U257">
            <v>3.9321000000000002</v>
          </cell>
          <cell r="V257">
            <v>8.1382999999999992</v>
          </cell>
          <cell r="W257">
            <v>6.13</v>
          </cell>
          <cell r="X257">
            <v>0</v>
          </cell>
          <cell r="Y257">
            <v>0</v>
          </cell>
          <cell r="Z257">
            <v>0</v>
          </cell>
          <cell r="AA257">
            <v>33.450000000000003</v>
          </cell>
          <cell r="AB257">
            <v>177.6</v>
          </cell>
          <cell r="AC257">
            <v>8.1382999999999992</v>
          </cell>
          <cell r="AD257">
            <v>0</v>
          </cell>
          <cell r="AE257">
            <v>41.96</v>
          </cell>
          <cell r="AF257">
            <v>179.48</v>
          </cell>
          <cell r="AG257">
            <v>7.2453000000000003</v>
          </cell>
          <cell r="AH257">
            <v>796.6</v>
          </cell>
          <cell r="AI257">
            <v>11</v>
          </cell>
          <cell r="AJ257">
            <v>50.09</v>
          </cell>
          <cell r="AK257">
            <v>33.450000000000003</v>
          </cell>
          <cell r="AL257">
            <v>42.71</v>
          </cell>
          <cell r="AM257">
            <v>6.82</v>
          </cell>
          <cell r="AN257">
            <v>3.64</v>
          </cell>
          <cell r="AO257">
            <v>6.18</v>
          </cell>
          <cell r="AP257">
            <v>5.68</v>
          </cell>
          <cell r="AQ257">
            <v>5.58</v>
          </cell>
        </row>
        <row r="258">
          <cell r="D258" t="str">
            <v>음악과(피아노)</v>
          </cell>
          <cell r="E258">
            <v>363</v>
          </cell>
          <cell r="F258">
            <v>10</v>
          </cell>
          <cell r="G258">
            <v>53.31</v>
          </cell>
          <cell r="H258">
            <v>37.57</v>
          </cell>
          <cell r="I258">
            <v>45.52</v>
          </cell>
          <cell r="J258">
            <v>5.8</v>
          </cell>
          <cell r="K258">
            <v>2.4</v>
          </cell>
          <cell r="L258">
            <v>5.9</v>
          </cell>
          <cell r="M258">
            <v>5.6</v>
          </cell>
          <cell r="N258">
            <v>91.8</v>
          </cell>
          <cell r="O258">
            <v>34.700000000000003</v>
          </cell>
          <cell r="P258">
            <v>88.9</v>
          </cell>
          <cell r="Q258">
            <v>45.55</v>
          </cell>
          <cell r="R258">
            <v>192.51</v>
          </cell>
          <cell r="S258">
            <v>184.73</v>
          </cell>
          <cell r="T258">
            <v>188.82</v>
          </cell>
          <cell r="U258">
            <v>3.7654000000000001</v>
          </cell>
          <cell r="V258">
            <v>5.9130000000000003</v>
          </cell>
          <cell r="W258">
            <v>4.82</v>
          </cell>
          <cell r="X258">
            <v>0</v>
          </cell>
          <cell r="Y258">
            <v>0</v>
          </cell>
          <cell r="Z258">
            <v>0</v>
          </cell>
          <cell r="AA258">
            <v>48.19</v>
          </cell>
          <cell r="AB258">
            <v>188.1</v>
          </cell>
          <cell r="AC258">
            <v>5.0185000000000004</v>
          </cell>
          <cell r="AD258">
            <v>0</v>
          </cell>
          <cell r="AE258">
            <v>44.82</v>
          </cell>
          <cell r="AF258">
            <v>191.97</v>
          </cell>
          <cell r="AG258">
            <v>4.0617000000000001</v>
          </cell>
          <cell r="AH258">
            <v>832.96</v>
          </cell>
          <cell r="AI258">
            <v>10</v>
          </cell>
          <cell r="AJ258">
            <v>53.31</v>
          </cell>
          <cell r="AK258">
            <v>37.57</v>
          </cell>
          <cell r="AL258">
            <v>45.52</v>
          </cell>
          <cell r="AM258">
            <v>5.8</v>
          </cell>
          <cell r="AN258">
            <v>2.4</v>
          </cell>
          <cell r="AO258">
            <v>5.9</v>
          </cell>
          <cell r="AP258">
            <v>5.6</v>
          </cell>
          <cell r="AQ258">
            <v>4.9249999999999998</v>
          </cell>
        </row>
        <row r="259">
          <cell r="D259" t="str">
            <v>음악과(관악 오보에)</v>
          </cell>
          <cell r="E259">
            <v>364</v>
          </cell>
          <cell r="F259">
            <v>1</v>
          </cell>
          <cell r="G259">
            <v>36.94</v>
          </cell>
          <cell r="H259">
            <v>36.94</v>
          </cell>
          <cell r="I259">
            <v>36.94</v>
          </cell>
          <cell r="J259">
            <v>8</v>
          </cell>
          <cell r="K259">
            <v>7</v>
          </cell>
          <cell r="L259">
            <v>7</v>
          </cell>
          <cell r="M259">
            <v>7</v>
          </cell>
          <cell r="N259">
            <v>68</v>
          </cell>
          <cell r="O259">
            <v>81</v>
          </cell>
          <cell r="P259">
            <v>75</v>
          </cell>
          <cell r="Q259">
            <v>40.5</v>
          </cell>
          <cell r="R259">
            <v>185.27</v>
          </cell>
          <cell r="S259">
            <v>185.27</v>
          </cell>
          <cell r="T259">
            <v>185.27</v>
          </cell>
          <cell r="U259">
            <v>5.7291999999999996</v>
          </cell>
          <cell r="V259">
            <v>5.7291999999999996</v>
          </cell>
          <cell r="W259">
            <v>5.73</v>
          </cell>
          <cell r="X259">
            <v>0</v>
          </cell>
          <cell r="Y259">
            <v>0</v>
          </cell>
          <cell r="Z259">
            <v>0</v>
          </cell>
          <cell r="AA259">
            <v>36.94</v>
          </cell>
          <cell r="AB259">
            <v>185.27</v>
          </cell>
          <cell r="AC259">
            <v>5.7291999999999996</v>
          </cell>
          <cell r="AD259">
            <v>0</v>
          </cell>
          <cell r="AE259">
            <v>36.94</v>
          </cell>
          <cell r="AF259">
            <v>185.27</v>
          </cell>
          <cell r="AG259">
            <v>5.7291999999999996</v>
          </cell>
          <cell r="AH259">
            <v>852.21</v>
          </cell>
          <cell r="AI259">
            <v>1</v>
          </cell>
          <cell r="AJ259">
            <v>34.130000000000003</v>
          </cell>
          <cell r="AK259">
            <v>34.130000000000003</v>
          </cell>
          <cell r="AL259">
            <v>34.130000000000003</v>
          </cell>
          <cell r="AM259">
            <v>8</v>
          </cell>
          <cell r="AN259">
            <v>8</v>
          </cell>
          <cell r="AO259">
            <v>9</v>
          </cell>
          <cell r="AP259">
            <v>7</v>
          </cell>
          <cell r="AQ259">
            <v>8</v>
          </cell>
        </row>
        <row r="260">
          <cell r="D260" t="str">
            <v>음악과(관악 트럼펫)</v>
          </cell>
          <cell r="E260">
            <v>365</v>
          </cell>
          <cell r="F260">
            <v>1</v>
          </cell>
          <cell r="G260">
            <v>37.299999999999997</v>
          </cell>
          <cell r="H260">
            <v>37.299999999999997</v>
          </cell>
          <cell r="I260">
            <v>37.299999999999997</v>
          </cell>
          <cell r="J260">
            <v>8</v>
          </cell>
          <cell r="K260">
            <v>0</v>
          </cell>
          <cell r="L260">
            <v>7</v>
          </cell>
          <cell r="M260">
            <v>6</v>
          </cell>
          <cell r="N260">
            <v>64</v>
          </cell>
          <cell r="O260">
            <v>0</v>
          </cell>
          <cell r="P260">
            <v>78</v>
          </cell>
          <cell r="Q260">
            <v>44.5</v>
          </cell>
          <cell r="R260">
            <v>185.14</v>
          </cell>
          <cell r="S260">
            <v>185.14</v>
          </cell>
          <cell r="T260">
            <v>185.14</v>
          </cell>
          <cell r="U260">
            <v>5.7375999999999996</v>
          </cell>
          <cell r="V260">
            <v>5.7375999999999996</v>
          </cell>
          <cell r="W260">
            <v>5.74</v>
          </cell>
          <cell r="X260">
            <v>0</v>
          </cell>
          <cell r="Y260">
            <v>0</v>
          </cell>
          <cell r="Z260">
            <v>0</v>
          </cell>
          <cell r="AA260">
            <v>37.299999999999997</v>
          </cell>
          <cell r="AB260">
            <v>185.14</v>
          </cell>
          <cell r="AC260">
            <v>5.7375999999999996</v>
          </cell>
          <cell r="AD260">
            <v>0</v>
          </cell>
          <cell r="AE260">
            <v>37.299999999999997</v>
          </cell>
          <cell r="AF260">
            <v>185.14</v>
          </cell>
          <cell r="AG260">
            <v>5.7375999999999996</v>
          </cell>
          <cell r="AH260">
            <v>864.11</v>
          </cell>
          <cell r="AI260">
            <v>1</v>
          </cell>
          <cell r="AJ260">
            <v>37.299999999999997</v>
          </cell>
          <cell r="AK260">
            <v>37.299999999999997</v>
          </cell>
          <cell r="AL260">
            <v>37.299999999999997</v>
          </cell>
          <cell r="AM260">
            <v>8</v>
          </cell>
          <cell r="AN260">
            <v>0</v>
          </cell>
          <cell r="AO260">
            <v>7</v>
          </cell>
          <cell r="AP260">
            <v>6</v>
          </cell>
          <cell r="AQ260">
            <v>5.25</v>
          </cell>
        </row>
        <row r="261">
          <cell r="D261" t="str">
            <v>음악과(관악 트럼본)</v>
          </cell>
          <cell r="E261">
            <v>366</v>
          </cell>
          <cell r="F261">
            <v>1</v>
          </cell>
          <cell r="G261">
            <v>48.49</v>
          </cell>
          <cell r="H261">
            <v>48.49</v>
          </cell>
          <cell r="I261">
            <v>48.49</v>
          </cell>
          <cell r="J261">
            <v>4</v>
          </cell>
          <cell r="K261">
            <v>0</v>
          </cell>
          <cell r="L261">
            <v>6</v>
          </cell>
          <cell r="M261">
            <v>5</v>
          </cell>
          <cell r="N261">
            <v>108</v>
          </cell>
          <cell r="O261">
            <v>0</v>
          </cell>
          <cell r="P261">
            <v>84</v>
          </cell>
          <cell r="Q261">
            <v>49</v>
          </cell>
          <cell r="R261">
            <v>186.23</v>
          </cell>
          <cell r="S261">
            <v>186.23</v>
          </cell>
          <cell r="T261">
            <v>186.23</v>
          </cell>
          <cell r="U261">
            <v>5.2857000000000003</v>
          </cell>
          <cell r="V261">
            <v>5.2857000000000003</v>
          </cell>
          <cell r="W261">
            <v>5.29</v>
          </cell>
          <cell r="X261">
            <v>0</v>
          </cell>
          <cell r="Y261">
            <v>0</v>
          </cell>
          <cell r="Z261">
            <v>0</v>
          </cell>
          <cell r="AA261">
            <v>48.49</v>
          </cell>
          <cell r="AB261">
            <v>186.23</v>
          </cell>
          <cell r="AC261">
            <v>5.2857000000000003</v>
          </cell>
          <cell r="AD261">
            <v>0</v>
          </cell>
          <cell r="AE261">
            <v>48.49</v>
          </cell>
          <cell r="AF261">
            <v>186.23</v>
          </cell>
          <cell r="AG261">
            <v>5.2857000000000003</v>
          </cell>
          <cell r="AH261">
            <v>857.72</v>
          </cell>
          <cell r="AI261">
            <v>1</v>
          </cell>
          <cell r="AJ261">
            <v>41.6</v>
          </cell>
          <cell r="AK261">
            <v>41.6</v>
          </cell>
          <cell r="AL261">
            <v>41.6</v>
          </cell>
          <cell r="AM261">
            <v>7</v>
          </cell>
          <cell r="AN261">
            <v>6</v>
          </cell>
          <cell r="AO261">
            <v>8</v>
          </cell>
          <cell r="AP261">
            <v>3.5</v>
          </cell>
          <cell r="AQ261">
            <v>6.125</v>
          </cell>
        </row>
        <row r="262">
          <cell r="D262" t="str">
            <v>음악과(관악 바순)</v>
          </cell>
          <cell r="E262">
            <v>367</v>
          </cell>
          <cell r="F262">
            <v>1</v>
          </cell>
          <cell r="G262">
            <v>37.76</v>
          </cell>
          <cell r="H262">
            <v>37.76</v>
          </cell>
          <cell r="I262">
            <v>37.76</v>
          </cell>
          <cell r="J262">
            <v>7</v>
          </cell>
          <cell r="K262">
            <v>0</v>
          </cell>
          <cell r="L262">
            <v>8</v>
          </cell>
          <cell r="M262">
            <v>6.5</v>
          </cell>
          <cell r="N262">
            <v>74</v>
          </cell>
          <cell r="O262">
            <v>0</v>
          </cell>
          <cell r="P262">
            <v>71</v>
          </cell>
          <cell r="Q262">
            <v>42.5</v>
          </cell>
          <cell r="R262">
            <v>181.08</v>
          </cell>
          <cell r="S262">
            <v>181.08</v>
          </cell>
          <cell r="T262">
            <v>181.08</v>
          </cell>
          <cell r="U262">
            <v>6.7161</v>
          </cell>
          <cell r="V262">
            <v>6.7161</v>
          </cell>
          <cell r="W262">
            <v>6.72</v>
          </cell>
          <cell r="X262">
            <v>0</v>
          </cell>
          <cell r="Y262">
            <v>0</v>
          </cell>
          <cell r="Z262">
            <v>0</v>
          </cell>
          <cell r="AA262">
            <v>37.76</v>
          </cell>
          <cell r="AB262">
            <v>181.08</v>
          </cell>
          <cell r="AC262">
            <v>6.7161</v>
          </cell>
          <cell r="AD262">
            <v>0</v>
          </cell>
          <cell r="AE262">
            <v>37.76</v>
          </cell>
          <cell r="AF262">
            <v>181.08</v>
          </cell>
          <cell r="AG262">
            <v>6.7161</v>
          </cell>
          <cell r="AH262">
            <v>797.51</v>
          </cell>
          <cell r="AI262">
            <v>1</v>
          </cell>
          <cell r="AJ262">
            <v>37.76</v>
          </cell>
          <cell r="AK262">
            <v>37.76</v>
          </cell>
          <cell r="AL262">
            <v>37.76</v>
          </cell>
          <cell r="AM262">
            <v>7</v>
          </cell>
          <cell r="AN262">
            <v>0</v>
          </cell>
          <cell r="AO262">
            <v>8</v>
          </cell>
          <cell r="AP262">
            <v>6.5</v>
          </cell>
          <cell r="AQ262">
            <v>5.375</v>
          </cell>
        </row>
        <row r="263">
          <cell r="D263" t="str">
            <v>음악과(관악 타악기)</v>
          </cell>
          <cell r="E263">
            <v>368</v>
          </cell>
          <cell r="F263">
            <v>1</v>
          </cell>
          <cell r="G263">
            <v>47.98</v>
          </cell>
          <cell r="H263">
            <v>47.98</v>
          </cell>
          <cell r="I263">
            <v>47.98</v>
          </cell>
          <cell r="J263">
            <v>5</v>
          </cell>
          <cell r="K263">
            <v>0</v>
          </cell>
          <cell r="L263">
            <v>6</v>
          </cell>
          <cell r="M263">
            <v>5.5</v>
          </cell>
          <cell r="N263">
            <v>102</v>
          </cell>
          <cell r="O263">
            <v>0</v>
          </cell>
          <cell r="P263">
            <v>90</v>
          </cell>
          <cell r="Q263">
            <v>46.5</v>
          </cell>
          <cell r="R263">
            <v>183.92</v>
          </cell>
          <cell r="S263">
            <v>183.92</v>
          </cell>
          <cell r="T263">
            <v>183.92</v>
          </cell>
          <cell r="U263">
            <v>6.0326000000000004</v>
          </cell>
          <cell r="V263">
            <v>6.0326000000000004</v>
          </cell>
          <cell r="W263">
            <v>6.03</v>
          </cell>
          <cell r="X263">
            <v>0</v>
          </cell>
          <cell r="Y263">
            <v>0</v>
          </cell>
          <cell r="Z263">
            <v>0</v>
          </cell>
          <cell r="AA263">
            <v>47.98</v>
          </cell>
          <cell r="AB263">
            <v>183.92</v>
          </cell>
          <cell r="AC263">
            <v>6.0326000000000004</v>
          </cell>
          <cell r="AD263">
            <v>0</v>
          </cell>
          <cell r="AE263">
            <v>47.98</v>
          </cell>
          <cell r="AF263">
            <v>183.92</v>
          </cell>
          <cell r="AG263">
            <v>6.0326000000000004</v>
          </cell>
          <cell r="AH263">
            <v>854.9</v>
          </cell>
          <cell r="AI263">
            <v>1</v>
          </cell>
          <cell r="AJ263">
            <v>39.86</v>
          </cell>
          <cell r="AK263">
            <v>39.86</v>
          </cell>
          <cell r="AL263">
            <v>39.86</v>
          </cell>
          <cell r="AM263">
            <v>7</v>
          </cell>
          <cell r="AN263">
            <v>6</v>
          </cell>
          <cell r="AO263">
            <v>7</v>
          </cell>
          <cell r="AP263">
            <v>6</v>
          </cell>
          <cell r="AQ263">
            <v>6.5</v>
          </cell>
        </row>
        <row r="264">
          <cell r="D264" t="str">
            <v>음악과(현악 바이올린)</v>
          </cell>
          <cell r="E264">
            <v>369</v>
          </cell>
          <cell r="F264">
            <v>6</v>
          </cell>
          <cell r="G264">
            <v>54.85</v>
          </cell>
          <cell r="H264">
            <v>35.29</v>
          </cell>
          <cell r="I264">
            <v>43.14</v>
          </cell>
          <cell r="J264">
            <v>6</v>
          </cell>
          <cell r="K264">
            <v>3.33</v>
          </cell>
          <cell r="L264">
            <v>7</v>
          </cell>
          <cell r="M264">
            <v>5.67</v>
          </cell>
          <cell r="N264">
            <v>89.83</v>
          </cell>
          <cell r="O264">
            <v>43.33</v>
          </cell>
          <cell r="P264">
            <v>79</v>
          </cell>
          <cell r="Q264">
            <v>45.5</v>
          </cell>
          <cell r="R264">
            <v>196.42</v>
          </cell>
          <cell r="S264">
            <v>185.95</v>
          </cell>
          <cell r="T264">
            <v>189.9</v>
          </cell>
          <cell r="U264">
            <v>2.5975999999999999</v>
          </cell>
          <cell r="V264">
            <v>5.5494000000000003</v>
          </cell>
          <cell r="W264">
            <v>4.5</v>
          </cell>
          <cell r="X264">
            <v>0</v>
          </cell>
          <cell r="Y264">
            <v>0</v>
          </cell>
          <cell r="Z264">
            <v>0</v>
          </cell>
          <cell r="AA264">
            <v>38.229999999999997</v>
          </cell>
          <cell r="AB264">
            <v>191.52</v>
          </cell>
          <cell r="AC264">
            <v>4.0731999999999999</v>
          </cell>
          <cell r="AD264">
            <v>0</v>
          </cell>
          <cell r="AE264">
            <v>41.45</v>
          </cell>
          <cell r="AF264">
            <v>185.95</v>
          </cell>
          <cell r="AG264">
            <v>5.5494000000000003</v>
          </cell>
          <cell r="AH264">
            <v>845.73</v>
          </cell>
          <cell r="AI264">
            <v>6</v>
          </cell>
          <cell r="AJ264">
            <v>54.85</v>
          </cell>
          <cell r="AK264">
            <v>35.29</v>
          </cell>
          <cell r="AL264">
            <v>43.14</v>
          </cell>
          <cell r="AM264">
            <v>6</v>
          </cell>
          <cell r="AN264">
            <v>3.33</v>
          </cell>
          <cell r="AO264">
            <v>7</v>
          </cell>
          <cell r="AP264">
            <v>5.67</v>
          </cell>
          <cell r="AQ264">
            <v>5.5</v>
          </cell>
        </row>
        <row r="265">
          <cell r="D265" t="str">
            <v>음악과(현악 첼로)</v>
          </cell>
          <cell r="E265">
            <v>370</v>
          </cell>
          <cell r="F265">
            <v>2</v>
          </cell>
          <cell r="G265">
            <v>56.38</v>
          </cell>
          <cell r="H265">
            <v>38.54</v>
          </cell>
          <cell r="I265">
            <v>47.46</v>
          </cell>
          <cell r="J265">
            <v>5</v>
          </cell>
          <cell r="K265">
            <v>8</v>
          </cell>
          <cell r="L265">
            <v>5.5</v>
          </cell>
          <cell r="M265">
            <v>6.25</v>
          </cell>
          <cell r="N265">
            <v>99</v>
          </cell>
          <cell r="O265">
            <v>75</v>
          </cell>
          <cell r="P265">
            <v>93.5</v>
          </cell>
          <cell r="Q265">
            <v>43.5</v>
          </cell>
          <cell r="R265">
            <v>193.8</v>
          </cell>
          <cell r="S265">
            <v>186.03</v>
          </cell>
          <cell r="T265">
            <v>189.92</v>
          </cell>
          <cell r="U265">
            <v>3.5548999999999999</v>
          </cell>
          <cell r="V265">
            <v>5.5185000000000004</v>
          </cell>
          <cell r="W265">
            <v>4.54</v>
          </cell>
          <cell r="X265">
            <v>0</v>
          </cell>
          <cell r="Y265">
            <v>0</v>
          </cell>
          <cell r="Z265">
            <v>0</v>
          </cell>
          <cell r="AA265">
            <v>38.54</v>
          </cell>
          <cell r="AB265">
            <v>193.8</v>
          </cell>
          <cell r="AC265">
            <v>3.5548999999999999</v>
          </cell>
          <cell r="AD265">
            <v>0</v>
          </cell>
          <cell r="AE265">
            <v>38.54</v>
          </cell>
          <cell r="AF265">
            <v>193.8</v>
          </cell>
          <cell r="AG265">
            <v>3.5548999999999999</v>
          </cell>
          <cell r="AH265">
            <v>869.34</v>
          </cell>
          <cell r="AI265">
            <v>3</v>
          </cell>
          <cell r="AJ265">
            <v>56.38</v>
          </cell>
          <cell r="AK265">
            <v>38.54</v>
          </cell>
          <cell r="AL265">
            <v>48.68</v>
          </cell>
          <cell r="AM265">
            <v>5</v>
          </cell>
          <cell r="AN265">
            <v>5.33</v>
          </cell>
          <cell r="AO265">
            <v>5.33</v>
          </cell>
          <cell r="AP265">
            <v>5.5</v>
          </cell>
          <cell r="AQ265">
            <v>5.29</v>
          </cell>
        </row>
        <row r="266">
          <cell r="D266" t="str">
            <v>음악과(현악 비올라)</v>
          </cell>
          <cell r="E266">
            <v>371</v>
          </cell>
          <cell r="F266">
            <v>1</v>
          </cell>
          <cell r="G266">
            <v>37.67</v>
          </cell>
          <cell r="H266">
            <v>37.67</v>
          </cell>
          <cell r="I266">
            <v>37.67</v>
          </cell>
          <cell r="J266">
            <v>8</v>
          </cell>
          <cell r="K266">
            <v>7</v>
          </cell>
          <cell r="L266">
            <v>7</v>
          </cell>
          <cell r="M266">
            <v>6</v>
          </cell>
          <cell r="N266">
            <v>62</v>
          </cell>
          <cell r="O266">
            <v>77</v>
          </cell>
          <cell r="P266">
            <v>80</v>
          </cell>
          <cell r="Q266">
            <v>45</v>
          </cell>
          <cell r="R266">
            <v>193.93</v>
          </cell>
          <cell r="S266">
            <v>193.93</v>
          </cell>
          <cell r="T266">
            <v>193.93</v>
          </cell>
          <cell r="U266">
            <v>3.5731999999999999</v>
          </cell>
          <cell r="V266">
            <v>3.5731999999999999</v>
          </cell>
          <cell r="W266">
            <v>3.57</v>
          </cell>
          <cell r="X266">
            <v>0</v>
          </cell>
          <cell r="Y266">
            <v>0</v>
          </cell>
          <cell r="Z266">
            <v>0</v>
          </cell>
          <cell r="AA266">
            <v>37.67</v>
          </cell>
          <cell r="AB266">
            <v>193.93</v>
          </cell>
          <cell r="AC266">
            <v>3.5731999999999999</v>
          </cell>
          <cell r="AD266">
            <v>0</v>
          </cell>
          <cell r="AE266">
            <v>37.67</v>
          </cell>
          <cell r="AF266">
            <v>193.93</v>
          </cell>
          <cell r="AG266">
            <v>3.5731999999999999</v>
          </cell>
          <cell r="AH266">
            <v>842.93</v>
          </cell>
          <cell r="AI266">
            <v>1</v>
          </cell>
          <cell r="AJ266">
            <v>37.67</v>
          </cell>
          <cell r="AK266">
            <v>37.67</v>
          </cell>
          <cell r="AL266">
            <v>37.67</v>
          </cell>
          <cell r="AM266">
            <v>8</v>
          </cell>
          <cell r="AN266">
            <v>7</v>
          </cell>
          <cell r="AO266">
            <v>7</v>
          </cell>
          <cell r="AP266">
            <v>6</v>
          </cell>
          <cell r="AQ266">
            <v>7</v>
          </cell>
        </row>
        <row r="267">
          <cell r="D267" t="str">
            <v>국어국문학과</v>
          </cell>
          <cell r="E267">
            <v>181</v>
          </cell>
          <cell r="F267">
            <v>14</v>
          </cell>
          <cell r="G267">
            <v>319</v>
          </cell>
          <cell r="H267">
            <v>287</v>
          </cell>
          <cell r="I267">
            <v>302.44</v>
          </cell>
          <cell r="J267">
            <v>2.79</v>
          </cell>
          <cell r="K267">
            <v>3.07</v>
          </cell>
          <cell r="L267">
            <v>3.29</v>
          </cell>
          <cell r="M267">
            <v>2.5</v>
          </cell>
          <cell r="N267">
            <v>121.71</v>
          </cell>
          <cell r="O267">
            <v>120.86</v>
          </cell>
          <cell r="P267">
            <v>118.29</v>
          </cell>
          <cell r="Q267">
            <v>62.54</v>
          </cell>
          <cell r="R267">
            <v>494.56</v>
          </cell>
          <cell r="S267">
            <v>473.18</v>
          </cell>
          <cell r="T267">
            <v>485.18</v>
          </cell>
          <cell r="U267">
            <v>2.2746</v>
          </cell>
          <cell r="V267">
            <v>4.7643000000000004</v>
          </cell>
          <cell r="W267">
            <v>3.44</v>
          </cell>
          <cell r="X267">
            <v>0</v>
          </cell>
          <cell r="Y267">
            <v>0</v>
          </cell>
          <cell r="Z267">
            <v>0</v>
          </cell>
          <cell r="AA267">
            <v>287</v>
          </cell>
          <cell r="AB267">
            <v>492.44</v>
          </cell>
          <cell r="AC267">
            <v>2.4855</v>
          </cell>
          <cell r="AD267">
            <v>0</v>
          </cell>
          <cell r="AE267">
            <v>301.25</v>
          </cell>
          <cell r="AF267">
            <v>479.45</v>
          </cell>
          <cell r="AG267">
            <v>4.0945999999999998</v>
          </cell>
          <cell r="AH267">
            <v>780.7</v>
          </cell>
          <cell r="AI267">
            <v>14</v>
          </cell>
          <cell r="AJ267">
            <v>307.5</v>
          </cell>
          <cell r="AK267">
            <v>276.88</v>
          </cell>
          <cell r="AL267">
            <v>291.27999999999997</v>
          </cell>
          <cell r="AM267">
            <v>2.79</v>
          </cell>
          <cell r="AN267">
            <v>3.5</v>
          </cell>
          <cell r="AO267">
            <v>4.1399999999999997</v>
          </cell>
          <cell r="AP267">
            <v>2.71</v>
          </cell>
          <cell r="AQ267">
            <v>3.2850000000000001</v>
          </cell>
        </row>
        <row r="268">
          <cell r="D268" t="str">
            <v>독어독문학과</v>
          </cell>
          <cell r="E268">
            <v>182</v>
          </cell>
          <cell r="F268">
            <v>12</v>
          </cell>
          <cell r="G268">
            <v>297.38</v>
          </cell>
          <cell r="H268">
            <v>274.5</v>
          </cell>
          <cell r="I268">
            <v>283.72000000000003</v>
          </cell>
          <cell r="J268">
            <v>4.08</v>
          </cell>
          <cell r="K268">
            <v>3.67</v>
          </cell>
          <cell r="L268">
            <v>3.5</v>
          </cell>
          <cell r="M268">
            <v>3.5</v>
          </cell>
          <cell r="N268">
            <v>111.08</v>
          </cell>
          <cell r="O268">
            <v>113.5</v>
          </cell>
          <cell r="P268">
            <v>115.33</v>
          </cell>
          <cell r="Q268">
            <v>57.29</v>
          </cell>
          <cell r="R268">
            <v>497.71</v>
          </cell>
          <cell r="S268">
            <v>476.45</v>
          </cell>
          <cell r="T268">
            <v>483.54</v>
          </cell>
          <cell r="U268">
            <v>1.4931000000000001</v>
          </cell>
          <cell r="V268">
            <v>4.4253999999999998</v>
          </cell>
          <cell r="W268">
            <v>3.59</v>
          </cell>
          <cell r="X268">
            <v>0</v>
          </cell>
          <cell r="Y268">
            <v>0</v>
          </cell>
          <cell r="Z268">
            <v>0</v>
          </cell>
          <cell r="AA268">
            <v>282.63</v>
          </cell>
          <cell r="AB268">
            <v>476.45</v>
          </cell>
          <cell r="AC268">
            <v>4.4253999999999998</v>
          </cell>
          <cell r="AD268">
            <v>0</v>
          </cell>
          <cell r="AE268">
            <v>275.75</v>
          </cell>
          <cell r="AF268">
            <v>484.15</v>
          </cell>
          <cell r="AG268">
            <v>3.5074000000000001</v>
          </cell>
          <cell r="AH268">
            <v>759.9</v>
          </cell>
          <cell r="AI268">
            <v>10</v>
          </cell>
          <cell r="AJ268">
            <v>290.63</v>
          </cell>
          <cell r="AK268">
            <v>268.63</v>
          </cell>
          <cell r="AL268">
            <v>280.05</v>
          </cell>
          <cell r="AM268">
            <v>4.0999999999999996</v>
          </cell>
          <cell r="AN268">
            <v>3.8</v>
          </cell>
          <cell r="AO268">
            <v>3.7</v>
          </cell>
          <cell r="AP268">
            <v>3.65</v>
          </cell>
          <cell r="AQ268">
            <v>3.8125</v>
          </cell>
        </row>
        <row r="269">
          <cell r="D269" t="str">
            <v>불어불문학과</v>
          </cell>
          <cell r="E269">
            <v>183</v>
          </cell>
          <cell r="F269">
            <v>16</v>
          </cell>
          <cell r="G269">
            <v>304.13</v>
          </cell>
          <cell r="H269">
            <v>275.63</v>
          </cell>
          <cell r="I269">
            <v>285.98</v>
          </cell>
          <cell r="J269">
            <v>3.44</v>
          </cell>
          <cell r="K269">
            <v>3.81</v>
          </cell>
          <cell r="L269">
            <v>3.81</v>
          </cell>
          <cell r="M269">
            <v>3.09</v>
          </cell>
          <cell r="N269">
            <v>115.94</v>
          </cell>
          <cell r="O269">
            <v>109.94</v>
          </cell>
          <cell r="P269">
            <v>113.81</v>
          </cell>
          <cell r="Q269">
            <v>59.94</v>
          </cell>
          <cell r="R269">
            <v>491.95</v>
          </cell>
          <cell r="S269">
            <v>473.54</v>
          </cell>
          <cell r="T269">
            <v>481.68</v>
          </cell>
          <cell r="U269">
            <v>2.5878000000000001</v>
          </cell>
          <cell r="V269">
            <v>4.7356999999999996</v>
          </cell>
          <cell r="W269">
            <v>3.87</v>
          </cell>
          <cell r="X269">
            <v>0</v>
          </cell>
          <cell r="Y269">
            <v>0</v>
          </cell>
          <cell r="Z269">
            <v>0</v>
          </cell>
          <cell r="AA269">
            <v>285.63</v>
          </cell>
          <cell r="AB269">
            <v>476.58</v>
          </cell>
          <cell r="AC269">
            <v>4.4040999999999997</v>
          </cell>
          <cell r="AD269">
            <v>0</v>
          </cell>
          <cell r="AE269">
            <v>281.25</v>
          </cell>
          <cell r="AF269">
            <v>482.7</v>
          </cell>
          <cell r="AG269">
            <v>3.8580999999999999</v>
          </cell>
          <cell r="AH269">
            <v>763.95</v>
          </cell>
          <cell r="AI269">
            <v>13</v>
          </cell>
          <cell r="AJ269">
            <v>286.63</v>
          </cell>
          <cell r="AK269">
            <v>272.88</v>
          </cell>
          <cell r="AL269">
            <v>279.19</v>
          </cell>
          <cell r="AM269">
            <v>3.92</v>
          </cell>
          <cell r="AN269">
            <v>4.1500000000000004</v>
          </cell>
          <cell r="AO269">
            <v>4.08</v>
          </cell>
          <cell r="AP269">
            <v>3.12</v>
          </cell>
          <cell r="AQ269">
            <v>3.8174999999999999</v>
          </cell>
        </row>
        <row r="270">
          <cell r="D270" t="str">
            <v>스페인.중남미어문학과</v>
          </cell>
          <cell r="E270">
            <v>184</v>
          </cell>
          <cell r="F270">
            <v>13</v>
          </cell>
          <cell r="G270">
            <v>302.13</v>
          </cell>
          <cell r="H270">
            <v>280.5</v>
          </cell>
          <cell r="I270">
            <v>287.77</v>
          </cell>
          <cell r="J270">
            <v>4</v>
          </cell>
          <cell r="K270">
            <v>3.85</v>
          </cell>
          <cell r="L270">
            <v>3.46</v>
          </cell>
          <cell r="M270">
            <v>2.85</v>
          </cell>
          <cell r="N270">
            <v>112.46</v>
          </cell>
          <cell r="O270">
            <v>111.92</v>
          </cell>
          <cell r="P270">
            <v>117.38</v>
          </cell>
          <cell r="Q270">
            <v>60.58</v>
          </cell>
          <cell r="R270">
            <v>495.52</v>
          </cell>
          <cell r="S270">
            <v>476.57</v>
          </cell>
          <cell r="T270">
            <v>483.11</v>
          </cell>
          <cell r="U270">
            <v>2.0139</v>
          </cell>
          <cell r="V270">
            <v>4.4000000000000004</v>
          </cell>
          <cell r="W270">
            <v>3.7</v>
          </cell>
          <cell r="X270">
            <v>0</v>
          </cell>
          <cell r="Y270">
            <v>0</v>
          </cell>
          <cell r="Z270">
            <v>0</v>
          </cell>
          <cell r="AA270">
            <v>288.88</v>
          </cell>
          <cell r="AB270">
            <v>476.57</v>
          </cell>
          <cell r="AC270">
            <v>4.3841000000000001</v>
          </cell>
          <cell r="AD270">
            <v>0</v>
          </cell>
          <cell r="AE270">
            <v>289.5</v>
          </cell>
          <cell r="AF270">
            <v>476.77</v>
          </cell>
          <cell r="AG270">
            <v>4.4000000000000004</v>
          </cell>
          <cell r="AH270">
            <v>766.27</v>
          </cell>
          <cell r="AI270">
            <v>13</v>
          </cell>
          <cell r="AJ270">
            <v>294.13</v>
          </cell>
          <cell r="AK270">
            <v>277.13</v>
          </cell>
          <cell r="AL270">
            <v>285.54000000000002</v>
          </cell>
          <cell r="AM270">
            <v>4.1500000000000004</v>
          </cell>
          <cell r="AN270">
            <v>3.85</v>
          </cell>
          <cell r="AO270">
            <v>3.31</v>
          </cell>
          <cell r="AP270">
            <v>3.12</v>
          </cell>
          <cell r="AQ270">
            <v>3.6074999999999999</v>
          </cell>
        </row>
        <row r="271">
          <cell r="D271" t="str">
            <v>영어영문학과</v>
          </cell>
          <cell r="E271">
            <v>185</v>
          </cell>
          <cell r="F271">
            <v>16</v>
          </cell>
          <cell r="G271">
            <v>331.88</v>
          </cell>
          <cell r="H271">
            <v>290</v>
          </cell>
          <cell r="I271">
            <v>307.22000000000003</v>
          </cell>
          <cell r="J271">
            <v>2.81</v>
          </cell>
          <cell r="K271">
            <v>2.75</v>
          </cell>
          <cell r="L271">
            <v>2.69</v>
          </cell>
          <cell r="M271">
            <v>2.5</v>
          </cell>
          <cell r="N271">
            <v>120.31</v>
          </cell>
          <cell r="O271">
            <v>124.5</v>
          </cell>
          <cell r="P271">
            <v>122.75</v>
          </cell>
          <cell r="Q271">
            <v>62.81</v>
          </cell>
          <cell r="R271">
            <v>495.94</v>
          </cell>
          <cell r="S271">
            <v>483.94</v>
          </cell>
          <cell r="T271">
            <v>491</v>
          </cell>
          <cell r="U271">
            <v>1.9177999999999999</v>
          </cell>
          <cell r="V271">
            <v>3.7042000000000002</v>
          </cell>
          <cell r="W271">
            <v>2.71</v>
          </cell>
          <cell r="X271">
            <v>0</v>
          </cell>
          <cell r="Y271">
            <v>0</v>
          </cell>
          <cell r="Z271">
            <v>0</v>
          </cell>
          <cell r="AA271">
            <v>299.25</v>
          </cell>
          <cell r="AB271">
            <v>486.43</v>
          </cell>
          <cell r="AC271">
            <v>3.375</v>
          </cell>
          <cell r="AD271">
            <v>0</v>
          </cell>
          <cell r="AE271">
            <v>306.25</v>
          </cell>
          <cell r="AF271">
            <v>486.13</v>
          </cell>
          <cell r="AG271">
            <v>3.5143</v>
          </cell>
          <cell r="AH271">
            <v>792.38</v>
          </cell>
          <cell r="AI271">
            <v>15</v>
          </cell>
          <cell r="AJ271">
            <v>309</v>
          </cell>
          <cell r="AK271">
            <v>287.5</v>
          </cell>
          <cell r="AL271">
            <v>298.33</v>
          </cell>
          <cell r="AM271">
            <v>3.47</v>
          </cell>
          <cell r="AN271">
            <v>3.13</v>
          </cell>
          <cell r="AO271">
            <v>3</v>
          </cell>
          <cell r="AP271">
            <v>2.8</v>
          </cell>
          <cell r="AQ271">
            <v>3.0999999999999996</v>
          </cell>
        </row>
        <row r="272">
          <cell r="D272" t="str">
            <v>일어일문학과</v>
          </cell>
          <cell r="E272">
            <v>186</v>
          </cell>
          <cell r="F272">
            <v>15</v>
          </cell>
          <cell r="G272">
            <v>303.38</v>
          </cell>
          <cell r="H272">
            <v>281</v>
          </cell>
          <cell r="I272">
            <v>291.52</v>
          </cell>
          <cell r="J272">
            <v>3.33</v>
          </cell>
          <cell r="K272">
            <v>4</v>
          </cell>
          <cell r="L272">
            <v>3.07</v>
          </cell>
          <cell r="M272">
            <v>2.97</v>
          </cell>
          <cell r="N272">
            <v>118.13</v>
          </cell>
          <cell r="O272">
            <v>109.87</v>
          </cell>
          <cell r="P272">
            <v>119</v>
          </cell>
          <cell r="Q272">
            <v>60</v>
          </cell>
          <cell r="R272">
            <v>490.61</v>
          </cell>
          <cell r="S272">
            <v>462.77</v>
          </cell>
          <cell r="T272">
            <v>479.5</v>
          </cell>
          <cell r="U272">
            <v>2.8683999999999998</v>
          </cell>
          <cell r="V272">
            <v>5.5637999999999996</v>
          </cell>
          <cell r="W272">
            <v>4.09</v>
          </cell>
          <cell r="X272">
            <v>0</v>
          </cell>
          <cell r="Y272">
            <v>0</v>
          </cell>
          <cell r="Z272">
            <v>0</v>
          </cell>
          <cell r="AA272">
            <v>281.13</v>
          </cell>
          <cell r="AB272">
            <v>477.7</v>
          </cell>
          <cell r="AC272">
            <v>4.3231000000000002</v>
          </cell>
          <cell r="AD272">
            <v>0</v>
          </cell>
          <cell r="AE272">
            <v>299.88</v>
          </cell>
          <cell r="AF272">
            <v>462.77</v>
          </cell>
          <cell r="AG272">
            <v>5.5637999999999996</v>
          </cell>
          <cell r="AH272">
            <v>762.65</v>
          </cell>
          <cell r="AI272">
            <v>15</v>
          </cell>
          <cell r="AJ272">
            <v>303.38</v>
          </cell>
          <cell r="AK272">
            <v>259.88</v>
          </cell>
          <cell r="AL272">
            <v>281.87</v>
          </cell>
          <cell r="AM272">
            <v>3.93</v>
          </cell>
          <cell r="AN272">
            <v>4.2</v>
          </cell>
          <cell r="AO272">
            <v>3.53</v>
          </cell>
          <cell r="AP272">
            <v>3.23</v>
          </cell>
          <cell r="AQ272">
            <v>3.7225000000000001</v>
          </cell>
        </row>
        <row r="273">
          <cell r="D273" t="str">
            <v>중어중문학과</v>
          </cell>
          <cell r="E273">
            <v>187</v>
          </cell>
          <cell r="F273">
            <v>15</v>
          </cell>
          <cell r="G273">
            <v>322.38</v>
          </cell>
          <cell r="H273">
            <v>278</v>
          </cell>
          <cell r="I273">
            <v>291.47000000000003</v>
          </cell>
          <cell r="J273">
            <v>3.33</v>
          </cell>
          <cell r="K273">
            <v>3.6</v>
          </cell>
          <cell r="L273">
            <v>3.6</v>
          </cell>
          <cell r="M273">
            <v>2.9</v>
          </cell>
          <cell r="N273">
            <v>117.27</v>
          </cell>
          <cell r="O273">
            <v>114.27</v>
          </cell>
          <cell r="P273">
            <v>115.8</v>
          </cell>
          <cell r="Q273">
            <v>60.33</v>
          </cell>
          <cell r="R273">
            <v>490.86</v>
          </cell>
          <cell r="S273">
            <v>475.62</v>
          </cell>
          <cell r="T273">
            <v>484.44</v>
          </cell>
          <cell r="U273">
            <v>2.629</v>
          </cell>
          <cell r="V273">
            <v>4.4493</v>
          </cell>
          <cell r="W273">
            <v>3.5</v>
          </cell>
          <cell r="X273">
            <v>0</v>
          </cell>
          <cell r="Y273">
            <v>0</v>
          </cell>
          <cell r="Z273">
            <v>0</v>
          </cell>
          <cell r="AA273">
            <v>283.63</v>
          </cell>
          <cell r="AB273">
            <v>475.62</v>
          </cell>
          <cell r="AC273">
            <v>4.4493</v>
          </cell>
          <cell r="AD273">
            <v>0</v>
          </cell>
          <cell r="AE273">
            <v>281.5</v>
          </cell>
          <cell r="AF273">
            <v>484.82</v>
          </cell>
          <cell r="AG273">
            <v>3.5703</v>
          </cell>
          <cell r="AH273">
            <v>766.32</v>
          </cell>
          <cell r="AI273">
            <v>14</v>
          </cell>
          <cell r="AJ273">
            <v>290.13</v>
          </cell>
          <cell r="AK273">
            <v>272.38</v>
          </cell>
          <cell r="AL273">
            <v>280.88</v>
          </cell>
          <cell r="AM273">
            <v>3.71</v>
          </cell>
          <cell r="AN273">
            <v>3.93</v>
          </cell>
          <cell r="AO273">
            <v>3.79</v>
          </cell>
          <cell r="AP273">
            <v>3.57</v>
          </cell>
          <cell r="AQ273">
            <v>3.75</v>
          </cell>
        </row>
        <row r="274">
          <cell r="D274" t="str">
            <v>문헌정보학과</v>
          </cell>
          <cell r="E274">
            <v>192</v>
          </cell>
          <cell r="F274">
            <v>14</v>
          </cell>
          <cell r="G274">
            <v>313</v>
          </cell>
          <cell r="H274">
            <v>283.38</v>
          </cell>
          <cell r="I274">
            <v>299.64999999999998</v>
          </cell>
          <cell r="J274">
            <v>2.71</v>
          </cell>
          <cell r="K274">
            <v>3.43</v>
          </cell>
          <cell r="L274">
            <v>3.36</v>
          </cell>
          <cell r="M274">
            <v>2.25</v>
          </cell>
          <cell r="N274">
            <v>120.5</v>
          </cell>
          <cell r="O274">
            <v>117.43</v>
          </cell>
          <cell r="P274">
            <v>117.71</v>
          </cell>
          <cell r="Q274">
            <v>63.46</v>
          </cell>
          <cell r="R274">
            <v>495.55</v>
          </cell>
          <cell r="S274">
            <v>477.49</v>
          </cell>
          <cell r="T274">
            <v>486.03</v>
          </cell>
          <cell r="U274">
            <v>2.0615999999999999</v>
          </cell>
          <cell r="V274">
            <v>4.3635999999999999</v>
          </cell>
          <cell r="W274">
            <v>3.36</v>
          </cell>
          <cell r="X274">
            <v>0</v>
          </cell>
          <cell r="Y274">
            <v>0</v>
          </cell>
          <cell r="Z274">
            <v>0</v>
          </cell>
          <cell r="AA274">
            <v>283.38</v>
          </cell>
          <cell r="AB274">
            <v>491.47</v>
          </cell>
          <cell r="AC274">
            <v>2.7635000000000001</v>
          </cell>
          <cell r="AD274">
            <v>0</v>
          </cell>
          <cell r="AE274">
            <v>291</v>
          </cell>
          <cell r="AF274">
            <v>485.41</v>
          </cell>
          <cell r="AG274">
            <v>3.5714000000000001</v>
          </cell>
          <cell r="AH274">
            <v>776.41</v>
          </cell>
          <cell r="AI274">
            <v>12</v>
          </cell>
          <cell r="AJ274">
            <v>301.5</v>
          </cell>
          <cell r="AK274">
            <v>283.88</v>
          </cell>
          <cell r="AL274">
            <v>292.76</v>
          </cell>
          <cell r="AM274">
            <v>3</v>
          </cell>
          <cell r="AN274">
            <v>3.5</v>
          </cell>
          <cell r="AO274">
            <v>3.92</v>
          </cell>
          <cell r="AP274">
            <v>2.5</v>
          </cell>
          <cell r="AQ274">
            <v>3.23</v>
          </cell>
        </row>
        <row r="275">
          <cell r="D275" t="str">
            <v>고고문화인류학과</v>
          </cell>
          <cell r="E275">
            <v>193</v>
          </cell>
          <cell r="F275">
            <v>6</v>
          </cell>
          <cell r="G275">
            <v>292.88</v>
          </cell>
          <cell r="H275">
            <v>269.63</v>
          </cell>
          <cell r="I275">
            <v>284.86</v>
          </cell>
          <cell r="J275">
            <v>4.17</v>
          </cell>
          <cell r="K275">
            <v>3.5</v>
          </cell>
          <cell r="L275">
            <v>3.67</v>
          </cell>
          <cell r="M275">
            <v>2.92</v>
          </cell>
          <cell r="N275">
            <v>109.83</v>
          </cell>
          <cell r="O275">
            <v>113.67</v>
          </cell>
          <cell r="P275">
            <v>114.17</v>
          </cell>
          <cell r="Q275">
            <v>61.08</v>
          </cell>
          <cell r="R275">
            <v>489.41</v>
          </cell>
          <cell r="S275">
            <v>471.91</v>
          </cell>
          <cell r="T275">
            <v>478.16</v>
          </cell>
          <cell r="U275">
            <v>3.0522</v>
          </cell>
          <cell r="V275">
            <v>4.8571</v>
          </cell>
          <cell r="W275">
            <v>4.25</v>
          </cell>
          <cell r="X275">
            <v>0</v>
          </cell>
          <cell r="Y275">
            <v>0</v>
          </cell>
          <cell r="Z275">
            <v>0</v>
          </cell>
          <cell r="AA275">
            <v>269.63</v>
          </cell>
          <cell r="AB275">
            <v>489.41</v>
          </cell>
          <cell r="AC275">
            <v>3.0522</v>
          </cell>
          <cell r="AD275">
            <v>0</v>
          </cell>
          <cell r="AE275">
            <v>284.63</v>
          </cell>
          <cell r="AF275">
            <v>476.91</v>
          </cell>
          <cell r="AG275">
            <v>4.3818999999999999</v>
          </cell>
          <cell r="AH275">
            <v>761.54</v>
          </cell>
          <cell r="AI275">
            <v>7</v>
          </cell>
          <cell r="AJ275">
            <v>284.63</v>
          </cell>
          <cell r="AK275">
            <v>269.63</v>
          </cell>
          <cell r="AL275">
            <v>277.79000000000002</v>
          </cell>
          <cell r="AM275">
            <v>4</v>
          </cell>
          <cell r="AN275">
            <v>4.29</v>
          </cell>
          <cell r="AO275">
            <v>4.43</v>
          </cell>
          <cell r="AP275">
            <v>3.07</v>
          </cell>
          <cell r="AQ275">
            <v>3.9474999999999998</v>
          </cell>
        </row>
        <row r="276">
          <cell r="D276" t="str">
            <v>사학과</v>
          </cell>
          <cell r="E276">
            <v>194</v>
          </cell>
          <cell r="F276">
            <v>15</v>
          </cell>
          <cell r="G276">
            <v>298.13</v>
          </cell>
          <cell r="H276">
            <v>278.25</v>
          </cell>
          <cell r="I276">
            <v>288.51</v>
          </cell>
          <cell r="J276">
            <v>3.8</v>
          </cell>
          <cell r="K276">
            <v>3.33</v>
          </cell>
          <cell r="L276">
            <v>3.87</v>
          </cell>
          <cell r="M276">
            <v>2.9</v>
          </cell>
          <cell r="N276">
            <v>113.87</v>
          </cell>
          <cell r="O276">
            <v>116.33</v>
          </cell>
          <cell r="P276">
            <v>112.87</v>
          </cell>
          <cell r="Q276">
            <v>61</v>
          </cell>
          <cell r="R276">
            <v>493.95</v>
          </cell>
          <cell r="S276">
            <v>478.36</v>
          </cell>
          <cell r="T276">
            <v>486.09</v>
          </cell>
          <cell r="U276">
            <v>2.2917000000000001</v>
          </cell>
          <cell r="V276">
            <v>4.25</v>
          </cell>
          <cell r="W276">
            <v>3.37</v>
          </cell>
          <cell r="X276">
            <v>0</v>
          </cell>
          <cell r="Y276">
            <v>0</v>
          </cell>
          <cell r="Z276">
            <v>0</v>
          </cell>
          <cell r="AA276">
            <v>292.13</v>
          </cell>
          <cell r="AB276">
            <v>478.36</v>
          </cell>
          <cell r="AC276">
            <v>4.25</v>
          </cell>
          <cell r="AD276">
            <v>0</v>
          </cell>
          <cell r="AE276">
            <v>278.25</v>
          </cell>
          <cell r="AF276">
            <v>493.95</v>
          </cell>
          <cell r="AG276">
            <v>2.2917000000000001</v>
          </cell>
          <cell r="AH276">
            <v>772.2</v>
          </cell>
          <cell r="AI276">
            <v>12</v>
          </cell>
          <cell r="AJ276">
            <v>292.13</v>
          </cell>
          <cell r="AK276">
            <v>269.25</v>
          </cell>
          <cell r="AL276">
            <v>283.75</v>
          </cell>
          <cell r="AM276">
            <v>3.92</v>
          </cell>
          <cell r="AN276">
            <v>3.5</v>
          </cell>
          <cell r="AO276">
            <v>4.17</v>
          </cell>
          <cell r="AP276">
            <v>3</v>
          </cell>
          <cell r="AQ276">
            <v>3.6475</v>
          </cell>
        </row>
        <row r="277">
          <cell r="D277" t="str">
            <v>철학과</v>
          </cell>
          <cell r="E277">
            <v>195</v>
          </cell>
          <cell r="F277">
            <v>11</v>
          </cell>
          <cell r="G277">
            <v>292.5</v>
          </cell>
          <cell r="H277">
            <v>277.25</v>
          </cell>
          <cell r="I277">
            <v>283.41000000000003</v>
          </cell>
          <cell r="J277">
            <v>4.09</v>
          </cell>
          <cell r="K277">
            <v>3.45</v>
          </cell>
          <cell r="L277">
            <v>4.09</v>
          </cell>
          <cell r="M277">
            <v>3</v>
          </cell>
          <cell r="N277">
            <v>109.73</v>
          </cell>
          <cell r="O277">
            <v>116.64</v>
          </cell>
          <cell r="P277">
            <v>110.18</v>
          </cell>
          <cell r="Q277">
            <v>60.77</v>
          </cell>
          <cell r="R277">
            <v>491.3</v>
          </cell>
          <cell r="S277">
            <v>470.25</v>
          </cell>
          <cell r="T277">
            <v>479.68</v>
          </cell>
          <cell r="U277">
            <v>2.7898999999999998</v>
          </cell>
          <cell r="V277">
            <v>5.0351999999999997</v>
          </cell>
          <cell r="W277">
            <v>4.09</v>
          </cell>
          <cell r="X277">
            <v>0</v>
          </cell>
          <cell r="Y277">
            <v>0</v>
          </cell>
          <cell r="Z277">
            <v>0</v>
          </cell>
          <cell r="AA277">
            <v>280.5</v>
          </cell>
          <cell r="AB277">
            <v>477.62</v>
          </cell>
          <cell r="AC277">
            <v>4.3071000000000002</v>
          </cell>
          <cell r="AD277">
            <v>0</v>
          </cell>
          <cell r="AE277">
            <v>279.5</v>
          </cell>
          <cell r="AF277">
            <v>479.16</v>
          </cell>
          <cell r="AG277">
            <v>4.2100999999999997</v>
          </cell>
          <cell r="AH277">
            <v>758.66</v>
          </cell>
          <cell r="AI277">
            <v>10</v>
          </cell>
          <cell r="AJ277">
            <v>288.25</v>
          </cell>
          <cell r="AK277">
            <v>277.38</v>
          </cell>
          <cell r="AL277">
            <v>281.83</v>
          </cell>
          <cell r="AM277">
            <v>4.0999999999999996</v>
          </cell>
          <cell r="AN277">
            <v>3.4</v>
          </cell>
          <cell r="AO277">
            <v>4.3</v>
          </cell>
          <cell r="AP277">
            <v>3.35</v>
          </cell>
          <cell r="AQ277">
            <v>3.7875000000000001</v>
          </cell>
        </row>
        <row r="278">
          <cell r="D278" t="str">
            <v>생물과학부</v>
          </cell>
          <cell r="E278">
            <v>294</v>
          </cell>
          <cell r="F278">
            <v>30</v>
          </cell>
          <cell r="G278">
            <v>323.63</v>
          </cell>
          <cell r="H278">
            <v>281.25</v>
          </cell>
          <cell r="I278">
            <v>294.72000000000003</v>
          </cell>
          <cell r="J278">
            <v>2.87</v>
          </cell>
          <cell r="K278">
            <v>4</v>
          </cell>
          <cell r="L278">
            <v>2.97</v>
          </cell>
          <cell r="M278">
            <v>2.5</v>
          </cell>
          <cell r="N278">
            <v>120.97</v>
          </cell>
          <cell r="O278">
            <v>109.47</v>
          </cell>
          <cell r="P278">
            <v>120.47</v>
          </cell>
          <cell r="Q278">
            <v>62.22</v>
          </cell>
          <cell r="R278">
            <v>499.34</v>
          </cell>
          <cell r="S278">
            <v>482.34</v>
          </cell>
          <cell r="T278">
            <v>490.21</v>
          </cell>
          <cell r="U278">
            <v>1.1959</v>
          </cell>
          <cell r="V278">
            <v>3.9091</v>
          </cell>
          <cell r="W278">
            <v>2.8</v>
          </cell>
          <cell r="X278">
            <v>0</v>
          </cell>
          <cell r="Y278">
            <v>0</v>
          </cell>
          <cell r="Z278">
            <v>0</v>
          </cell>
          <cell r="AA278">
            <v>285.25</v>
          </cell>
          <cell r="AB278">
            <v>484.52</v>
          </cell>
          <cell r="AC278">
            <v>3.6038999999999999</v>
          </cell>
          <cell r="AD278">
            <v>0</v>
          </cell>
          <cell r="AE278">
            <v>290.63</v>
          </cell>
          <cell r="AF278">
            <v>482.34</v>
          </cell>
          <cell r="AG278">
            <v>3.9091</v>
          </cell>
          <cell r="AH278">
            <v>772.97</v>
          </cell>
          <cell r="AI278">
            <v>28</v>
          </cell>
          <cell r="AJ278">
            <v>315.63</v>
          </cell>
          <cell r="AK278">
            <v>263.25</v>
          </cell>
          <cell r="AL278">
            <v>281.76</v>
          </cell>
          <cell r="AM278">
            <v>3.29</v>
          </cell>
          <cell r="AN278">
            <v>4.8600000000000003</v>
          </cell>
          <cell r="AO278">
            <v>3.21</v>
          </cell>
          <cell r="AP278">
            <v>2.96</v>
          </cell>
          <cell r="AQ278">
            <v>3.58</v>
          </cell>
        </row>
        <row r="279">
          <cell r="D279" t="str">
            <v>과학학과</v>
          </cell>
          <cell r="E279">
            <v>296</v>
          </cell>
          <cell r="F279">
            <v>9</v>
          </cell>
          <cell r="G279">
            <v>282.5</v>
          </cell>
          <cell r="H279">
            <v>264</v>
          </cell>
          <cell r="I279">
            <v>274.58999999999997</v>
          </cell>
          <cell r="J279">
            <v>3.67</v>
          </cell>
          <cell r="K279">
            <v>3.33</v>
          </cell>
          <cell r="L279">
            <v>4.8899999999999997</v>
          </cell>
          <cell r="M279">
            <v>4.33</v>
          </cell>
          <cell r="N279">
            <v>112.33</v>
          </cell>
          <cell r="O279">
            <v>114.78</v>
          </cell>
          <cell r="P279">
            <v>104.56</v>
          </cell>
          <cell r="Q279">
            <v>53.17</v>
          </cell>
          <cell r="R279">
            <v>492.32</v>
          </cell>
          <cell r="S279">
            <v>464.01</v>
          </cell>
          <cell r="T279">
            <v>479.5</v>
          </cell>
          <cell r="U279">
            <v>2.6736</v>
          </cell>
          <cell r="V279">
            <v>5.6622000000000003</v>
          </cell>
          <cell r="W279">
            <v>4.09</v>
          </cell>
          <cell r="X279">
            <v>0</v>
          </cell>
          <cell r="Y279">
            <v>0</v>
          </cell>
          <cell r="Z279">
            <v>0</v>
          </cell>
          <cell r="AA279">
            <v>270.63</v>
          </cell>
          <cell r="AB279">
            <v>472.55</v>
          </cell>
          <cell r="AC279">
            <v>4.82</v>
          </cell>
          <cell r="AD279">
            <v>0</v>
          </cell>
          <cell r="AE279">
            <v>281.88</v>
          </cell>
          <cell r="AF279">
            <v>464.01</v>
          </cell>
          <cell r="AG279">
            <v>5.6622000000000003</v>
          </cell>
          <cell r="AH279">
            <v>745.89</v>
          </cell>
          <cell r="AI279">
            <v>8</v>
          </cell>
          <cell r="AJ279">
            <v>282.5</v>
          </cell>
          <cell r="AK279">
            <v>253.93</v>
          </cell>
          <cell r="AL279">
            <v>267.79000000000002</v>
          </cell>
          <cell r="AM279">
            <v>4.25</v>
          </cell>
          <cell r="AN279">
            <v>4.25</v>
          </cell>
          <cell r="AO279">
            <v>4.63</v>
          </cell>
          <cell r="AP279">
            <v>4.6900000000000004</v>
          </cell>
          <cell r="AQ279">
            <v>4.4550000000000001</v>
          </cell>
        </row>
        <row r="280">
          <cell r="D280" t="str">
            <v>반도체과학기술학과</v>
          </cell>
          <cell r="E280">
            <v>297</v>
          </cell>
          <cell r="F280">
            <v>18</v>
          </cell>
          <cell r="G280">
            <v>284.38</v>
          </cell>
          <cell r="H280">
            <v>254.38</v>
          </cell>
          <cell r="I280">
            <v>266.85000000000002</v>
          </cell>
          <cell r="J280">
            <v>4.5599999999999996</v>
          </cell>
          <cell r="K280">
            <v>4.9400000000000004</v>
          </cell>
          <cell r="L280">
            <v>3.94</v>
          </cell>
          <cell r="M280">
            <v>3.86</v>
          </cell>
          <cell r="N280">
            <v>105.89</v>
          </cell>
          <cell r="O280">
            <v>100.11</v>
          </cell>
          <cell r="P280">
            <v>111.61</v>
          </cell>
          <cell r="Q280">
            <v>55.83</v>
          </cell>
          <cell r="R280">
            <v>492.86</v>
          </cell>
          <cell r="S280">
            <v>466.72</v>
          </cell>
          <cell r="T280">
            <v>480.77</v>
          </cell>
          <cell r="U280">
            <v>2.5352000000000001</v>
          </cell>
          <cell r="V280">
            <v>5.3933</v>
          </cell>
          <cell r="W280">
            <v>3.98</v>
          </cell>
          <cell r="X280">
            <v>0</v>
          </cell>
          <cell r="Y280">
            <v>0</v>
          </cell>
          <cell r="Z280">
            <v>0</v>
          </cell>
          <cell r="AA280">
            <v>255.5</v>
          </cell>
          <cell r="AB280">
            <v>481.79</v>
          </cell>
          <cell r="AC280">
            <v>3.9521000000000002</v>
          </cell>
          <cell r="AD280">
            <v>0</v>
          </cell>
          <cell r="AE280">
            <v>263.88</v>
          </cell>
          <cell r="AF280">
            <v>476.95</v>
          </cell>
          <cell r="AG280">
            <v>4.4132999999999996</v>
          </cell>
          <cell r="AH280">
            <v>740.83</v>
          </cell>
          <cell r="AI280">
            <v>16</v>
          </cell>
          <cell r="AJ280">
            <v>269.38</v>
          </cell>
          <cell r="AK280">
            <v>242.13</v>
          </cell>
          <cell r="AL280">
            <v>254.17</v>
          </cell>
          <cell r="AM280">
            <v>4.4400000000000004</v>
          </cell>
          <cell r="AN280">
            <v>5.63</v>
          </cell>
          <cell r="AO280">
            <v>4.63</v>
          </cell>
          <cell r="AP280">
            <v>4.63</v>
          </cell>
          <cell r="AQ280">
            <v>4.8324999999999996</v>
          </cell>
        </row>
        <row r="281">
          <cell r="D281" t="str">
            <v>수의예과</v>
          </cell>
          <cell r="E281">
            <v>298</v>
          </cell>
          <cell r="F281">
            <v>20</v>
          </cell>
          <cell r="G281">
            <v>329.63</v>
          </cell>
          <cell r="H281">
            <v>296.75</v>
          </cell>
          <cell r="I281">
            <v>316</v>
          </cell>
          <cell r="J281">
            <v>1.85</v>
          </cell>
          <cell r="K281">
            <v>2.85</v>
          </cell>
          <cell r="L281">
            <v>1.55</v>
          </cell>
          <cell r="M281">
            <v>2.1</v>
          </cell>
          <cell r="N281">
            <v>127.95</v>
          </cell>
          <cell r="O281">
            <v>120.3</v>
          </cell>
          <cell r="P281">
            <v>130.5</v>
          </cell>
          <cell r="Q281">
            <v>63.9</v>
          </cell>
          <cell r="R281">
            <v>497.73</v>
          </cell>
          <cell r="S281">
            <v>475.78</v>
          </cell>
          <cell r="T281">
            <v>492.84</v>
          </cell>
          <cell r="U281">
            <v>1.5563</v>
          </cell>
          <cell r="V281">
            <v>4.4935</v>
          </cell>
          <cell r="W281">
            <v>2.37</v>
          </cell>
          <cell r="X281">
            <v>0</v>
          </cell>
          <cell r="Y281">
            <v>0</v>
          </cell>
          <cell r="Z281">
            <v>0</v>
          </cell>
          <cell r="AA281">
            <v>296.75</v>
          </cell>
          <cell r="AB281">
            <v>497.71</v>
          </cell>
          <cell r="AC281">
            <v>1.6127</v>
          </cell>
          <cell r="AD281">
            <v>0</v>
          </cell>
          <cell r="AE281">
            <v>307.75</v>
          </cell>
          <cell r="AF281">
            <v>492.09</v>
          </cell>
          <cell r="AG281">
            <v>2.34</v>
          </cell>
          <cell r="AH281">
            <v>799.84</v>
          </cell>
          <cell r="AI281">
            <v>19</v>
          </cell>
          <cell r="AJ281">
            <v>323.38</v>
          </cell>
          <cell r="AK281">
            <v>291.5</v>
          </cell>
          <cell r="AL281">
            <v>304.12</v>
          </cell>
          <cell r="AM281">
            <v>2.42</v>
          </cell>
          <cell r="AN281">
            <v>3.53</v>
          </cell>
          <cell r="AO281">
            <v>2.16</v>
          </cell>
          <cell r="AP281">
            <v>2.4700000000000002</v>
          </cell>
          <cell r="AQ281">
            <v>2.645</v>
          </cell>
        </row>
        <row r="282">
          <cell r="D282" t="str">
            <v>스포츠과학과</v>
          </cell>
          <cell r="E282">
            <v>299</v>
          </cell>
          <cell r="F282">
            <v>13</v>
          </cell>
          <cell r="G282">
            <v>153.37</v>
          </cell>
          <cell r="H282">
            <v>130.53</v>
          </cell>
          <cell r="I282">
            <v>148.22999999999999</v>
          </cell>
          <cell r="J282">
            <v>5.69</v>
          </cell>
          <cell r="K282">
            <v>5.08</v>
          </cell>
          <cell r="L282">
            <v>5.31</v>
          </cell>
          <cell r="M282">
            <v>4</v>
          </cell>
          <cell r="N282">
            <v>95.77</v>
          </cell>
          <cell r="O282">
            <v>95.85</v>
          </cell>
          <cell r="P282">
            <v>97.46</v>
          </cell>
          <cell r="Q282">
            <v>54.58</v>
          </cell>
          <cell r="R282">
            <v>495.91</v>
          </cell>
          <cell r="S282">
            <v>462.41</v>
          </cell>
          <cell r="T282">
            <v>473.75</v>
          </cell>
          <cell r="U282">
            <v>2.0323000000000002</v>
          </cell>
          <cell r="V282">
            <v>5.7786999999999997</v>
          </cell>
          <cell r="W282">
            <v>4.63</v>
          </cell>
          <cell r="X282">
            <v>0</v>
          </cell>
          <cell r="Y282">
            <v>0</v>
          </cell>
          <cell r="Z282">
            <v>0</v>
          </cell>
          <cell r="AA282">
            <v>152.6</v>
          </cell>
          <cell r="AB282">
            <v>462.41</v>
          </cell>
          <cell r="AC282">
            <v>5.7786999999999997</v>
          </cell>
          <cell r="AD282">
            <v>0</v>
          </cell>
          <cell r="AE282">
            <v>142.74</v>
          </cell>
          <cell r="AF282">
            <v>467.92</v>
          </cell>
          <cell r="AG282">
            <v>5.2062999999999997</v>
          </cell>
          <cell r="AH282">
            <v>774.66</v>
          </cell>
          <cell r="AI282">
            <v>13</v>
          </cell>
          <cell r="AJ282">
            <v>153.37</v>
          </cell>
          <cell r="AK282">
            <v>130.53</v>
          </cell>
          <cell r="AL282">
            <v>144.5</v>
          </cell>
          <cell r="AM282">
            <v>5.69</v>
          </cell>
          <cell r="AN282">
            <v>5.15</v>
          </cell>
          <cell r="AO282">
            <v>5.46</v>
          </cell>
          <cell r="AP282">
            <v>4.7300000000000004</v>
          </cell>
          <cell r="AQ282">
            <v>5.2575000000000003</v>
          </cell>
        </row>
        <row r="283">
          <cell r="D283" t="str">
            <v>물리학과</v>
          </cell>
          <cell r="E283">
            <v>381</v>
          </cell>
          <cell r="F283">
            <v>18</v>
          </cell>
          <cell r="G283">
            <v>282.75</v>
          </cell>
          <cell r="H283">
            <v>258.75</v>
          </cell>
          <cell r="I283">
            <v>267.13</v>
          </cell>
          <cell r="J283">
            <v>4.22</v>
          </cell>
          <cell r="K283">
            <v>5.1100000000000003</v>
          </cell>
          <cell r="L283">
            <v>4.22</v>
          </cell>
          <cell r="M283">
            <v>3.67</v>
          </cell>
          <cell r="N283">
            <v>108.33</v>
          </cell>
          <cell r="O283">
            <v>98.5</v>
          </cell>
          <cell r="P283">
            <v>110.17</v>
          </cell>
          <cell r="Q283">
            <v>57.22</v>
          </cell>
          <cell r="R283">
            <v>488.45</v>
          </cell>
          <cell r="S283">
            <v>457.66</v>
          </cell>
          <cell r="T283">
            <v>473.85</v>
          </cell>
          <cell r="U283">
            <v>3.1233</v>
          </cell>
          <cell r="V283">
            <v>6.3880999999999997</v>
          </cell>
          <cell r="W283">
            <v>4.67</v>
          </cell>
          <cell r="X283">
            <v>0</v>
          </cell>
          <cell r="Y283">
            <v>0</v>
          </cell>
          <cell r="Z283">
            <v>0</v>
          </cell>
          <cell r="AA283">
            <v>259.13</v>
          </cell>
          <cell r="AB283">
            <v>473.12</v>
          </cell>
          <cell r="AC283">
            <v>4.7667000000000002</v>
          </cell>
          <cell r="AD283">
            <v>0</v>
          </cell>
          <cell r="AE283">
            <v>265.5</v>
          </cell>
          <cell r="AF283">
            <v>470.99</v>
          </cell>
          <cell r="AG283">
            <v>5</v>
          </cell>
          <cell r="AH283">
            <v>736.49</v>
          </cell>
          <cell r="AI283">
            <v>17</v>
          </cell>
          <cell r="AJ283">
            <v>278.25</v>
          </cell>
          <cell r="AK283">
            <v>220</v>
          </cell>
          <cell r="AL283">
            <v>249.78</v>
          </cell>
          <cell r="AM283">
            <v>4.82</v>
          </cell>
          <cell r="AN283">
            <v>5.82</v>
          </cell>
          <cell r="AO283">
            <v>4.9400000000000004</v>
          </cell>
          <cell r="AP283">
            <v>4.09</v>
          </cell>
          <cell r="AQ283">
            <v>4.9175000000000004</v>
          </cell>
        </row>
        <row r="284">
          <cell r="D284" t="str">
            <v>지구환경과학과</v>
          </cell>
          <cell r="E284">
            <v>382</v>
          </cell>
          <cell r="F284">
            <v>14</v>
          </cell>
          <cell r="G284">
            <v>312.75</v>
          </cell>
          <cell r="H284">
            <v>250</v>
          </cell>
          <cell r="I284">
            <v>270.17</v>
          </cell>
          <cell r="J284">
            <v>3.86</v>
          </cell>
          <cell r="K284">
            <v>5.07</v>
          </cell>
          <cell r="L284">
            <v>4.21</v>
          </cell>
          <cell r="M284">
            <v>3.04</v>
          </cell>
          <cell r="N284">
            <v>111.79</v>
          </cell>
          <cell r="O284">
            <v>98.57</v>
          </cell>
          <cell r="P284">
            <v>108.86</v>
          </cell>
          <cell r="Q284">
            <v>59.64</v>
          </cell>
          <cell r="R284">
            <v>491.54</v>
          </cell>
          <cell r="S284">
            <v>467.48</v>
          </cell>
          <cell r="T284">
            <v>478.41</v>
          </cell>
          <cell r="U284">
            <v>2.66</v>
          </cell>
          <cell r="V284">
            <v>5.2267000000000001</v>
          </cell>
          <cell r="W284">
            <v>4.18</v>
          </cell>
          <cell r="X284">
            <v>0</v>
          </cell>
          <cell r="Y284">
            <v>0</v>
          </cell>
          <cell r="Z284">
            <v>0</v>
          </cell>
          <cell r="AA284">
            <v>258.5</v>
          </cell>
          <cell r="AB284">
            <v>476.92</v>
          </cell>
          <cell r="AC284">
            <v>4.3175999999999997</v>
          </cell>
          <cell r="AD284">
            <v>0</v>
          </cell>
          <cell r="AE284">
            <v>254.5</v>
          </cell>
          <cell r="AF284">
            <v>483.25</v>
          </cell>
          <cell r="AG284">
            <v>3.62</v>
          </cell>
          <cell r="AH284">
            <v>737.75</v>
          </cell>
          <cell r="AI284">
            <v>12</v>
          </cell>
          <cell r="AJ284">
            <v>312.75</v>
          </cell>
          <cell r="AK284">
            <v>235.38</v>
          </cell>
          <cell r="AL284">
            <v>254.38</v>
          </cell>
          <cell r="AM284">
            <v>4.67</v>
          </cell>
          <cell r="AN284">
            <v>5.33</v>
          </cell>
          <cell r="AO284">
            <v>5.42</v>
          </cell>
          <cell r="AP284">
            <v>3</v>
          </cell>
          <cell r="AQ284">
            <v>4.6050000000000004</v>
          </cell>
        </row>
        <row r="285">
          <cell r="D285" t="str">
            <v>화학과</v>
          </cell>
          <cell r="E285">
            <v>383</v>
          </cell>
          <cell r="F285">
            <v>25</v>
          </cell>
          <cell r="G285">
            <v>313.25</v>
          </cell>
          <cell r="H285">
            <v>276.25</v>
          </cell>
          <cell r="I285">
            <v>286.26</v>
          </cell>
          <cell r="J285">
            <v>3.12</v>
          </cell>
          <cell r="K285">
            <v>4.5599999999999996</v>
          </cell>
          <cell r="L285">
            <v>3.28</v>
          </cell>
          <cell r="M285">
            <v>2.58</v>
          </cell>
          <cell r="N285">
            <v>118.56</v>
          </cell>
          <cell r="O285">
            <v>103.08</v>
          </cell>
          <cell r="P285">
            <v>118.24</v>
          </cell>
          <cell r="Q285">
            <v>61.56</v>
          </cell>
          <cell r="R285">
            <v>497.32</v>
          </cell>
          <cell r="S285">
            <v>478.61</v>
          </cell>
          <cell r="T285">
            <v>489.85</v>
          </cell>
          <cell r="U285">
            <v>1.6933</v>
          </cell>
          <cell r="V285">
            <v>4.2565999999999997</v>
          </cell>
          <cell r="W285">
            <v>2.89</v>
          </cell>
          <cell r="X285">
            <v>0</v>
          </cell>
          <cell r="Y285">
            <v>0</v>
          </cell>
          <cell r="Z285">
            <v>0</v>
          </cell>
          <cell r="AA285">
            <v>283</v>
          </cell>
          <cell r="AB285">
            <v>485.16</v>
          </cell>
          <cell r="AC285">
            <v>3.44</v>
          </cell>
          <cell r="AD285">
            <v>0</v>
          </cell>
          <cell r="AE285">
            <v>280.38</v>
          </cell>
          <cell r="AF285">
            <v>490.45</v>
          </cell>
          <cell r="AG285">
            <v>2.9416000000000002</v>
          </cell>
          <cell r="AH285">
            <v>770.83</v>
          </cell>
          <cell r="AI285">
            <v>24</v>
          </cell>
          <cell r="AJ285">
            <v>313.25</v>
          </cell>
          <cell r="AK285">
            <v>260</v>
          </cell>
          <cell r="AL285">
            <v>276.33</v>
          </cell>
          <cell r="AM285">
            <v>3.42</v>
          </cell>
          <cell r="AN285">
            <v>5</v>
          </cell>
          <cell r="AO285">
            <v>3.88</v>
          </cell>
          <cell r="AP285">
            <v>3.08</v>
          </cell>
          <cell r="AQ285">
            <v>3.8450000000000002</v>
          </cell>
        </row>
        <row r="286">
          <cell r="D286" t="str">
            <v>수학과</v>
          </cell>
          <cell r="E286">
            <v>384</v>
          </cell>
          <cell r="F286">
            <v>15</v>
          </cell>
          <cell r="G286">
            <v>311</v>
          </cell>
          <cell r="H286">
            <v>275.88</v>
          </cell>
          <cell r="I286">
            <v>293.13</v>
          </cell>
          <cell r="J286">
            <v>2.73</v>
          </cell>
          <cell r="K286">
            <v>3.8</v>
          </cell>
          <cell r="L286">
            <v>3.27</v>
          </cell>
          <cell r="M286">
            <v>2.87</v>
          </cell>
          <cell r="N286">
            <v>121.2</v>
          </cell>
          <cell r="O286">
            <v>112.47</v>
          </cell>
          <cell r="P286">
            <v>116.6</v>
          </cell>
          <cell r="Q286">
            <v>60.77</v>
          </cell>
          <cell r="R286">
            <v>490.4</v>
          </cell>
          <cell r="S286">
            <v>459.8</v>
          </cell>
          <cell r="T286">
            <v>482.25</v>
          </cell>
          <cell r="U286">
            <v>2.7921999999999998</v>
          </cell>
          <cell r="V286">
            <v>6.1786000000000003</v>
          </cell>
          <cell r="W286">
            <v>3.8</v>
          </cell>
          <cell r="X286">
            <v>0</v>
          </cell>
          <cell r="Y286">
            <v>0</v>
          </cell>
          <cell r="Z286">
            <v>0</v>
          </cell>
          <cell r="AA286">
            <v>287.75</v>
          </cell>
          <cell r="AB286">
            <v>474.1</v>
          </cell>
          <cell r="AC286">
            <v>4.66</v>
          </cell>
          <cell r="AD286">
            <v>0</v>
          </cell>
          <cell r="AE286">
            <v>292.63</v>
          </cell>
          <cell r="AF286">
            <v>476.25</v>
          </cell>
          <cell r="AG286">
            <v>4.4866999999999999</v>
          </cell>
          <cell r="AH286">
            <v>768.88</v>
          </cell>
          <cell r="AI286">
            <v>15</v>
          </cell>
          <cell r="AJ286">
            <v>301.75</v>
          </cell>
          <cell r="AK286">
            <v>237.88</v>
          </cell>
          <cell r="AL286">
            <v>270.33</v>
          </cell>
          <cell r="AM286">
            <v>3.67</v>
          </cell>
          <cell r="AN286">
            <v>4.4000000000000004</v>
          </cell>
          <cell r="AO286">
            <v>4.33</v>
          </cell>
          <cell r="AP286">
            <v>3.97</v>
          </cell>
          <cell r="AQ286">
            <v>4.0925000000000002</v>
          </cell>
        </row>
        <row r="287">
          <cell r="D287" t="str">
            <v>통계정보과학과</v>
          </cell>
          <cell r="E287">
            <v>385</v>
          </cell>
          <cell r="F287">
            <v>15</v>
          </cell>
          <cell r="G287">
            <v>298.5</v>
          </cell>
          <cell r="H287">
            <v>262</v>
          </cell>
          <cell r="I287">
            <v>280.62</v>
          </cell>
          <cell r="J287">
            <v>3.67</v>
          </cell>
          <cell r="K287">
            <v>4.33</v>
          </cell>
          <cell r="L287">
            <v>3.53</v>
          </cell>
          <cell r="M287">
            <v>3.33</v>
          </cell>
          <cell r="N287">
            <v>113.67</v>
          </cell>
          <cell r="O287">
            <v>106.27</v>
          </cell>
          <cell r="P287">
            <v>114.8</v>
          </cell>
          <cell r="Q287">
            <v>58.37</v>
          </cell>
          <cell r="R287">
            <v>493.48</v>
          </cell>
          <cell r="S287">
            <v>473.73</v>
          </cell>
          <cell r="T287">
            <v>483.4</v>
          </cell>
          <cell r="U287">
            <v>2.3288000000000002</v>
          </cell>
          <cell r="V287">
            <v>4.6856999999999998</v>
          </cell>
          <cell r="W287">
            <v>3.62</v>
          </cell>
          <cell r="X287">
            <v>0</v>
          </cell>
          <cell r="Y287">
            <v>0</v>
          </cell>
          <cell r="Z287">
            <v>0</v>
          </cell>
          <cell r="AA287">
            <v>262</v>
          </cell>
          <cell r="AB287">
            <v>479.61</v>
          </cell>
          <cell r="AC287">
            <v>4.0845000000000002</v>
          </cell>
          <cell r="AD287">
            <v>0</v>
          </cell>
          <cell r="AE287">
            <v>275.13</v>
          </cell>
          <cell r="AF287">
            <v>478.47</v>
          </cell>
          <cell r="AG287">
            <v>0</v>
          </cell>
          <cell r="AH287">
            <v>753.6</v>
          </cell>
          <cell r="AI287">
            <v>15</v>
          </cell>
          <cell r="AJ287">
            <v>289.13</v>
          </cell>
          <cell r="AK287">
            <v>230.25</v>
          </cell>
          <cell r="AL287">
            <v>258.67</v>
          </cell>
          <cell r="AM287">
            <v>4.67</v>
          </cell>
          <cell r="AN287">
            <v>5.07</v>
          </cell>
          <cell r="AO287">
            <v>4.8</v>
          </cell>
          <cell r="AP287">
            <v>3.73</v>
          </cell>
          <cell r="AQ287">
            <v>4.5674999999999999</v>
          </cell>
        </row>
        <row r="288">
          <cell r="D288" t="str">
            <v>생명공학부</v>
          </cell>
          <cell r="E288">
            <v>451</v>
          </cell>
          <cell r="F288">
            <v>35</v>
          </cell>
          <cell r="G288">
            <v>294.88</v>
          </cell>
          <cell r="H288">
            <v>238.63</v>
          </cell>
          <cell r="I288">
            <v>259.77999999999997</v>
          </cell>
          <cell r="J288">
            <v>4.2300000000000004</v>
          </cell>
          <cell r="K288">
            <v>5.63</v>
          </cell>
          <cell r="L288">
            <v>4.2300000000000004</v>
          </cell>
          <cell r="M288">
            <v>4.13</v>
          </cell>
          <cell r="N288">
            <v>108.17</v>
          </cell>
          <cell r="O288">
            <v>93.17</v>
          </cell>
          <cell r="P288">
            <v>108.71</v>
          </cell>
          <cell r="Q288">
            <v>54.34</v>
          </cell>
          <cell r="R288">
            <v>496.26</v>
          </cell>
          <cell r="S288">
            <v>461.14</v>
          </cell>
          <cell r="T288">
            <v>476.11</v>
          </cell>
          <cell r="U288">
            <v>1.9533</v>
          </cell>
          <cell r="V288">
            <v>6.0133000000000001</v>
          </cell>
          <cell r="W288">
            <v>4.38</v>
          </cell>
          <cell r="X288">
            <v>0</v>
          </cell>
          <cell r="Y288">
            <v>0</v>
          </cell>
          <cell r="Z288">
            <v>0</v>
          </cell>
          <cell r="AA288">
            <v>242.38</v>
          </cell>
          <cell r="AB288">
            <v>473.35</v>
          </cell>
          <cell r="AC288">
            <v>4.7286000000000001</v>
          </cell>
          <cell r="AD288">
            <v>0</v>
          </cell>
          <cell r="AE288">
            <v>239.25</v>
          </cell>
          <cell r="AF288">
            <v>481.33</v>
          </cell>
          <cell r="AG288">
            <v>3.9474</v>
          </cell>
          <cell r="AH288">
            <v>720.58</v>
          </cell>
          <cell r="AI288">
            <v>33</v>
          </cell>
          <cell r="AJ288">
            <v>276.38</v>
          </cell>
          <cell r="AK288">
            <v>219</v>
          </cell>
          <cell r="AL288">
            <v>250.71</v>
          </cell>
          <cell r="AM288">
            <v>4.4800000000000004</v>
          </cell>
          <cell r="AN288">
            <v>5.91</v>
          </cell>
          <cell r="AO288">
            <v>4.6399999999999997</v>
          </cell>
          <cell r="AP288">
            <v>4.7</v>
          </cell>
          <cell r="AQ288">
            <v>4.9325000000000001</v>
          </cell>
        </row>
        <row r="289">
          <cell r="D289" t="str">
            <v>생명자원유통경제학과</v>
          </cell>
          <cell r="E289">
            <v>456</v>
          </cell>
          <cell r="F289">
            <v>12</v>
          </cell>
          <cell r="G289">
            <v>283.88</v>
          </cell>
          <cell r="H289">
            <v>270.13</v>
          </cell>
          <cell r="I289">
            <v>275.44</v>
          </cell>
          <cell r="J289">
            <v>3.83</v>
          </cell>
          <cell r="K289">
            <v>4.08</v>
          </cell>
          <cell r="L289">
            <v>4.58</v>
          </cell>
          <cell r="M289">
            <v>3.33</v>
          </cell>
          <cell r="N289">
            <v>113.08</v>
          </cell>
          <cell r="O289">
            <v>107.25</v>
          </cell>
          <cell r="P289">
            <v>106.17</v>
          </cell>
          <cell r="Q289">
            <v>58.63</v>
          </cell>
          <cell r="R289">
            <v>491.32</v>
          </cell>
          <cell r="S289">
            <v>468.36</v>
          </cell>
          <cell r="T289">
            <v>478.44</v>
          </cell>
          <cell r="U289">
            <v>2.6640999999999999</v>
          </cell>
          <cell r="V289">
            <v>5.2083000000000004</v>
          </cell>
          <cell r="W289">
            <v>4.2</v>
          </cell>
          <cell r="X289">
            <v>0</v>
          </cell>
          <cell r="Y289">
            <v>0</v>
          </cell>
          <cell r="Z289">
            <v>0</v>
          </cell>
          <cell r="AA289">
            <v>272.13</v>
          </cell>
          <cell r="AB289">
            <v>477.19</v>
          </cell>
          <cell r="AC289">
            <v>4.3768000000000002</v>
          </cell>
          <cell r="AD289">
            <v>0</v>
          </cell>
          <cell r="AE289">
            <v>274.75</v>
          </cell>
          <cell r="AF289">
            <v>474.76</v>
          </cell>
          <cell r="AG289">
            <v>4.5579999999999998</v>
          </cell>
          <cell r="AH289">
            <v>749.51</v>
          </cell>
          <cell r="AI289">
            <v>8</v>
          </cell>
          <cell r="AJ289">
            <v>282.5</v>
          </cell>
          <cell r="AK289">
            <v>273</v>
          </cell>
          <cell r="AL289">
            <v>277.77</v>
          </cell>
          <cell r="AM289">
            <v>4</v>
          </cell>
          <cell r="AN289">
            <v>3.5</v>
          </cell>
          <cell r="AO289">
            <v>4.38</v>
          </cell>
          <cell r="AP289">
            <v>3.69</v>
          </cell>
          <cell r="AQ289">
            <v>3.8924999999999996</v>
          </cell>
        </row>
        <row r="290">
          <cell r="D290" t="str">
            <v>바이오식품공학과</v>
          </cell>
          <cell r="E290">
            <v>457</v>
          </cell>
          <cell r="F290">
            <v>20</v>
          </cell>
          <cell r="G290">
            <v>271.75</v>
          </cell>
          <cell r="H290">
            <v>226.13</v>
          </cell>
          <cell r="I290">
            <v>243.2</v>
          </cell>
          <cell r="J290">
            <v>5</v>
          </cell>
          <cell r="K290">
            <v>6.45</v>
          </cell>
          <cell r="L290">
            <v>4.8499999999999996</v>
          </cell>
          <cell r="M290">
            <v>4.43</v>
          </cell>
          <cell r="N290">
            <v>101.3</v>
          </cell>
          <cell r="O290">
            <v>84.65</v>
          </cell>
          <cell r="P290">
            <v>102.4</v>
          </cell>
          <cell r="Q290">
            <v>52.8</v>
          </cell>
          <cell r="R290">
            <v>482.9</v>
          </cell>
          <cell r="S290">
            <v>449.99</v>
          </cell>
          <cell r="T290">
            <v>469.53</v>
          </cell>
          <cell r="U290">
            <v>3.7431999999999999</v>
          </cell>
          <cell r="V290">
            <v>7.3867000000000003</v>
          </cell>
          <cell r="W290">
            <v>5.12</v>
          </cell>
          <cell r="X290">
            <v>0</v>
          </cell>
          <cell r="Y290">
            <v>0</v>
          </cell>
          <cell r="Z290">
            <v>0</v>
          </cell>
          <cell r="AA290">
            <v>229</v>
          </cell>
          <cell r="AB290">
            <v>465.45</v>
          </cell>
          <cell r="AC290">
            <v>5.5133000000000001</v>
          </cell>
          <cell r="AD290">
            <v>0</v>
          </cell>
          <cell r="AE290">
            <v>238.5</v>
          </cell>
          <cell r="AF290">
            <v>462.07</v>
          </cell>
          <cell r="AG290">
            <v>5.8354999999999997</v>
          </cell>
          <cell r="AH290">
            <v>700.57</v>
          </cell>
          <cell r="AI290">
            <v>20</v>
          </cell>
          <cell r="AJ290">
            <v>260.88</v>
          </cell>
          <cell r="AK290">
            <v>213.25</v>
          </cell>
          <cell r="AL290">
            <v>229.55</v>
          </cell>
          <cell r="AM290">
            <v>5.6</v>
          </cell>
          <cell r="AN290">
            <v>6.6</v>
          </cell>
          <cell r="AO290">
            <v>5.45</v>
          </cell>
          <cell r="AP290">
            <v>5.03</v>
          </cell>
          <cell r="AQ290">
            <v>5.67</v>
          </cell>
        </row>
        <row r="291">
          <cell r="D291" t="str">
            <v>한약자원학과</v>
          </cell>
          <cell r="E291">
            <v>458</v>
          </cell>
          <cell r="F291">
            <v>11</v>
          </cell>
          <cell r="G291">
            <v>292.45999999999998</v>
          </cell>
          <cell r="H291">
            <v>257.08999999999997</v>
          </cell>
          <cell r="I291">
            <v>276.97000000000003</v>
          </cell>
          <cell r="J291">
            <v>4.91</v>
          </cell>
          <cell r="K291">
            <v>4.18</v>
          </cell>
          <cell r="L291">
            <v>3.82</v>
          </cell>
          <cell r="M291">
            <v>3.86</v>
          </cell>
          <cell r="N291">
            <v>102.18</v>
          </cell>
          <cell r="O291">
            <v>108.82</v>
          </cell>
          <cell r="P291">
            <v>112.64</v>
          </cell>
          <cell r="Q291">
            <v>55.82</v>
          </cell>
          <cell r="R291">
            <v>478.34</v>
          </cell>
          <cell r="S291">
            <v>463.46</v>
          </cell>
          <cell r="T291">
            <v>470.43</v>
          </cell>
          <cell r="U291">
            <v>4.2671000000000001</v>
          </cell>
          <cell r="V291">
            <v>5.7371999999999996</v>
          </cell>
          <cell r="W291">
            <v>5.0199999999999996</v>
          </cell>
          <cell r="X291">
            <v>0</v>
          </cell>
          <cell r="Y291">
            <v>0</v>
          </cell>
          <cell r="Z291">
            <v>0</v>
          </cell>
          <cell r="AA291">
            <v>257.08999999999997</v>
          </cell>
          <cell r="AB291">
            <v>478.34</v>
          </cell>
          <cell r="AC291">
            <v>4.2671000000000001</v>
          </cell>
          <cell r="AD291">
            <v>0</v>
          </cell>
          <cell r="AE291">
            <v>268.64999999999998</v>
          </cell>
          <cell r="AF291">
            <v>467.4</v>
          </cell>
          <cell r="AG291">
            <v>5.2083000000000004</v>
          </cell>
          <cell r="AH291">
            <v>736.05</v>
          </cell>
          <cell r="AI291">
            <v>7</v>
          </cell>
          <cell r="AJ291">
            <v>280.5</v>
          </cell>
          <cell r="AK291">
            <v>252.5</v>
          </cell>
          <cell r="AL291">
            <v>261.77</v>
          </cell>
          <cell r="AM291">
            <v>5.14</v>
          </cell>
          <cell r="AN291">
            <v>4.43</v>
          </cell>
          <cell r="AO291">
            <v>4.8600000000000003</v>
          </cell>
          <cell r="AP291">
            <v>3.93</v>
          </cell>
          <cell r="AQ291">
            <v>4.59</v>
          </cell>
        </row>
        <row r="292">
          <cell r="D292" t="str">
            <v>환경조경디자인학과</v>
          </cell>
          <cell r="E292">
            <v>459</v>
          </cell>
          <cell r="F292">
            <v>15</v>
          </cell>
          <cell r="G292">
            <v>279.75</v>
          </cell>
          <cell r="H292">
            <v>250.63</v>
          </cell>
          <cell r="I292">
            <v>265.81</v>
          </cell>
          <cell r="J292">
            <v>5.13</v>
          </cell>
          <cell r="K292">
            <v>4.4000000000000004</v>
          </cell>
          <cell r="L292">
            <v>4.5999999999999996</v>
          </cell>
          <cell r="M292">
            <v>3.5</v>
          </cell>
          <cell r="N292">
            <v>102.07</v>
          </cell>
          <cell r="O292">
            <v>102.4</v>
          </cell>
          <cell r="P292">
            <v>104.87</v>
          </cell>
          <cell r="Q292">
            <v>57.47</v>
          </cell>
          <cell r="R292">
            <v>486.01</v>
          </cell>
          <cell r="S292">
            <v>458.6</v>
          </cell>
          <cell r="T292">
            <v>470.2</v>
          </cell>
          <cell r="U292">
            <v>3.4098000000000002</v>
          </cell>
          <cell r="V292">
            <v>6.18</v>
          </cell>
          <cell r="W292">
            <v>5.03</v>
          </cell>
          <cell r="X292">
            <v>0</v>
          </cell>
          <cell r="Y292">
            <v>0</v>
          </cell>
          <cell r="Z292">
            <v>0</v>
          </cell>
          <cell r="AA292">
            <v>261.23</v>
          </cell>
          <cell r="AB292">
            <v>462.73</v>
          </cell>
          <cell r="AC292">
            <v>5.7657999999999996</v>
          </cell>
          <cell r="AD292">
            <v>0</v>
          </cell>
          <cell r="AE292">
            <v>250.63</v>
          </cell>
          <cell r="AF292">
            <v>478.19</v>
          </cell>
          <cell r="AG292">
            <v>4.2923</v>
          </cell>
          <cell r="AH292">
            <v>728.82</v>
          </cell>
          <cell r="AI292">
            <v>14</v>
          </cell>
          <cell r="AJ292">
            <v>274.66000000000003</v>
          </cell>
          <cell r="AK292">
            <v>250.71</v>
          </cell>
          <cell r="AL292">
            <v>261.94</v>
          </cell>
          <cell r="AM292">
            <v>4.71</v>
          </cell>
          <cell r="AN292">
            <v>4.5</v>
          </cell>
          <cell r="AO292">
            <v>4.6399999999999997</v>
          </cell>
          <cell r="AP292">
            <v>4.04</v>
          </cell>
          <cell r="AQ292">
            <v>4.4725000000000001</v>
          </cell>
        </row>
      </sheetData>
      <sheetData sheetId="1"/>
      <sheetData sheetId="2" refreshError="1"/>
      <sheetData sheetId="3">
        <row r="2">
          <cell r="A2" t="str">
            <v>모 집 단 위</v>
          </cell>
          <cell r="B2" t="str">
            <v>학과코드</v>
          </cell>
          <cell r="C2" t="str">
            <v>모집인원</v>
          </cell>
          <cell r="D2" t="str">
            <v>지원자수</v>
          </cell>
          <cell r="E2" t="str">
            <v>일반학생</v>
          </cell>
          <cell r="F2" t="str">
            <v>특기자</v>
          </cell>
          <cell r="G2" t="str">
            <v>모집인원</v>
          </cell>
          <cell r="H2" t="str">
            <v>지원자수</v>
          </cell>
          <cell r="I2" t="str">
            <v>경쟁률</v>
          </cell>
          <cell r="J2" t="str">
            <v>농어촌학생</v>
          </cell>
          <cell r="K2" t="str">
            <v>전문계고출신</v>
          </cell>
        </row>
        <row r="3">
          <cell r="A3" t="str">
            <v>간호학과</v>
          </cell>
          <cell r="B3">
            <v>201</v>
          </cell>
          <cell r="C3">
            <v>30</v>
          </cell>
          <cell r="D3">
            <v>379</v>
          </cell>
          <cell r="E3">
            <v>12.633333333333333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10.199999999999999</v>
          </cell>
          <cell r="K3">
            <v>0</v>
          </cell>
        </row>
        <row r="4">
          <cell r="A4" t="str">
            <v>간호대학</v>
          </cell>
          <cell r="C4">
            <v>30</v>
          </cell>
          <cell r="D4">
            <v>379</v>
          </cell>
          <cell r="E4">
            <v>12.633333333333333</v>
          </cell>
          <cell r="F4">
            <v>0</v>
          </cell>
          <cell r="G4">
            <v>19</v>
          </cell>
          <cell r="H4">
            <v>217</v>
          </cell>
          <cell r="I4">
            <v>11.421052631578947</v>
          </cell>
          <cell r="J4">
            <v>10.199999999999999</v>
          </cell>
          <cell r="K4">
            <v>0</v>
          </cell>
        </row>
        <row r="5">
          <cell r="A5" t="str">
            <v>바이오메디컬공학부</v>
          </cell>
          <cell r="B5">
            <v>402</v>
          </cell>
          <cell r="C5">
            <v>18</v>
          </cell>
          <cell r="D5">
            <v>38</v>
          </cell>
          <cell r="E5">
            <v>2.1111111111111112</v>
          </cell>
          <cell r="F5">
            <v>0</v>
          </cell>
          <cell r="G5">
            <v>15</v>
          </cell>
          <cell r="H5">
            <v>35</v>
          </cell>
          <cell r="I5">
            <v>2.3333333333333335</v>
          </cell>
          <cell r="J5">
            <v>3.5</v>
          </cell>
          <cell r="K5">
            <v>0.5</v>
          </cell>
        </row>
        <row r="6">
          <cell r="A6" t="str">
            <v>산업정보시스템공학과</v>
          </cell>
          <cell r="B6">
            <v>403</v>
          </cell>
          <cell r="C6">
            <v>20</v>
          </cell>
          <cell r="D6">
            <v>93</v>
          </cell>
          <cell r="E6">
            <v>4.6500000000000004</v>
          </cell>
          <cell r="F6">
            <v>0</v>
          </cell>
          <cell r="G6">
            <v>11</v>
          </cell>
          <cell r="H6">
            <v>51</v>
          </cell>
          <cell r="I6">
            <v>4.6363636363636367</v>
          </cell>
          <cell r="J6">
            <v>4</v>
          </cell>
          <cell r="K6">
            <v>4.5</v>
          </cell>
        </row>
        <row r="7">
          <cell r="A7" t="str">
            <v>섬유소재시스템공학과</v>
          </cell>
          <cell r="B7">
            <v>404</v>
          </cell>
          <cell r="C7">
            <v>13</v>
          </cell>
          <cell r="D7">
            <v>35</v>
          </cell>
          <cell r="E7">
            <v>2.6923076923076925</v>
          </cell>
          <cell r="F7">
            <v>0</v>
          </cell>
          <cell r="G7">
            <v>13</v>
          </cell>
          <cell r="H7">
            <v>72</v>
          </cell>
          <cell r="I7">
            <v>5.5384615384615383</v>
          </cell>
          <cell r="J7">
            <v>2</v>
          </cell>
          <cell r="K7">
            <v>0</v>
          </cell>
        </row>
        <row r="8">
          <cell r="A8" t="str">
            <v>자원.에너지공학과</v>
          </cell>
          <cell r="B8">
            <v>405</v>
          </cell>
          <cell r="C8">
            <v>14</v>
          </cell>
          <cell r="D8">
            <v>40</v>
          </cell>
          <cell r="E8">
            <v>2.8571428571428572</v>
          </cell>
          <cell r="F8">
            <v>0</v>
          </cell>
          <cell r="G8">
            <v>13</v>
          </cell>
          <cell r="H8">
            <v>66</v>
          </cell>
          <cell r="I8">
            <v>5.0769230769230766</v>
          </cell>
          <cell r="J8">
            <v>3.5</v>
          </cell>
          <cell r="K8">
            <v>4</v>
          </cell>
        </row>
        <row r="9">
          <cell r="A9" t="str">
            <v>토목공학과</v>
          </cell>
          <cell r="B9">
            <v>406</v>
          </cell>
          <cell r="C9">
            <v>21</v>
          </cell>
          <cell r="D9">
            <v>71</v>
          </cell>
          <cell r="E9">
            <v>3.3809523809523809</v>
          </cell>
          <cell r="F9">
            <v>0</v>
          </cell>
          <cell r="G9">
            <v>16</v>
          </cell>
          <cell r="H9">
            <v>92</v>
          </cell>
          <cell r="I9">
            <v>5.75</v>
          </cell>
          <cell r="J9">
            <v>4</v>
          </cell>
          <cell r="K9">
            <v>3.6666666666666665</v>
          </cell>
        </row>
        <row r="10">
          <cell r="A10" t="str">
            <v>기계설계공학부</v>
          </cell>
          <cell r="B10">
            <v>408</v>
          </cell>
          <cell r="C10">
            <v>39</v>
          </cell>
          <cell r="D10">
            <v>95</v>
          </cell>
          <cell r="E10">
            <v>2.4358974358974357</v>
          </cell>
          <cell r="F10">
            <v>0</v>
          </cell>
          <cell r="G10">
            <v>29</v>
          </cell>
          <cell r="H10">
            <v>66</v>
          </cell>
          <cell r="I10">
            <v>2.2758620689655173</v>
          </cell>
          <cell r="J10">
            <v>0</v>
          </cell>
          <cell r="K10">
            <v>2.6666666666666665</v>
          </cell>
        </row>
        <row r="11">
          <cell r="A11" t="str">
            <v>기계공학과</v>
          </cell>
          <cell r="B11">
            <v>409</v>
          </cell>
          <cell r="C11">
            <v>35</v>
          </cell>
          <cell r="D11">
            <v>135</v>
          </cell>
          <cell r="E11">
            <v>3.8571428571428572</v>
          </cell>
          <cell r="F11">
            <v>0</v>
          </cell>
          <cell r="G11">
            <v>25</v>
          </cell>
          <cell r="H11">
            <v>97</v>
          </cell>
          <cell r="I11">
            <v>3.88</v>
          </cell>
          <cell r="J11">
            <v>0</v>
          </cell>
          <cell r="K11">
            <v>3.5</v>
          </cell>
        </row>
        <row r="12">
          <cell r="A12" t="str">
            <v>항공우주공학과</v>
          </cell>
          <cell r="B12">
            <v>410</v>
          </cell>
          <cell r="C12">
            <v>16</v>
          </cell>
          <cell r="D12">
            <v>53</v>
          </cell>
          <cell r="E12">
            <v>3.3125</v>
          </cell>
          <cell r="F12">
            <v>0</v>
          </cell>
          <cell r="G12">
            <v>14</v>
          </cell>
          <cell r="H12">
            <v>46</v>
          </cell>
          <cell r="I12">
            <v>3.2857142857142856</v>
          </cell>
          <cell r="J12">
            <v>0</v>
          </cell>
          <cell r="K12">
            <v>2</v>
          </cell>
        </row>
        <row r="13">
          <cell r="A13" t="str">
            <v>고분자.나노공학과</v>
          </cell>
          <cell r="B13">
            <v>412</v>
          </cell>
          <cell r="C13">
            <v>25</v>
          </cell>
          <cell r="D13">
            <v>119</v>
          </cell>
          <cell r="E13">
            <v>4.76</v>
          </cell>
          <cell r="F13">
            <v>0</v>
          </cell>
          <cell r="G13">
            <v>17</v>
          </cell>
          <cell r="H13">
            <v>39</v>
          </cell>
          <cell r="I13">
            <v>2.2941176470588234</v>
          </cell>
          <cell r="J13">
            <v>5</v>
          </cell>
          <cell r="K13">
            <v>3.5</v>
          </cell>
        </row>
        <row r="14">
          <cell r="A14" t="str">
            <v>화학공학부</v>
          </cell>
          <cell r="B14">
            <v>414</v>
          </cell>
          <cell r="C14">
            <v>43</v>
          </cell>
          <cell r="D14">
            <v>189</v>
          </cell>
          <cell r="E14">
            <v>4.3953488372093021</v>
          </cell>
          <cell r="F14">
            <v>0</v>
          </cell>
          <cell r="G14">
            <v>27</v>
          </cell>
          <cell r="H14">
            <v>113</v>
          </cell>
          <cell r="I14">
            <v>4.1851851851851851</v>
          </cell>
          <cell r="J14">
            <v>3</v>
          </cell>
          <cell r="K14">
            <v>2</v>
          </cell>
        </row>
        <row r="15">
          <cell r="A15" t="str">
            <v>환경공학과</v>
          </cell>
          <cell r="B15">
            <v>415</v>
          </cell>
          <cell r="C15">
            <v>15</v>
          </cell>
          <cell r="D15">
            <v>48</v>
          </cell>
          <cell r="E15">
            <v>3.2</v>
          </cell>
          <cell r="F15">
            <v>0</v>
          </cell>
          <cell r="G15">
            <v>13</v>
          </cell>
          <cell r="H15">
            <v>55</v>
          </cell>
          <cell r="I15">
            <v>4.2307692307692308</v>
          </cell>
          <cell r="J15">
            <v>3.5</v>
          </cell>
          <cell r="K15">
            <v>1.5</v>
          </cell>
        </row>
        <row r="16">
          <cell r="A16" t="str">
            <v>건축공학과</v>
          </cell>
          <cell r="B16">
            <v>417</v>
          </cell>
          <cell r="C16">
            <v>9</v>
          </cell>
          <cell r="D16">
            <v>39</v>
          </cell>
          <cell r="E16">
            <v>4.333333333333333</v>
          </cell>
          <cell r="F16">
            <v>0</v>
          </cell>
          <cell r="G16">
            <v>0</v>
          </cell>
          <cell r="H16">
            <v>0</v>
          </cell>
          <cell r="I16" t="e">
            <v>#DIV/0!</v>
          </cell>
          <cell r="J16">
            <v>3</v>
          </cell>
          <cell r="K16">
            <v>0</v>
          </cell>
        </row>
        <row r="17">
          <cell r="A17" t="str">
            <v>도시공학과</v>
          </cell>
          <cell r="B17">
            <v>418</v>
          </cell>
          <cell r="C17">
            <v>9</v>
          </cell>
          <cell r="D17">
            <v>29</v>
          </cell>
          <cell r="E17">
            <v>3.2222222222222223</v>
          </cell>
          <cell r="F17">
            <v>0</v>
          </cell>
          <cell r="G17">
            <v>0</v>
          </cell>
          <cell r="H17">
            <v>0</v>
          </cell>
          <cell r="I17" t="e">
            <v>#DIV/0!</v>
          </cell>
          <cell r="J17">
            <v>2</v>
          </cell>
          <cell r="K17">
            <v>0</v>
          </cell>
        </row>
        <row r="18">
          <cell r="A18" t="str">
            <v>건축학과</v>
          </cell>
          <cell r="B18">
            <v>419</v>
          </cell>
          <cell r="C18">
            <v>9</v>
          </cell>
          <cell r="D18">
            <v>47</v>
          </cell>
          <cell r="E18">
            <v>5.2222222222222223</v>
          </cell>
          <cell r="F18">
            <v>0</v>
          </cell>
          <cell r="G18">
            <v>0</v>
          </cell>
          <cell r="H18">
            <v>0</v>
          </cell>
          <cell r="I18" t="e">
            <v>#DIV/0!</v>
          </cell>
          <cell r="J18">
            <v>0</v>
          </cell>
          <cell r="K18">
            <v>1</v>
          </cell>
        </row>
        <row r="19">
          <cell r="A19" t="str">
            <v>신소재공학부(금속시스템공학)</v>
          </cell>
          <cell r="B19">
            <v>420</v>
          </cell>
          <cell r="C19">
            <v>18</v>
          </cell>
          <cell r="D19">
            <v>42</v>
          </cell>
          <cell r="E19">
            <v>2.3333333333333335</v>
          </cell>
          <cell r="F19">
            <v>0</v>
          </cell>
          <cell r="G19">
            <v>0</v>
          </cell>
          <cell r="H19">
            <v>0</v>
          </cell>
          <cell r="I19" t="e">
            <v>#DIV/0!</v>
          </cell>
          <cell r="J19">
            <v>0</v>
          </cell>
          <cell r="K19">
            <v>1</v>
          </cell>
        </row>
        <row r="20">
          <cell r="A20" t="str">
            <v>신소재공학부(정보소재공학)</v>
          </cell>
          <cell r="B20">
            <v>421</v>
          </cell>
          <cell r="C20">
            <v>17</v>
          </cell>
          <cell r="D20">
            <v>35</v>
          </cell>
          <cell r="E20">
            <v>2.0588235294117645</v>
          </cell>
          <cell r="F20">
            <v>0</v>
          </cell>
          <cell r="G20">
            <v>0</v>
          </cell>
          <cell r="H20">
            <v>0</v>
          </cell>
          <cell r="I20" t="e">
            <v>#DIV/0!</v>
          </cell>
          <cell r="J20">
            <v>1</v>
          </cell>
          <cell r="K20">
            <v>0</v>
          </cell>
        </row>
        <row r="21">
          <cell r="A21" t="str">
            <v>신소재공학부(전자재료공학)</v>
          </cell>
          <cell r="B21">
            <v>422</v>
          </cell>
          <cell r="C21">
            <v>17</v>
          </cell>
          <cell r="D21">
            <v>39</v>
          </cell>
          <cell r="E21">
            <v>2.2941176470588234</v>
          </cell>
          <cell r="F21">
            <v>0</v>
          </cell>
          <cell r="G21">
            <v>0</v>
          </cell>
          <cell r="H21">
            <v>0</v>
          </cell>
          <cell r="I21" t="e">
            <v>#DIV/0!</v>
          </cell>
          <cell r="J21">
            <v>1</v>
          </cell>
          <cell r="K21">
            <v>3</v>
          </cell>
        </row>
        <row r="22">
          <cell r="A22" t="str">
            <v>전기전자컴퓨터공학부(전기공학)</v>
          </cell>
          <cell r="B22">
            <v>423</v>
          </cell>
          <cell r="C22">
            <v>19</v>
          </cell>
          <cell r="D22">
            <v>58</v>
          </cell>
          <cell r="E22">
            <v>3.0526315789473686</v>
          </cell>
          <cell r="F22">
            <v>0</v>
          </cell>
          <cell r="G22">
            <v>0</v>
          </cell>
          <cell r="H22">
            <v>0</v>
          </cell>
          <cell r="I22" t="e">
            <v>#DIV/0!</v>
          </cell>
          <cell r="J22">
            <v>4.5</v>
          </cell>
          <cell r="K22">
            <v>3</v>
          </cell>
        </row>
        <row r="23">
          <cell r="A23" t="str">
            <v>전기전자컴퓨터공학부(전자공학)</v>
          </cell>
          <cell r="B23">
            <v>424</v>
          </cell>
          <cell r="C23">
            <v>65</v>
          </cell>
          <cell r="D23">
            <v>163</v>
          </cell>
          <cell r="E23">
            <v>2.5076923076923077</v>
          </cell>
          <cell r="F23">
            <v>0</v>
          </cell>
          <cell r="G23">
            <v>0</v>
          </cell>
          <cell r="H23">
            <v>0</v>
          </cell>
          <cell r="I23" t="e">
            <v>#DIV/0!</v>
          </cell>
          <cell r="J23">
            <v>4</v>
          </cell>
          <cell r="K23">
            <v>3.5</v>
          </cell>
        </row>
        <row r="24">
          <cell r="A24" t="str">
            <v>전기전자컴퓨터공학부(컴퓨터공학)</v>
          </cell>
          <cell r="B24">
            <v>425</v>
          </cell>
          <cell r="C24">
            <v>50</v>
          </cell>
          <cell r="D24">
            <v>99</v>
          </cell>
          <cell r="E24">
            <v>1.98</v>
          </cell>
          <cell r="F24">
            <v>0.2</v>
          </cell>
          <cell r="G24">
            <v>0</v>
          </cell>
          <cell r="H24">
            <v>0</v>
          </cell>
          <cell r="I24" t="e">
            <v>#DIV/0!</v>
          </cell>
          <cell r="J24">
            <v>4.5</v>
          </cell>
          <cell r="K24">
            <v>2.5</v>
          </cell>
        </row>
        <row r="25">
          <cell r="A25" t="str">
            <v>응용시스템공학부(사회기반공학)</v>
          </cell>
          <cell r="B25">
            <v>426</v>
          </cell>
          <cell r="C25">
            <v>13</v>
          </cell>
          <cell r="D25">
            <v>39</v>
          </cell>
          <cell r="E25">
            <v>3</v>
          </cell>
          <cell r="F25">
            <v>0</v>
          </cell>
          <cell r="G25">
            <v>0</v>
          </cell>
          <cell r="H25">
            <v>0</v>
          </cell>
          <cell r="I25" t="e">
            <v>#DIV/0!</v>
          </cell>
          <cell r="J25">
            <v>1</v>
          </cell>
          <cell r="K25">
            <v>1</v>
          </cell>
        </row>
        <row r="26">
          <cell r="A26" t="str">
            <v>응용시스템공학부(산업전기공학)</v>
          </cell>
          <cell r="B26">
            <v>427</v>
          </cell>
          <cell r="C26">
            <v>12</v>
          </cell>
          <cell r="D26">
            <v>40</v>
          </cell>
          <cell r="E26">
            <v>3.3333333333333335</v>
          </cell>
          <cell r="F26">
            <v>0</v>
          </cell>
          <cell r="G26">
            <v>0</v>
          </cell>
          <cell r="H26">
            <v>0</v>
          </cell>
          <cell r="I26" t="e">
            <v>#DIV/0!</v>
          </cell>
          <cell r="J26">
            <v>2</v>
          </cell>
          <cell r="K26">
            <v>1.5</v>
          </cell>
        </row>
        <row r="27">
          <cell r="A27" t="str">
            <v>응용시스템공학부(전자통신공학)</v>
          </cell>
          <cell r="B27">
            <v>428</v>
          </cell>
          <cell r="C27">
            <v>13</v>
          </cell>
          <cell r="D27">
            <v>51</v>
          </cell>
          <cell r="E27">
            <v>3.9230769230769229</v>
          </cell>
          <cell r="F27">
            <v>0</v>
          </cell>
          <cell r="G27">
            <v>0</v>
          </cell>
          <cell r="H27">
            <v>0</v>
          </cell>
          <cell r="I27" t="e">
            <v>#DIV/0!</v>
          </cell>
          <cell r="J27">
            <v>2</v>
          </cell>
          <cell r="K27">
            <v>1</v>
          </cell>
        </row>
        <row r="28">
          <cell r="A28" t="str">
            <v>응용시스템공학부(정보공학)</v>
          </cell>
          <cell r="B28">
            <v>429</v>
          </cell>
          <cell r="C28">
            <v>12</v>
          </cell>
          <cell r="D28">
            <v>37</v>
          </cell>
          <cell r="E28">
            <v>3.0833333333333335</v>
          </cell>
          <cell r="F28">
            <v>0</v>
          </cell>
          <cell r="G28">
            <v>0</v>
          </cell>
          <cell r="H28">
            <v>0</v>
          </cell>
          <cell r="I28" t="e">
            <v>#DIV/0!</v>
          </cell>
          <cell r="J28">
            <v>2</v>
          </cell>
          <cell r="K28">
            <v>1</v>
          </cell>
        </row>
        <row r="29">
          <cell r="A29" t="str">
            <v>기계시스템공학부</v>
          </cell>
          <cell r="B29">
            <v>430</v>
          </cell>
          <cell r="C29">
            <v>39</v>
          </cell>
          <cell r="D29">
            <v>119</v>
          </cell>
          <cell r="E29">
            <v>3.0512820512820511</v>
          </cell>
          <cell r="F29">
            <v>0</v>
          </cell>
          <cell r="G29">
            <v>0</v>
          </cell>
          <cell r="H29">
            <v>0</v>
          </cell>
          <cell r="I29" t="e">
            <v>#DIV/0!</v>
          </cell>
          <cell r="J29">
            <v>2</v>
          </cell>
          <cell r="K29">
            <v>1.5</v>
          </cell>
        </row>
        <row r="30">
          <cell r="A30" t="str">
            <v>공과대학</v>
          </cell>
          <cell r="C30">
            <v>561</v>
          </cell>
          <cell r="D30">
            <v>1753</v>
          </cell>
          <cell r="E30">
            <v>3.1247771836007132</v>
          </cell>
          <cell r="F30">
            <v>0.2</v>
          </cell>
          <cell r="G30">
            <v>193</v>
          </cell>
          <cell r="H30">
            <v>732</v>
          </cell>
          <cell r="I30">
            <v>3.7927461139896375</v>
          </cell>
          <cell r="J30">
            <v>3.1764705882352939</v>
          </cell>
          <cell r="K30">
            <v>2.2749999999999999</v>
          </cell>
        </row>
        <row r="31">
          <cell r="A31" t="str">
            <v>농업경제학과</v>
          </cell>
          <cell r="B31">
            <v>121</v>
          </cell>
          <cell r="C31">
            <v>10</v>
          </cell>
          <cell r="D31">
            <v>67</v>
          </cell>
          <cell r="E31">
            <v>6.7</v>
          </cell>
          <cell r="F31">
            <v>0</v>
          </cell>
          <cell r="G31">
            <v>8</v>
          </cell>
          <cell r="H31">
            <v>48</v>
          </cell>
          <cell r="I31">
            <v>6</v>
          </cell>
          <cell r="J31">
            <v>4.333333333333333</v>
          </cell>
          <cell r="K31">
            <v>0</v>
          </cell>
        </row>
        <row r="32">
          <cell r="A32" t="str">
            <v>조경학과</v>
          </cell>
          <cell r="B32">
            <v>227</v>
          </cell>
          <cell r="C32">
            <v>11</v>
          </cell>
          <cell r="D32">
            <v>91</v>
          </cell>
          <cell r="E32">
            <v>8.2727272727272734</v>
          </cell>
          <cell r="F32">
            <v>0</v>
          </cell>
          <cell r="G32">
            <v>6</v>
          </cell>
          <cell r="H32">
            <v>88</v>
          </cell>
          <cell r="I32">
            <v>14.666666666666666</v>
          </cell>
          <cell r="J32">
            <v>9</v>
          </cell>
          <cell r="K32">
            <v>2</v>
          </cell>
        </row>
        <row r="33">
          <cell r="A33" t="str">
            <v>산림자원학과</v>
          </cell>
          <cell r="B33">
            <v>231</v>
          </cell>
          <cell r="C33">
            <v>8</v>
          </cell>
          <cell r="D33">
            <v>52</v>
          </cell>
          <cell r="E33">
            <v>6.5</v>
          </cell>
          <cell r="F33">
            <v>0</v>
          </cell>
          <cell r="G33">
            <v>0</v>
          </cell>
          <cell r="H33">
            <v>0</v>
          </cell>
          <cell r="I33" t="e">
            <v>#DIV/0!</v>
          </cell>
          <cell r="J33">
            <v>7</v>
          </cell>
          <cell r="K33">
            <v>3</v>
          </cell>
        </row>
        <row r="34">
          <cell r="A34" t="str">
            <v>목재응용과학과</v>
          </cell>
          <cell r="B34">
            <v>232</v>
          </cell>
          <cell r="C34">
            <v>6</v>
          </cell>
          <cell r="D34">
            <v>35</v>
          </cell>
          <cell r="E34">
            <v>5.833333333333333</v>
          </cell>
          <cell r="F34">
            <v>0</v>
          </cell>
          <cell r="G34">
            <v>0</v>
          </cell>
          <cell r="H34">
            <v>0</v>
          </cell>
          <cell r="I34" t="e">
            <v>#DIV/0!</v>
          </cell>
          <cell r="J34">
            <v>7</v>
          </cell>
          <cell r="K34">
            <v>1</v>
          </cell>
        </row>
        <row r="35">
          <cell r="A35" t="str">
            <v>농생물학과</v>
          </cell>
          <cell r="B35">
            <v>233</v>
          </cell>
          <cell r="C35">
            <v>12</v>
          </cell>
          <cell r="D35">
            <v>37</v>
          </cell>
          <cell r="E35">
            <v>3.0833333333333335</v>
          </cell>
          <cell r="F35">
            <v>0</v>
          </cell>
          <cell r="G35">
            <v>0</v>
          </cell>
          <cell r="H35">
            <v>0</v>
          </cell>
          <cell r="I35" t="e">
            <v>#DIV/0!</v>
          </cell>
          <cell r="J35">
            <v>1</v>
          </cell>
          <cell r="K35">
            <v>1</v>
          </cell>
        </row>
        <row r="36">
          <cell r="A36" t="str">
            <v>작물생명과학과</v>
          </cell>
          <cell r="B36">
            <v>234</v>
          </cell>
          <cell r="C36">
            <v>12</v>
          </cell>
          <cell r="D36">
            <v>34</v>
          </cell>
          <cell r="E36">
            <v>2.8333333333333335</v>
          </cell>
          <cell r="F36">
            <v>0</v>
          </cell>
          <cell r="G36">
            <v>0</v>
          </cell>
          <cell r="H36">
            <v>0</v>
          </cell>
          <cell r="I36" t="e">
            <v>#DIV/0!</v>
          </cell>
          <cell r="J36">
            <v>1</v>
          </cell>
          <cell r="K36">
            <v>1</v>
          </cell>
        </row>
        <row r="37">
          <cell r="A37" t="str">
            <v>원예학과</v>
          </cell>
          <cell r="B37">
            <v>235</v>
          </cell>
          <cell r="C37">
            <v>12</v>
          </cell>
          <cell r="D37">
            <v>41</v>
          </cell>
          <cell r="E37">
            <v>3.4166666666666665</v>
          </cell>
          <cell r="F37">
            <v>0</v>
          </cell>
          <cell r="G37">
            <v>0</v>
          </cell>
          <cell r="H37">
            <v>0</v>
          </cell>
          <cell r="I37" t="e">
            <v>#DIV/0!</v>
          </cell>
          <cell r="J37">
            <v>2</v>
          </cell>
          <cell r="K37">
            <v>2</v>
          </cell>
        </row>
        <row r="38">
          <cell r="A38" t="str">
            <v>지역건설공학과</v>
          </cell>
          <cell r="B38">
            <v>236</v>
          </cell>
          <cell r="C38">
            <v>8</v>
          </cell>
          <cell r="D38">
            <v>34</v>
          </cell>
          <cell r="E38">
            <v>4.25</v>
          </cell>
          <cell r="F38">
            <v>0</v>
          </cell>
          <cell r="G38">
            <v>0</v>
          </cell>
          <cell r="H38">
            <v>0</v>
          </cell>
          <cell r="I38" t="e">
            <v>#DIV/0!</v>
          </cell>
          <cell r="J38">
            <v>5</v>
          </cell>
          <cell r="K38">
            <v>3</v>
          </cell>
        </row>
        <row r="39">
          <cell r="A39" t="str">
            <v>생물산업기계공학과</v>
          </cell>
          <cell r="B39">
            <v>237</v>
          </cell>
          <cell r="C39">
            <v>8</v>
          </cell>
          <cell r="D39">
            <v>29</v>
          </cell>
          <cell r="E39">
            <v>3.625</v>
          </cell>
          <cell r="F39">
            <v>0</v>
          </cell>
          <cell r="G39">
            <v>0</v>
          </cell>
          <cell r="H39">
            <v>0</v>
          </cell>
          <cell r="I39" t="e">
            <v>#DIV/0!</v>
          </cell>
          <cell r="J39">
            <v>3</v>
          </cell>
          <cell r="K39">
            <v>1</v>
          </cell>
        </row>
        <row r="40">
          <cell r="A40" t="str">
            <v>생물환경학과</v>
          </cell>
          <cell r="B40">
            <v>238</v>
          </cell>
          <cell r="C40">
            <v>12</v>
          </cell>
          <cell r="D40">
            <v>74</v>
          </cell>
          <cell r="E40">
            <v>6.166666666666667</v>
          </cell>
          <cell r="F40">
            <v>0</v>
          </cell>
          <cell r="G40">
            <v>0</v>
          </cell>
          <cell r="H40">
            <v>0</v>
          </cell>
          <cell r="I40" t="e">
            <v>#DIV/0!</v>
          </cell>
          <cell r="J40">
            <v>9</v>
          </cell>
          <cell r="K40">
            <v>0</v>
          </cell>
        </row>
        <row r="41">
          <cell r="A41" t="str">
            <v>식품공학과</v>
          </cell>
          <cell r="B41">
            <v>239</v>
          </cell>
          <cell r="C41">
            <v>11</v>
          </cell>
          <cell r="D41">
            <v>80</v>
          </cell>
          <cell r="E41">
            <v>7.2727272727272725</v>
          </cell>
          <cell r="F41">
            <v>0</v>
          </cell>
          <cell r="G41">
            <v>0</v>
          </cell>
          <cell r="H41">
            <v>0</v>
          </cell>
          <cell r="I41" t="e">
            <v>#DIV/0!</v>
          </cell>
          <cell r="J41">
            <v>10</v>
          </cell>
          <cell r="K41">
            <v>5</v>
          </cell>
        </row>
        <row r="42">
          <cell r="A42" t="str">
            <v>동물자원과학부(동물소재공학)</v>
          </cell>
          <cell r="B42">
            <v>240</v>
          </cell>
          <cell r="C42">
            <v>9</v>
          </cell>
          <cell r="D42">
            <v>32</v>
          </cell>
          <cell r="E42">
            <v>3.5555555555555554</v>
          </cell>
          <cell r="F42">
            <v>0</v>
          </cell>
          <cell r="G42">
            <v>0</v>
          </cell>
          <cell r="H42">
            <v>0</v>
          </cell>
          <cell r="I42" t="e">
            <v>#DIV/0!</v>
          </cell>
          <cell r="J42">
            <v>3</v>
          </cell>
          <cell r="K42">
            <v>1</v>
          </cell>
        </row>
        <row r="43">
          <cell r="A43" t="str">
            <v>동물자원과학부(동물생명공학)</v>
          </cell>
          <cell r="B43">
            <v>241</v>
          </cell>
          <cell r="C43">
            <v>10</v>
          </cell>
          <cell r="D43">
            <v>32</v>
          </cell>
          <cell r="E43">
            <v>3.2</v>
          </cell>
          <cell r="F43">
            <v>0</v>
          </cell>
          <cell r="G43">
            <v>0</v>
          </cell>
          <cell r="H43">
            <v>0</v>
          </cell>
          <cell r="I43" t="e">
            <v>#DIV/0!</v>
          </cell>
          <cell r="J43">
            <v>2.5</v>
          </cell>
          <cell r="K43">
            <v>0</v>
          </cell>
        </row>
        <row r="44">
          <cell r="A44" t="str">
            <v>농업생명과학대학</v>
          </cell>
          <cell r="C44">
            <v>129</v>
          </cell>
          <cell r="D44">
            <v>638</v>
          </cell>
          <cell r="E44">
            <v>4.945736434108527</v>
          </cell>
          <cell r="F44">
            <v>0</v>
          </cell>
          <cell r="G44">
            <v>14</v>
          </cell>
          <cell r="H44">
            <v>136</v>
          </cell>
          <cell r="I44">
            <v>9.7142857142857135</v>
          </cell>
          <cell r="J44">
            <v>4.4000000000000004</v>
          </cell>
          <cell r="K44">
            <v>1.55</v>
          </cell>
        </row>
        <row r="45">
          <cell r="A45" t="str">
            <v>국어교육과</v>
          </cell>
          <cell r="B45">
            <v>141</v>
          </cell>
          <cell r="C45">
            <v>8</v>
          </cell>
          <cell r="D45">
            <v>63</v>
          </cell>
          <cell r="E45">
            <v>7.875</v>
          </cell>
          <cell r="F45">
            <v>0</v>
          </cell>
          <cell r="G45">
            <v>8</v>
          </cell>
          <cell r="H45">
            <v>82</v>
          </cell>
          <cell r="I45">
            <v>10.25</v>
          </cell>
          <cell r="J45">
            <v>0</v>
          </cell>
          <cell r="K45">
            <v>0</v>
          </cell>
        </row>
        <row r="46">
          <cell r="A46" t="str">
            <v>독어교육과</v>
          </cell>
          <cell r="B46">
            <v>142</v>
          </cell>
          <cell r="C46">
            <v>3</v>
          </cell>
          <cell r="D46">
            <v>12</v>
          </cell>
          <cell r="E46">
            <v>4</v>
          </cell>
          <cell r="F46">
            <v>0</v>
          </cell>
          <cell r="G46">
            <v>3</v>
          </cell>
          <cell r="H46">
            <v>11</v>
          </cell>
          <cell r="I46">
            <v>3.6666666666666665</v>
          </cell>
          <cell r="J46">
            <v>5</v>
          </cell>
          <cell r="K46">
            <v>0</v>
          </cell>
        </row>
        <row r="47">
          <cell r="A47" t="str">
            <v>영어교육과</v>
          </cell>
          <cell r="B47">
            <v>143</v>
          </cell>
          <cell r="C47">
            <v>8</v>
          </cell>
          <cell r="D47">
            <v>67</v>
          </cell>
          <cell r="E47">
            <v>8.375</v>
          </cell>
          <cell r="F47">
            <v>0</v>
          </cell>
          <cell r="G47">
            <v>6</v>
          </cell>
          <cell r="H47">
            <v>59</v>
          </cell>
          <cell r="I47">
            <v>9.8333333333333339</v>
          </cell>
          <cell r="J47">
            <v>0</v>
          </cell>
          <cell r="K47">
            <v>0</v>
          </cell>
        </row>
        <row r="48">
          <cell r="A48" t="str">
            <v>교육학과</v>
          </cell>
          <cell r="B48">
            <v>144</v>
          </cell>
          <cell r="C48">
            <v>7</v>
          </cell>
          <cell r="D48">
            <v>64</v>
          </cell>
          <cell r="E48">
            <v>9.1428571428571423</v>
          </cell>
          <cell r="F48">
            <v>0</v>
          </cell>
          <cell r="G48">
            <v>5</v>
          </cell>
          <cell r="H48">
            <v>48</v>
          </cell>
          <cell r="I48">
            <v>9.6</v>
          </cell>
          <cell r="J48">
            <v>8</v>
          </cell>
          <cell r="K48">
            <v>0</v>
          </cell>
        </row>
        <row r="49">
          <cell r="A49" t="str">
            <v>윤리교육과</v>
          </cell>
          <cell r="B49">
            <v>145</v>
          </cell>
          <cell r="C49">
            <v>3</v>
          </cell>
          <cell r="D49">
            <v>38</v>
          </cell>
          <cell r="E49">
            <v>12.666666666666666</v>
          </cell>
          <cell r="F49">
            <v>0</v>
          </cell>
          <cell r="G49">
            <v>2</v>
          </cell>
          <cell r="H49">
            <v>14</v>
          </cell>
          <cell r="I49">
            <v>7</v>
          </cell>
          <cell r="J49">
            <v>4</v>
          </cell>
          <cell r="K49">
            <v>0</v>
          </cell>
        </row>
        <row r="50">
          <cell r="A50" t="str">
            <v>사회교육학부</v>
          </cell>
          <cell r="B50">
            <v>146</v>
          </cell>
          <cell r="C50">
            <v>9</v>
          </cell>
          <cell r="D50">
            <v>113</v>
          </cell>
          <cell r="E50">
            <v>12.555555555555555</v>
          </cell>
          <cell r="F50">
            <v>0</v>
          </cell>
          <cell r="G50">
            <v>9</v>
          </cell>
          <cell r="H50">
            <v>81</v>
          </cell>
          <cell r="I50">
            <v>9</v>
          </cell>
          <cell r="J50">
            <v>10</v>
          </cell>
          <cell r="K50">
            <v>0</v>
          </cell>
        </row>
        <row r="51">
          <cell r="A51" t="str">
            <v>지리교육과</v>
          </cell>
          <cell r="B51">
            <v>147</v>
          </cell>
          <cell r="C51">
            <v>4</v>
          </cell>
          <cell r="D51">
            <v>38</v>
          </cell>
          <cell r="E51">
            <v>9.5</v>
          </cell>
          <cell r="F51">
            <v>0</v>
          </cell>
          <cell r="G51">
            <v>0</v>
          </cell>
          <cell r="H51">
            <v>0</v>
          </cell>
          <cell r="I51" t="e">
            <v>#DIV/0!</v>
          </cell>
          <cell r="J51">
            <v>8</v>
          </cell>
          <cell r="K51">
            <v>0</v>
          </cell>
        </row>
        <row r="52">
          <cell r="A52" t="str">
            <v>수학교육과</v>
          </cell>
          <cell r="B52">
            <v>247</v>
          </cell>
          <cell r="C52">
            <v>7</v>
          </cell>
          <cell r="D52">
            <v>89</v>
          </cell>
          <cell r="E52">
            <v>12.714285714285714</v>
          </cell>
          <cell r="F52">
            <v>0</v>
          </cell>
          <cell r="G52">
            <v>7</v>
          </cell>
          <cell r="H52">
            <v>82</v>
          </cell>
          <cell r="I52">
            <v>11.714285714285714</v>
          </cell>
          <cell r="J52">
            <v>7</v>
          </cell>
          <cell r="K52">
            <v>0</v>
          </cell>
        </row>
        <row r="53">
          <cell r="A53" t="str">
            <v>과학교육학부(물리교육)</v>
          </cell>
          <cell r="B53">
            <v>249</v>
          </cell>
          <cell r="C53">
            <v>7</v>
          </cell>
          <cell r="D53">
            <v>27</v>
          </cell>
          <cell r="E53">
            <v>3.8571428571428572</v>
          </cell>
          <cell r="F53">
            <v>0</v>
          </cell>
          <cell r="G53">
            <v>0</v>
          </cell>
          <cell r="H53">
            <v>0</v>
          </cell>
          <cell r="I53" t="e">
            <v>#DIV/0!</v>
          </cell>
          <cell r="J53">
            <v>0</v>
          </cell>
          <cell r="K53">
            <v>0</v>
          </cell>
        </row>
        <row r="54">
          <cell r="A54" t="str">
            <v>과학교육학부(생물교육)</v>
          </cell>
          <cell r="B54">
            <v>250</v>
          </cell>
          <cell r="C54">
            <v>7</v>
          </cell>
          <cell r="D54">
            <v>48</v>
          </cell>
          <cell r="E54">
            <v>6.8571428571428568</v>
          </cell>
          <cell r="F54">
            <v>0</v>
          </cell>
          <cell r="G54">
            <v>0</v>
          </cell>
          <cell r="H54">
            <v>0</v>
          </cell>
          <cell r="I54" t="e">
            <v>#DIV/0!</v>
          </cell>
          <cell r="J54">
            <v>0</v>
          </cell>
          <cell r="K54">
            <v>0</v>
          </cell>
        </row>
        <row r="55">
          <cell r="A55" t="str">
            <v>과학교육학부(지구과학교육)</v>
          </cell>
          <cell r="B55">
            <v>251</v>
          </cell>
          <cell r="C55">
            <v>7</v>
          </cell>
          <cell r="D55">
            <v>32</v>
          </cell>
          <cell r="E55">
            <v>4.5714285714285712</v>
          </cell>
          <cell r="F55">
            <v>0</v>
          </cell>
          <cell r="G55">
            <v>0</v>
          </cell>
          <cell r="H55">
            <v>0</v>
          </cell>
          <cell r="I55" t="e">
            <v>#DIV/0!</v>
          </cell>
          <cell r="J55">
            <v>0</v>
          </cell>
          <cell r="K55">
            <v>0</v>
          </cell>
        </row>
        <row r="56">
          <cell r="A56" t="str">
            <v>과학교육학부(화학교육)</v>
          </cell>
          <cell r="B56">
            <v>252</v>
          </cell>
          <cell r="C56">
            <v>7</v>
          </cell>
          <cell r="D56">
            <v>44</v>
          </cell>
          <cell r="E56">
            <v>6.2857142857142856</v>
          </cell>
          <cell r="F56">
            <v>0</v>
          </cell>
          <cell r="G56">
            <v>0</v>
          </cell>
          <cell r="H56">
            <v>0</v>
          </cell>
          <cell r="I56" t="e">
            <v>#DIV/0!</v>
          </cell>
          <cell r="J56">
            <v>0</v>
          </cell>
          <cell r="K56">
            <v>0</v>
          </cell>
        </row>
        <row r="57">
          <cell r="A57" t="str">
            <v>사범대학</v>
          </cell>
          <cell r="C57">
            <v>77</v>
          </cell>
          <cell r="D57">
            <v>635</v>
          </cell>
          <cell r="E57">
            <v>8.2467532467532472</v>
          </cell>
          <cell r="F57">
            <v>1.2</v>
          </cell>
          <cell r="G57">
            <v>40</v>
          </cell>
          <cell r="H57">
            <v>377</v>
          </cell>
          <cell r="I57">
            <v>9.4250000000000007</v>
          </cell>
          <cell r="J57">
            <v>7.2142857142857144</v>
          </cell>
          <cell r="K57">
            <v>1</v>
          </cell>
        </row>
        <row r="58">
          <cell r="A58" t="str">
            <v>신문방송학과</v>
          </cell>
          <cell r="B58">
            <v>101</v>
          </cell>
          <cell r="C58">
            <v>8</v>
          </cell>
          <cell r="D58">
            <v>74</v>
          </cell>
          <cell r="E58">
            <v>9.25</v>
          </cell>
          <cell r="F58">
            <v>0</v>
          </cell>
          <cell r="G58">
            <v>0</v>
          </cell>
          <cell r="H58">
            <v>0</v>
          </cell>
          <cell r="I58" t="e">
            <v>#DIV/0!</v>
          </cell>
          <cell r="J58">
            <v>7</v>
          </cell>
          <cell r="K58">
            <v>0</v>
          </cell>
        </row>
        <row r="59">
          <cell r="A59" t="str">
            <v>심리학과</v>
          </cell>
          <cell r="B59">
            <v>102</v>
          </cell>
          <cell r="C59">
            <v>7</v>
          </cell>
          <cell r="D59">
            <v>62</v>
          </cell>
          <cell r="E59">
            <v>8.8571428571428577</v>
          </cell>
          <cell r="F59">
            <v>0</v>
          </cell>
          <cell r="G59">
            <v>0</v>
          </cell>
          <cell r="H59">
            <v>0</v>
          </cell>
          <cell r="I59" t="e">
            <v>#DIV/0!</v>
          </cell>
          <cell r="J59">
            <v>6</v>
          </cell>
          <cell r="K59">
            <v>0</v>
          </cell>
        </row>
        <row r="60">
          <cell r="A60" t="str">
            <v>사회학과</v>
          </cell>
          <cell r="B60">
            <v>103</v>
          </cell>
          <cell r="C60">
            <v>12</v>
          </cell>
          <cell r="D60">
            <v>98</v>
          </cell>
          <cell r="E60">
            <v>8.1666666666666661</v>
          </cell>
          <cell r="F60">
            <v>0</v>
          </cell>
          <cell r="G60">
            <v>0</v>
          </cell>
          <cell r="H60">
            <v>0</v>
          </cell>
          <cell r="I60" t="e">
            <v>#DIV/0!</v>
          </cell>
          <cell r="J60">
            <v>5</v>
          </cell>
          <cell r="K60">
            <v>0</v>
          </cell>
        </row>
        <row r="61">
          <cell r="A61" t="str">
            <v>정치외교학과</v>
          </cell>
          <cell r="B61">
            <v>104</v>
          </cell>
          <cell r="C61">
            <v>16</v>
          </cell>
          <cell r="D61">
            <v>135</v>
          </cell>
          <cell r="E61">
            <v>8.4375</v>
          </cell>
          <cell r="F61">
            <v>0</v>
          </cell>
          <cell r="G61">
            <v>0</v>
          </cell>
          <cell r="H61">
            <v>0</v>
          </cell>
          <cell r="I61" t="e">
            <v>#DIV/0!</v>
          </cell>
          <cell r="J61">
            <v>4.666666666666667</v>
          </cell>
          <cell r="K61">
            <v>0</v>
          </cell>
        </row>
        <row r="62">
          <cell r="A62" t="str">
            <v>사회복지학과</v>
          </cell>
          <cell r="B62">
            <v>105</v>
          </cell>
          <cell r="C62">
            <v>7</v>
          </cell>
          <cell r="D62">
            <v>51</v>
          </cell>
          <cell r="E62">
            <v>7.2857142857142856</v>
          </cell>
          <cell r="F62">
            <v>0</v>
          </cell>
          <cell r="G62">
            <v>0</v>
          </cell>
          <cell r="H62">
            <v>0</v>
          </cell>
          <cell r="I62" t="e">
            <v>#DIV/0!</v>
          </cell>
          <cell r="J62">
            <v>9</v>
          </cell>
          <cell r="K62">
            <v>0</v>
          </cell>
        </row>
        <row r="63">
          <cell r="A63" t="str">
            <v>행정학과</v>
          </cell>
          <cell r="B63">
            <v>106</v>
          </cell>
          <cell r="C63">
            <v>13</v>
          </cell>
          <cell r="D63">
            <v>115</v>
          </cell>
          <cell r="E63">
            <v>8.8461538461538467</v>
          </cell>
          <cell r="F63">
            <v>0</v>
          </cell>
          <cell r="G63">
            <v>0</v>
          </cell>
          <cell r="H63">
            <v>0</v>
          </cell>
          <cell r="I63" t="e">
            <v>#DIV/0!</v>
          </cell>
          <cell r="J63">
            <v>8.5</v>
          </cell>
          <cell r="K63">
            <v>0</v>
          </cell>
        </row>
        <row r="64">
          <cell r="A64" t="str">
            <v>사회과학대학</v>
          </cell>
          <cell r="B64">
            <v>63</v>
          </cell>
          <cell r="C64">
            <v>63</v>
          </cell>
          <cell r="D64">
            <v>535</v>
          </cell>
          <cell r="E64">
            <v>8.4920634920634921</v>
          </cell>
          <cell r="F64">
            <v>0</v>
          </cell>
          <cell r="G64">
            <v>0</v>
          </cell>
          <cell r="H64">
            <v>0</v>
          </cell>
          <cell r="I64" t="e">
            <v>#DIV/0!</v>
          </cell>
          <cell r="J64">
            <v>6.8461538461538458</v>
          </cell>
          <cell r="K64">
            <v>0</v>
          </cell>
        </row>
        <row r="65">
          <cell r="A65" t="str">
            <v>경영학부</v>
          </cell>
          <cell r="B65">
            <v>161</v>
          </cell>
          <cell r="C65">
            <v>63</v>
          </cell>
          <cell r="D65">
            <v>351</v>
          </cell>
          <cell r="E65">
            <v>5.5714285714285712</v>
          </cell>
          <cell r="F65">
            <v>0</v>
          </cell>
          <cell r="G65">
            <v>63</v>
          </cell>
          <cell r="H65">
            <v>320</v>
          </cell>
          <cell r="I65">
            <v>5.0793650793650791</v>
          </cell>
          <cell r="J65">
            <v>12</v>
          </cell>
          <cell r="K65">
            <v>8.75</v>
          </cell>
        </row>
        <row r="66">
          <cell r="A66" t="str">
            <v>경제학부</v>
          </cell>
          <cell r="B66">
            <v>162</v>
          </cell>
          <cell r="C66">
            <v>21</v>
          </cell>
          <cell r="D66">
            <v>141</v>
          </cell>
          <cell r="E66">
            <v>6.7142857142857144</v>
          </cell>
          <cell r="F66">
            <v>0</v>
          </cell>
          <cell r="G66">
            <v>21</v>
          </cell>
          <cell r="H66">
            <v>123</v>
          </cell>
          <cell r="I66">
            <v>5.8571428571428568</v>
          </cell>
          <cell r="J66">
            <v>5.2</v>
          </cell>
          <cell r="K66">
            <v>3.4</v>
          </cell>
        </row>
        <row r="67">
          <cell r="A67" t="str">
            <v>무역학과</v>
          </cell>
          <cell r="B67">
            <v>163</v>
          </cell>
          <cell r="C67">
            <v>33</v>
          </cell>
          <cell r="D67">
            <v>222</v>
          </cell>
          <cell r="E67">
            <v>6.7272727272727275</v>
          </cell>
          <cell r="F67">
            <v>0</v>
          </cell>
          <cell r="G67">
            <v>33</v>
          </cell>
          <cell r="H67">
            <v>310</v>
          </cell>
          <cell r="I67">
            <v>9.3939393939393945</v>
          </cell>
          <cell r="J67">
            <v>5.2</v>
          </cell>
          <cell r="K67">
            <v>4</v>
          </cell>
        </row>
        <row r="68">
          <cell r="A68" t="str">
            <v>상과대학</v>
          </cell>
          <cell r="B68">
            <v>117</v>
          </cell>
          <cell r="C68">
            <v>117</v>
          </cell>
          <cell r="D68">
            <v>714</v>
          </cell>
          <cell r="E68">
            <v>6.1025641025641022</v>
          </cell>
          <cell r="F68">
            <v>0</v>
          </cell>
          <cell r="G68">
            <v>117</v>
          </cell>
          <cell r="H68">
            <v>753</v>
          </cell>
          <cell r="I68">
            <v>6.4358974358974361</v>
          </cell>
          <cell r="J68">
            <v>7.1428571428571432</v>
          </cell>
          <cell r="K68">
            <v>5.333333333333333</v>
          </cell>
        </row>
        <row r="69">
          <cell r="A69" t="str">
            <v>주거환경학과</v>
          </cell>
          <cell r="B69">
            <v>272</v>
          </cell>
          <cell r="C69">
            <v>10</v>
          </cell>
          <cell r="D69">
            <v>94</v>
          </cell>
          <cell r="E69">
            <v>9.4</v>
          </cell>
          <cell r="F69">
            <v>0</v>
          </cell>
          <cell r="G69">
            <v>6</v>
          </cell>
          <cell r="H69">
            <v>28</v>
          </cell>
          <cell r="I69">
            <v>4.666666666666667</v>
          </cell>
          <cell r="J69">
            <v>8</v>
          </cell>
          <cell r="K69">
            <v>2</v>
          </cell>
        </row>
        <row r="70">
          <cell r="A70" t="str">
            <v>식품영양학과</v>
          </cell>
          <cell r="B70">
            <v>273</v>
          </cell>
          <cell r="C70">
            <v>11</v>
          </cell>
          <cell r="D70">
            <v>107</v>
          </cell>
          <cell r="E70">
            <v>9.7272727272727266</v>
          </cell>
          <cell r="F70">
            <v>0</v>
          </cell>
          <cell r="G70">
            <v>0</v>
          </cell>
          <cell r="H70">
            <v>0</v>
          </cell>
          <cell r="I70" t="e">
            <v>#DIV/0!</v>
          </cell>
          <cell r="J70">
            <v>6</v>
          </cell>
          <cell r="K70">
            <v>6</v>
          </cell>
        </row>
        <row r="71">
          <cell r="A71" t="str">
            <v>의류학과</v>
          </cell>
          <cell r="B71">
            <v>274</v>
          </cell>
          <cell r="C71">
            <v>11</v>
          </cell>
          <cell r="D71">
            <v>43</v>
          </cell>
          <cell r="E71">
            <v>3.9090909090909092</v>
          </cell>
          <cell r="F71">
            <v>0</v>
          </cell>
          <cell r="G71">
            <v>0</v>
          </cell>
          <cell r="H71">
            <v>0</v>
          </cell>
          <cell r="I71" t="e">
            <v>#DIV/0!</v>
          </cell>
          <cell r="J71">
            <v>3</v>
          </cell>
          <cell r="K71">
            <v>1</v>
          </cell>
        </row>
        <row r="72">
          <cell r="A72" t="str">
            <v>아동학과</v>
          </cell>
          <cell r="B72">
            <v>275</v>
          </cell>
          <cell r="C72">
            <v>7</v>
          </cell>
          <cell r="D72">
            <v>73</v>
          </cell>
          <cell r="E72">
            <v>10.428571428571429</v>
          </cell>
          <cell r="F72">
            <v>0</v>
          </cell>
          <cell r="G72">
            <v>0</v>
          </cell>
          <cell r="H72">
            <v>0</v>
          </cell>
          <cell r="I72" t="e">
            <v>#DIV/0!</v>
          </cell>
          <cell r="J72">
            <v>0</v>
          </cell>
          <cell r="K72">
            <v>0</v>
          </cell>
        </row>
        <row r="73">
          <cell r="A73" t="str">
            <v>생활과학대학</v>
          </cell>
          <cell r="C73">
            <v>39</v>
          </cell>
          <cell r="D73">
            <v>317</v>
          </cell>
          <cell r="E73">
            <v>8.1282051282051277</v>
          </cell>
          <cell r="F73">
            <v>0</v>
          </cell>
          <cell r="G73">
            <v>6</v>
          </cell>
          <cell r="H73">
            <v>28</v>
          </cell>
          <cell r="I73">
            <v>4.666666666666667</v>
          </cell>
          <cell r="J73">
            <v>5.666666666666667</v>
          </cell>
          <cell r="K73">
            <v>2.2000000000000002</v>
          </cell>
        </row>
        <row r="74">
          <cell r="A74" t="str">
            <v>산업디자인과(디지털생활기기디자인)</v>
          </cell>
          <cell r="B74">
            <v>331</v>
          </cell>
          <cell r="C74">
            <v>7</v>
          </cell>
          <cell r="D74">
            <v>48</v>
          </cell>
          <cell r="E74">
            <v>6.8571428571428568</v>
          </cell>
          <cell r="F74">
            <v>0</v>
          </cell>
          <cell r="G74">
            <v>5</v>
          </cell>
          <cell r="H74">
            <v>34</v>
          </cell>
          <cell r="I74">
            <v>6.8</v>
          </cell>
          <cell r="J74">
            <v>0</v>
          </cell>
          <cell r="K74">
            <v>0</v>
          </cell>
        </row>
        <row r="75">
          <cell r="A75" t="str">
            <v>산업디자인과(디지털커뮤니케이션디자인)</v>
          </cell>
          <cell r="B75">
            <v>332</v>
          </cell>
          <cell r="C75">
            <v>7</v>
          </cell>
          <cell r="D75">
            <v>37</v>
          </cell>
          <cell r="E75">
            <v>5.2857142857142856</v>
          </cell>
          <cell r="F75">
            <v>0</v>
          </cell>
          <cell r="G75">
            <v>5</v>
          </cell>
          <cell r="H75">
            <v>34</v>
          </cell>
          <cell r="I75">
            <v>6.8</v>
          </cell>
          <cell r="J75">
            <v>0</v>
          </cell>
          <cell r="K75">
            <v>0</v>
          </cell>
        </row>
        <row r="76">
          <cell r="A76" t="str">
            <v>산업디자인과(디지털미디어디자인)</v>
          </cell>
          <cell r="B76">
            <v>333</v>
          </cell>
          <cell r="C76">
            <v>3</v>
          </cell>
          <cell r="D76">
            <v>13</v>
          </cell>
          <cell r="E76">
            <v>4.333333333333333</v>
          </cell>
          <cell r="F76">
            <v>0</v>
          </cell>
          <cell r="G76">
            <v>2</v>
          </cell>
          <cell r="H76">
            <v>10</v>
          </cell>
          <cell r="I76">
            <v>5</v>
          </cell>
          <cell r="J76">
            <v>0</v>
          </cell>
          <cell r="K76">
            <v>0</v>
          </cell>
        </row>
        <row r="77">
          <cell r="A77" t="str">
            <v>한국음악학과(관악.현악.타악)</v>
          </cell>
          <cell r="F77">
            <v>2.5</v>
          </cell>
          <cell r="J77">
            <v>0</v>
          </cell>
          <cell r="K77">
            <v>0</v>
          </cell>
        </row>
        <row r="78">
          <cell r="A78" t="str">
            <v>한국음악학과(성악)</v>
          </cell>
          <cell r="F78">
            <v>4.25</v>
          </cell>
          <cell r="J78">
            <v>0</v>
          </cell>
          <cell r="K78">
            <v>0</v>
          </cell>
        </row>
        <row r="79">
          <cell r="A79" t="str">
            <v>미술학과(한국화)</v>
          </cell>
          <cell r="F79">
            <v>1.4</v>
          </cell>
          <cell r="J79">
            <v>0</v>
          </cell>
          <cell r="K79">
            <v>0</v>
          </cell>
        </row>
        <row r="80">
          <cell r="A80" t="str">
            <v>미술학과(서양화)</v>
          </cell>
          <cell r="F80">
            <v>2.6</v>
          </cell>
          <cell r="J80">
            <v>0</v>
          </cell>
          <cell r="K80">
            <v>0</v>
          </cell>
        </row>
        <row r="81">
          <cell r="A81" t="str">
            <v>미술학과(조소)</v>
          </cell>
          <cell r="F81">
            <v>0.5</v>
          </cell>
          <cell r="J81">
            <v>0</v>
          </cell>
          <cell r="K81">
            <v>0</v>
          </cell>
        </row>
        <row r="82">
          <cell r="A82" t="str">
            <v>미술학과(가구조형디자인)</v>
          </cell>
          <cell r="F82">
            <v>2.8</v>
          </cell>
          <cell r="J82">
            <v>0</v>
          </cell>
          <cell r="K82">
            <v>0</v>
          </cell>
        </row>
        <row r="83">
          <cell r="A83" t="str">
            <v>무용학과</v>
          </cell>
          <cell r="F83">
            <v>1.5</v>
          </cell>
          <cell r="J83">
            <v>0</v>
          </cell>
          <cell r="K83">
            <v>0</v>
          </cell>
        </row>
        <row r="84">
          <cell r="A84" t="str">
            <v>예술대학</v>
          </cell>
          <cell r="C84">
            <v>17</v>
          </cell>
          <cell r="D84">
            <v>98</v>
          </cell>
          <cell r="E84">
            <v>5.7647058823529411</v>
          </cell>
          <cell r="F84">
            <v>2.1333333333333333</v>
          </cell>
          <cell r="G84">
            <v>12</v>
          </cell>
          <cell r="H84">
            <v>78</v>
          </cell>
          <cell r="I84">
            <v>6.5</v>
          </cell>
          <cell r="J84">
            <v>0</v>
          </cell>
          <cell r="K84">
            <v>0</v>
          </cell>
        </row>
        <row r="85">
          <cell r="A85" t="str">
            <v>국어국문학과</v>
          </cell>
          <cell r="B85">
            <v>181</v>
          </cell>
          <cell r="C85">
            <v>17</v>
          </cell>
          <cell r="D85">
            <v>133</v>
          </cell>
          <cell r="E85">
            <v>7.8235294117647056</v>
          </cell>
          <cell r="F85">
            <v>2.6666666666666665</v>
          </cell>
          <cell r="G85">
            <v>12</v>
          </cell>
          <cell r="H85">
            <v>51</v>
          </cell>
          <cell r="I85">
            <v>4.25</v>
          </cell>
          <cell r="J85">
            <v>7</v>
          </cell>
          <cell r="K85">
            <v>0</v>
          </cell>
        </row>
        <row r="86">
          <cell r="A86" t="str">
            <v>독어독문학과</v>
          </cell>
          <cell r="B86">
            <v>182</v>
          </cell>
          <cell r="C86">
            <v>19</v>
          </cell>
          <cell r="D86">
            <v>79</v>
          </cell>
          <cell r="E86">
            <v>4.1578947368421053</v>
          </cell>
          <cell r="F86">
            <v>0</v>
          </cell>
          <cell r="G86">
            <v>14</v>
          </cell>
          <cell r="H86">
            <v>62</v>
          </cell>
          <cell r="I86">
            <v>4.4285714285714288</v>
          </cell>
          <cell r="J86">
            <v>5</v>
          </cell>
          <cell r="K86">
            <v>0</v>
          </cell>
        </row>
        <row r="87">
          <cell r="A87" t="str">
            <v>불어불문학과</v>
          </cell>
          <cell r="B87">
            <v>183</v>
          </cell>
          <cell r="C87">
            <v>16</v>
          </cell>
          <cell r="D87">
            <v>73</v>
          </cell>
          <cell r="E87">
            <v>4.5625</v>
          </cell>
          <cell r="F87">
            <v>0</v>
          </cell>
          <cell r="G87">
            <v>15</v>
          </cell>
          <cell r="H87">
            <v>66</v>
          </cell>
          <cell r="I87">
            <v>4.4000000000000004</v>
          </cell>
          <cell r="J87">
            <v>4</v>
          </cell>
          <cell r="K87">
            <v>0</v>
          </cell>
        </row>
        <row r="88">
          <cell r="A88" t="str">
            <v>스페인.중남미어문학과</v>
          </cell>
          <cell r="B88">
            <v>184</v>
          </cell>
          <cell r="C88">
            <v>11</v>
          </cell>
          <cell r="D88">
            <v>59</v>
          </cell>
          <cell r="E88">
            <v>5.3636363636363633</v>
          </cell>
          <cell r="F88">
            <v>0</v>
          </cell>
          <cell r="G88">
            <v>11</v>
          </cell>
          <cell r="H88">
            <v>57</v>
          </cell>
          <cell r="I88">
            <v>5.1818181818181817</v>
          </cell>
          <cell r="J88">
            <v>4.333333333333333</v>
          </cell>
          <cell r="K88">
            <v>0</v>
          </cell>
        </row>
        <row r="89">
          <cell r="A89" t="str">
            <v>영어영문학과</v>
          </cell>
          <cell r="B89">
            <v>185</v>
          </cell>
          <cell r="C89">
            <v>22</v>
          </cell>
          <cell r="D89">
            <v>128</v>
          </cell>
          <cell r="E89">
            <v>5.8181818181818183</v>
          </cell>
          <cell r="F89">
            <v>0</v>
          </cell>
          <cell r="G89">
            <v>19</v>
          </cell>
          <cell r="H89">
            <v>106</v>
          </cell>
          <cell r="I89">
            <v>5.5789473684210522</v>
          </cell>
          <cell r="J89">
            <v>5</v>
          </cell>
          <cell r="K89">
            <v>0</v>
          </cell>
        </row>
        <row r="90">
          <cell r="A90" t="str">
            <v>일어일문학과</v>
          </cell>
          <cell r="B90">
            <v>186</v>
          </cell>
          <cell r="C90">
            <v>11</v>
          </cell>
          <cell r="D90">
            <v>108</v>
          </cell>
          <cell r="E90">
            <v>9.8181818181818183</v>
          </cell>
          <cell r="F90">
            <v>0</v>
          </cell>
          <cell r="G90">
            <v>10</v>
          </cell>
          <cell r="H90">
            <v>53</v>
          </cell>
          <cell r="I90">
            <v>5.3</v>
          </cell>
          <cell r="J90">
            <v>7</v>
          </cell>
          <cell r="K90">
            <v>0</v>
          </cell>
        </row>
        <row r="91">
          <cell r="A91" t="str">
            <v>중어중문학과</v>
          </cell>
          <cell r="B91">
            <v>187</v>
          </cell>
          <cell r="C91">
            <v>17</v>
          </cell>
          <cell r="D91">
            <v>89</v>
          </cell>
          <cell r="E91">
            <v>5.2352941176470589</v>
          </cell>
          <cell r="F91">
            <v>0</v>
          </cell>
          <cell r="G91">
            <v>14</v>
          </cell>
          <cell r="H91">
            <v>85</v>
          </cell>
          <cell r="I91">
            <v>6.0714285714285712</v>
          </cell>
          <cell r="J91">
            <v>5</v>
          </cell>
          <cell r="K91">
            <v>0</v>
          </cell>
        </row>
        <row r="92">
          <cell r="A92" t="str">
            <v>문헌정보학과</v>
          </cell>
          <cell r="B92">
            <v>192</v>
          </cell>
          <cell r="C92">
            <v>16</v>
          </cell>
          <cell r="D92">
            <v>131</v>
          </cell>
          <cell r="E92">
            <v>8.1875</v>
          </cell>
          <cell r="F92">
            <v>0</v>
          </cell>
          <cell r="G92">
            <v>12</v>
          </cell>
          <cell r="H92">
            <v>94</v>
          </cell>
          <cell r="I92">
            <v>7.833333333333333</v>
          </cell>
          <cell r="J92">
            <v>8.5</v>
          </cell>
          <cell r="K92">
            <v>2</v>
          </cell>
        </row>
        <row r="93">
          <cell r="A93" t="str">
            <v>고고문화인류학과</v>
          </cell>
          <cell r="B93">
            <v>193</v>
          </cell>
          <cell r="C93">
            <v>13</v>
          </cell>
          <cell r="D93">
            <v>58</v>
          </cell>
          <cell r="E93">
            <v>4.4615384615384617</v>
          </cell>
          <cell r="F93">
            <v>0</v>
          </cell>
          <cell r="G93">
            <v>0</v>
          </cell>
          <cell r="H93">
            <v>0</v>
          </cell>
          <cell r="I93" t="e">
            <v>#DIV/0!</v>
          </cell>
          <cell r="J93">
            <v>5</v>
          </cell>
          <cell r="K93">
            <v>0</v>
          </cell>
        </row>
        <row r="94">
          <cell r="A94" t="str">
            <v>사학과</v>
          </cell>
          <cell r="B94">
            <v>194</v>
          </cell>
          <cell r="C94">
            <v>22</v>
          </cell>
          <cell r="D94">
            <v>110</v>
          </cell>
          <cell r="E94">
            <v>5</v>
          </cell>
          <cell r="F94">
            <v>0</v>
          </cell>
          <cell r="G94">
            <v>0</v>
          </cell>
          <cell r="H94">
            <v>0</v>
          </cell>
          <cell r="I94" t="e">
            <v>#DIV/0!</v>
          </cell>
          <cell r="J94">
            <v>5</v>
          </cell>
          <cell r="K94">
            <v>0</v>
          </cell>
        </row>
        <row r="95">
          <cell r="A95" t="str">
            <v>철학과</v>
          </cell>
          <cell r="B95">
            <v>195</v>
          </cell>
          <cell r="C95">
            <v>17</v>
          </cell>
          <cell r="D95">
            <v>73</v>
          </cell>
          <cell r="E95">
            <v>4.2941176470588234</v>
          </cell>
          <cell r="F95">
            <v>0</v>
          </cell>
          <cell r="G95">
            <v>0</v>
          </cell>
          <cell r="H95">
            <v>0</v>
          </cell>
          <cell r="I95" t="e">
            <v>#DIV/0!</v>
          </cell>
          <cell r="J95">
            <v>3.5</v>
          </cell>
          <cell r="K95">
            <v>0</v>
          </cell>
        </row>
        <row r="96">
          <cell r="A96" t="str">
            <v>인문대학</v>
          </cell>
          <cell r="C96">
            <v>181</v>
          </cell>
          <cell r="D96">
            <v>1041</v>
          </cell>
          <cell r="E96">
            <v>5.7513812154696131</v>
          </cell>
          <cell r="F96">
            <v>2.6666666666666665</v>
          </cell>
          <cell r="G96">
            <v>107</v>
          </cell>
          <cell r="H96">
            <v>574</v>
          </cell>
          <cell r="I96">
            <v>5.3644859813084116</v>
          </cell>
          <cell r="J96">
            <v>5.16</v>
          </cell>
          <cell r="K96">
            <v>2</v>
          </cell>
        </row>
        <row r="97">
          <cell r="A97" t="str">
            <v>생물과학부</v>
          </cell>
          <cell r="B97">
            <v>294</v>
          </cell>
          <cell r="C97">
            <v>34</v>
          </cell>
          <cell r="D97">
            <v>111</v>
          </cell>
          <cell r="E97">
            <v>3.2647058823529411</v>
          </cell>
          <cell r="F97">
            <v>0</v>
          </cell>
          <cell r="G97">
            <v>26</v>
          </cell>
          <cell r="H97">
            <v>94</v>
          </cell>
          <cell r="I97">
            <v>3.6153846153846154</v>
          </cell>
          <cell r="J97">
            <v>2.6666666666666665</v>
          </cell>
          <cell r="K97">
            <v>0</v>
          </cell>
        </row>
        <row r="98">
          <cell r="A98" t="str">
            <v>과학학과</v>
          </cell>
          <cell r="B98">
            <v>296</v>
          </cell>
          <cell r="C98">
            <v>9</v>
          </cell>
          <cell r="D98">
            <v>31</v>
          </cell>
          <cell r="E98">
            <v>3.4444444444444446</v>
          </cell>
          <cell r="F98">
            <v>0</v>
          </cell>
          <cell r="G98">
            <v>9</v>
          </cell>
          <cell r="H98">
            <v>23</v>
          </cell>
          <cell r="I98">
            <v>2.5555555555555554</v>
          </cell>
          <cell r="J98">
            <v>4</v>
          </cell>
          <cell r="K98">
            <v>1</v>
          </cell>
        </row>
        <row r="99">
          <cell r="A99" t="str">
            <v>반도체과학기술학과</v>
          </cell>
          <cell r="B99">
            <v>297</v>
          </cell>
          <cell r="C99">
            <v>9</v>
          </cell>
          <cell r="D99">
            <v>18</v>
          </cell>
          <cell r="E99">
            <v>2</v>
          </cell>
          <cell r="F99">
            <v>0</v>
          </cell>
          <cell r="G99">
            <v>9</v>
          </cell>
          <cell r="H99">
            <v>18</v>
          </cell>
          <cell r="I99">
            <v>2</v>
          </cell>
          <cell r="J99">
            <v>1</v>
          </cell>
          <cell r="K99">
            <v>0</v>
          </cell>
        </row>
        <row r="100">
          <cell r="A100" t="str">
            <v>수의예과</v>
          </cell>
          <cell r="B100">
            <v>298</v>
          </cell>
          <cell r="C100">
            <v>20</v>
          </cell>
          <cell r="D100">
            <v>130</v>
          </cell>
          <cell r="E100">
            <v>6.5</v>
          </cell>
          <cell r="F100">
            <v>0</v>
          </cell>
          <cell r="G100">
            <v>20</v>
          </cell>
          <cell r="H100">
            <v>151</v>
          </cell>
          <cell r="I100">
            <v>7.55</v>
          </cell>
          <cell r="J100">
            <v>0</v>
          </cell>
          <cell r="K100">
            <v>0</v>
          </cell>
        </row>
        <row r="101">
          <cell r="A101" t="str">
            <v>물리학과</v>
          </cell>
          <cell r="B101">
            <v>381</v>
          </cell>
          <cell r="C101">
            <v>12</v>
          </cell>
          <cell r="D101">
            <v>14</v>
          </cell>
          <cell r="E101">
            <v>1.1666666666666667</v>
          </cell>
          <cell r="F101">
            <v>0</v>
          </cell>
          <cell r="G101">
            <v>0</v>
          </cell>
          <cell r="H101">
            <v>0</v>
          </cell>
          <cell r="I101" t="e">
            <v>#DIV/0!</v>
          </cell>
          <cell r="J101">
            <v>2</v>
          </cell>
          <cell r="K101">
            <v>0</v>
          </cell>
        </row>
        <row r="102">
          <cell r="A102" t="str">
            <v>지구환경과학과</v>
          </cell>
          <cell r="B102">
            <v>382</v>
          </cell>
          <cell r="C102">
            <v>10</v>
          </cell>
          <cell r="D102">
            <v>31</v>
          </cell>
          <cell r="E102">
            <v>3.1</v>
          </cell>
          <cell r="F102">
            <v>0</v>
          </cell>
          <cell r="G102">
            <v>0</v>
          </cell>
          <cell r="H102">
            <v>0</v>
          </cell>
          <cell r="I102" t="e">
            <v>#DIV/0!</v>
          </cell>
          <cell r="J102">
            <v>3</v>
          </cell>
          <cell r="K102">
            <v>0</v>
          </cell>
        </row>
        <row r="103">
          <cell r="A103" t="str">
            <v>화학과</v>
          </cell>
          <cell r="B103">
            <v>383</v>
          </cell>
          <cell r="C103">
            <v>20</v>
          </cell>
          <cell r="D103">
            <v>68</v>
          </cell>
          <cell r="E103">
            <v>3.4</v>
          </cell>
          <cell r="F103">
            <v>0</v>
          </cell>
          <cell r="G103">
            <v>0</v>
          </cell>
          <cell r="H103">
            <v>0</v>
          </cell>
          <cell r="I103" t="e">
            <v>#DIV/0!</v>
          </cell>
          <cell r="J103">
            <v>3</v>
          </cell>
          <cell r="K103">
            <v>0</v>
          </cell>
        </row>
        <row r="104">
          <cell r="A104" t="str">
            <v>수학과</v>
          </cell>
          <cell r="B104">
            <v>384</v>
          </cell>
          <cell r="C104">
            <v>10</v>
          </cell>
          <cell r="D104">
            <v>67</v>
          </cell>
          <cell r="E104">
            <v>6.7</v>
          </cell>
          <cell r="F104">
            <v>0</v>
          </cell>
          <cell r="G104">
            <v>0</v>
          </cell>
          <cell r="H104">
            <v>0</v>
          </cell>
          <cell r="I104" t="e">
            <v>#DIV/0!</v>
          </cell>
          <cell r="J104">
            <v>6</v>
          </cell>
          <cell r="K104">
            <v>0</v>
          </cell>
        </row>
        <row r="105">
          <cell r="A105" t="str">
            <v>통계정보과학과</v>
          </cell>
          <cell r="B105">
            <v>385</v>
          </cell>
          <cell r="C105">
            <v>9</v>
          </cell>
          <cell r="D105">
            <v>34</v>
          </cell>
          <cell r="E105">
            <v>3.7777777777777777</v>
          </cell>
          <cell r="F105">
            <v>0</v>
          </cell>
          <cell r="G105">
            <v>0</v>
          </cell>
          <cell r="H105">
            <v>0</v>
          </cell>
          <cell r="I105" t="e">
            <v>#DIV/0!</v>
          </cell>
          <cell r="J105">
            <v>1</v>
          </cell>
          <cell r="K105">
            <v>0</v>
          </cell>
        </row>
        <row r="106">
          <cell r="A106" t="str">
            <v>자연과학대학</v>
          </cell>
          <cell r="B106">
            <v>133</v>
          </cell>
          <cell r="C106">
            <v>133</v>
          </cell>
          <cell r="D106">
            <v>504</v>
          </cell>
          <cell r="E106">
            <v>3.7894736842105261</v>
          </cell>
          <cell r="F106">
            <v>0.42857142857142855</v>
          </cell>
          <cell r="G106">
            <v>64</v>
          </cell>
          <cell r="H106">
            <v>286</v>
          </cell>
          <cell r="I106">
            <v>4.46875</v>
          </cell>
          <cell r="J106">
            <v>2.9333333333333331</v>
          </cell>
          <cell r="K106">
            <v>0.25</v>
          </cell>
        </row>
        <row r="107">
          <cell r="A107" t="str">
            <v>생명공학부</v>
          </cell>
          <cell r="B107">
            <v>451</v>
          </cell>
          <cell r="C107">
            <v>27</v>
          </cell>
          <cell r="D107">
            <v>37</v>
          </cell>
          <cell r="E107">
            <v>1.3703703703703705</v>
          </cell>
          <cell r="F107">
            <v>0</v>
          </cell>
          <cell r="G107">
            <v>26</v>
          </cell>
          <cell r="H107">
            <v>29</v>
          </cell>
          <cell r="I107">
            <v>1.1153846153846154</v>
          </cell>
          <cell r="J107">
            <v>1.5</v>
          </cell>
          <cell r="K107">
            <v>0</v>
          </cell>
        </row>
        <row r="108">
          <cell r="A108" t="str">
            <v>생명자원유통경제학과</v>
          </cell>
          <cell r="B108">
            <v>456</v>
          </cell>
          <cell r="C108">
            <v>6</v>
          </cell>
          <cell r="D108">
            <v>42</v>
          </cell>
          <cell r="E108">
            <v>7</v>
          </cell>
          <cell r="F108">
            <v>0</v>
          </cell>
          <cell r="G108">
            <v>7</v>
          </cell>
          <cell r="H108">
            <v>21</v>
          </cell>
          <cell r="I108">
            <v>3</v>
          </cell>
          <cell r="J108">
            <v>3</v>
          </cell>
          <cell r="K108">
            <v>0</v>
          </cell>
        </row>
        <row r="109">
          <cell r="A109" t="str">
            <v>바이오식품공학과</v>
          </cell>
          <cell r="B109">
            <v>457</v>
          </cell>
          <cell r="C109">
            <v>14</v>
          </cell>
          <cell r="D109">
            <v>30</v>
          </cell>
          <cell r="E109">
            <v>2.1428571428571428</v>
          </cell>
          <cell r="F109">
            <v>0</v>
          </cell>
          <cell r="G109">
            <v>0</v>
          </cell>
          <cell r="H109">
            <v>0</v>
          </cell>
          <cell r="I109" t="e">
            <v>#DIV/0!</v>
          </cell>
          <cell r="J109">
            <v>1</v>
          </cell>
          <cell r="K109">
            <v>0</v>
          </cell>
        </row>
        <row r="110">
          <cell r="A110" t="str">
            <v>한약자원학과</v>
          </cell>
          <cell r="B110">
            <v>458</v>
          </cell>
          <cell r="C110">
            <v>10</v>
          </cell>
          <cell r="D110">
            <v>48</v>
          </cell>
          <cell r="E110">
            <v>4.8</v>
          </cell>
          <cell r="F110">
            <v>0</v>
          </cell>
          <cell r="G110">
            <v>0</v>
          </cell>
          <cell r="H110">
            <v>0</v>
          </cell>
          <cell r="I110" t="e">
            <v>#DIV/0!</v>
          </cell>
          <cell r="J110">
            <v>3</v>
          </cell>
          <cell r="K110">
            <v>0</v>
          </cell>
        </row>
        <row r="111">
          <cell r="A111" t="str">
            <v>환경조경디자인학과</v>
          </cell>
          <cell r="B111">
            <v>459</v>
          </cell>
          <cell r="C111">
            <v>12</v>
          </cell>
          <cell r="D111">
            <v>58</v>
          </cell>
          <cell r="E111">
            <v>4.833333333333333</v>
          </cell>
          <cell r="F111">
            <v>0</v>
          </cell>
          <cell r="G111">
            <v>0</v>
          </cell>
          <cell r="H111">
            <v>0</v>
          </cell>
          <cell r="I111" t="e">
            <v>#DIV/0!</v>
          </cell>
          <cell r="J111">
            <v>3.5</v>
          </cell>
          <cell r="K111">
            <v>0</v>
          </cell>
        </row>
        <row r="112">
          <cell r="A112" t="str">
            <v>환경생명자원대학</v>
          </cell>
          <cell r="C112">
            <v>69</v>
          </cell>
          <cell r="D112">
            <v>215</v>
          </cell>
          <cell r="E112">
            <v>3.1159420289855073</v>
          </cell>
          <cell r="F112">
            <v>0</v>
          </cell>
          <cell r="G112">
            <v>33</v>
          </cell>
          <cell r="H112">
            <v>50</v>
          </cell>
          <cell r="I112">
            <v>1.5151515151515151</v>
          </cell>
          <cell r="J112">
            <v>2.5555555555555554</v>
          </cell>
          <cell r="K112">
            <v>0</v>
          </cell>
        </row>
        <row r="113">
          <cell r="A113" t="str">
            <v>합계</v>
          </cell>
          <cell r="C113">
            <v>1416</v>
          </cell>
          <cell r="D113">
            <v>6829</v>
          </cell>
          <cell r="E113">
            <v>4.8227401129943503</v>
          </cell>
          <cell r="F113">
            <v>1.625</v>
          </cell>
          <cell r="G113">
            <v>1184</v>
          </cell>
          <cell r="H113">
            <v>5939</v>
          </cell>
          <cell r="I113">
            <v>5.0160472972972974</v>
          </cell>
          <cell r="J113">
            <v>4.9342105263157894</v>
          </cell>
          <cell r="K113">
            <v>2.2307692307692308</v>
          </cell>
        </row>
      </sheetData>
      <sheetData sheetId="4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모집단위</v>
          </cell>
          <cell r="B3" t="str">
            <v xml:space="preserve"> 가군 </v>
          </cell>
          <cell r="E3" t="str">
            <v xml:space="preserve"> 나군 </v>
          </cell>
          <cell r="N3" t="str">
            <v xml:space="preserve"> 합   계 </v>
          </cell>
        </row>
        <row r="4">
          <cell r="B4" t="str">
            <v xml:space="preserve"> 일반전형 </v>
          </cell>
          <cell r="E4" t="str">
            <v xml:space="preserve"> 일반전형 </v>
          </cell>
          <cell r="H4" t="str">
            <v xml:space="preserve"> 전문계고 특별전형 </v>
          </cell>
          <cell r="K4" t="str">
            <v xml:space="preserve"> 농어촌학생 특별전형 </v>
          </cell>
        </row>
        <row r="5">
          <cell r="B5" t="str">
            <v xml:space="preserve"> 모집 </v>
          </cell>
          <cell r="C5" t="str">
            <v xml:space="preserve"> 지원 </v>
          </cell>
          <cell r="D5" t="str">
            <v>경쟁률</v>
          </cell>
          <cell r="E5" t="str">
            <v xml:space="preserve"> 모집 </v>
          </cell>
          <cell r="F5" t="str">
            <v xml:space="preserve"> 지원 </v>
          </cell>
          <cell r="G5" t="str">
            <v>경쟁률</v>
          </cell>
          <cell r="H5" t="str">
            <v xml:space="preserve"> 모집 </v>
          </cell>
          <cell r="I5" t="str">
            <v xml:space="preserve"> 지원 </v>
          </cell>
          <cell r="J5" t="str">
            <v>경쟁률</v>
          </cell>
          <cell r="K5" t="str">
            <v xml:space="preserve"> 모집 </v>
          </cell>
          <cell r="L5" t="str">
            <v xml:space="preserve"> 지원 </v>
          </cell>
          <cell r="M5" t="str">
            <v>경쟁률</v>
          </cell>
          <cell r="N5" t="str">
            <v xml:space="preserve"> 모집 </v>
          </cell>
          <cell r="O5" t="str">
            <v xml:space="preserve"> 지원 </v>
          </cell>
          <cell r="P5" t="str">
            <v>경쟁률</v>
          </cell>
        </row>
        <row r="6">
          <cell r="A6" t="str">
            <v>자율전공학부</v>
          </cell>
          <cell r="B6">
            <v>50</v>
          </cell>
          <cell r="C6">
            <v>156</v>
          </cell>
          <cell r="D6">
            <v>3.12</v>
          </cell>
          <cell r="G6">
            <v>0</v>
          </cell>
          <cell r="J6">
            <v>0</v>
          </cell>
          <cell r="M6">
            <v>0</v>
          </cell>
          <cell r="N6">
            <v>50</v>
          </cell>
          <cell r="O6">
            <v>156</v>
          </cell>
          <cell r="P6">
            <v>3.12</v>
          </cell>
        </row>
        <row r="7">
          <cell r="A7" t="str">
            <v>소계</v>
          </cell>
          <cell r="B7">
            <v>50</v>
          </cell>
          <cell r="C7">
            <v>156</v>
          </cell>
          <cell r="D7">
            <v>3.12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50</v>
          </cell>
          <cell r="O7">
            <v>156</v>
          </cell>
          <cell r="P7">
            <v>3.12</v>
          </cell>
        </row>
        <row r="8">
          <cell r="A8" t="str">
            <v>간호학과</v>
          </cell>
          <cell r="B8">
            <v>26</v>
          </cell>
          <cell r="C8">
            <v>110</v>
          </cell>
          <cell r="D8">
            <v>4.2307692307692308</v>
          </cell>
          <cell r="E8">
            <v>26</v>
          </cell>
          <cell r="F8">
            <v>100</v>
          </cell>
          <cell r="G8">
            <v>3.8461538461538463</v>
          </cell>
          <cell r="J8">
            <v>0</v>
          </cell>
          <cell r="M8">
            <v>0</v>
          </cell>
          <cell r="N8">
            <v>52</v>
          </cell>
          <cell r="O8">
            <v>210</v>
          </cell>
          <cell r="P8">
            <v>4.0384615384615383</v>
          </cell>
        </row>
        <row r="9">
          <cell r="A9" t="str">
            <v>간호대학소계</v>
          </cell>
          <cell r="B9">
            <v>26</v>
          </cell>
          <cell r="C9">
            <v>110</v>
          </cell>
          <cell r="D9">
            <v>4.2307692307692308</v>
          </cell>
          <cell r="E9">
            <v>26</v>
          </cell>
          <cell r="F9">
            <v>100</v>
          </cell>
          <cell r="G9">
            <v>3.8461538461538463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52</v>
          </cell>
          <cell r="O9">
            <v>210</v>
          </cell>
          <cell r="P9">
            <v>4.0384615384615383</v>
          </cell>
        </row>
        <row r="10">
          <cell r="A10" t="str">
            <v>바이오메디컬공학부</v>
          </cell>
          <cell r="B10">
            <v>18</v>
          </cell>
          <cell r="C10">
            <v>51</v>
          </cell>
          <cell r="D10">
            <v>2.8333333333333335</v>
          </cell>
          <cell r="E10">
            <v>17</v>
          </cell>
          <cell r="F10">
            <v>56</v>
          </cell>
          <cell r="G10">
            <v>3.2941176470588234</v>
          </cell>
          <cell r="H10">
            <v>4</v>
          </cell>
          <cell r="I10">
            <v>5</v>
          </cell>
          <cell r="J10">
            <v>1.25</v>
          </cell>
          <cell r="K10">
            <v>2</v>
          </cell>
          <cell r="L10">
            <v>6</v>
          </cell>
          <cell r="M10">
            <v>3</v>
          </cell>
          <cell r="N10">
            <v>41</v>
          </cell>
          <cell r="O10">
            <v>118</v>
          </cell>
          <cell r="P10">
            <v>2.8780487804878048</v>
          </cell>
        </row>
        <row r="11">
          <cell r="A11" t="str">
            <v>산업정보시스템공학과</v>
          </cell>
          <cell r="B11">
            <v>18</v>
          </cell>
          <cell r="C11">
            <v>95</v>
          </cell>
          <cell r="D11">
            <v>5.2777777777777777</v>
          </cell>
          <cell r="E11">
            <v>18</v>
          </cell>
          <cell r="F11">
            <v>101</v>
          </cell>
          <cell r="G11">
            <v>5.6111111111111107</v>
          </cell>
          <cell r="J11">
            <v>0</v>
          </cell>
          <cell r="K11">
            <v>1</v>
          </cell>
          <cell r="L11">
            <v>5</v>
          </cell>
          <cell r="M11">
            <v>5</v>
          </cell>
          <cell r="N11">
            <v>37</v>
          </cell>
          <cell r="O11">
            <v>201</v>
          </cell>
          <cell r="P11">
            <v>5.4324324324324325</v>
          </cell>
        </row>
        <row r="12">
          <cell r="A12" t="str">
            <v>섬유소재시스템공학과</v>
          </cell>
          <cell r="B12">
            <v>17</v>
          </cell>
          <cell r="C12">
            <v>42</v>
          </cell>
          <cell r="D12">
            <v>2.4705882352941178</v>
          </cell>
          <cell r="E12">
            <v>17</v>
          </cell>
          <cell r="F12">
            <v>46</v>
          </cell>
          <cell r="G12">
            <v>2.7058823529411766</v>
          </cell>
          <cell r="H12">
            <v>4</v>
          </cell>
          <cell r="I12">
            <v>1</v>
          </cell>
          <cell r="J12">
            <v>0.25</v>
          </cell>
          <cell r="K12">
            <v>1</v>
          </cell>
          <cell r="L12">
            <v>1</v>
          </cell>
          <cell r="M12">
            <v>1</v>
          </cell>
          <cell r="N12">
            <v>39</v>
          </cell>
          <cell r="O12">
            <v>90</v>
          </cell>
          <cell r="P12">
            <v>2.3076923076923075</v>
          </cell>
        </row>
        <row r="13">
          <cell r="A13" t="str">
            <v>자원.에너지공학과</v>
          </cell>
          <cell r="B13">
            <v>16</v>
          </cell>
          <cell r="C13">
            <v>53</v>
          </cell>
          <cell r="D13">
            <v>3.3125</v>
          </cell>
          <cell r="E13">
            <v>16</v>
          </cell>
          <cell r="F13">
            <v>54</v>
          </cell>
          <cell r="G13">
            <v>3.375</v>
          </cell>
          <cell r="J13">
            <v>0</v>
          </cell>
          <cell r="M13">
            <v>0</v>
          </cell>
          <cell r="N13">
            <v>32</v>
          </cell>
          <cell r="O13">
            <v>107</v>
          </cell>
          <cell r="P13">
            <v>3.34375</v>
          </cell>
        </row>
        <row r="14">
          <cell r="A14" t="str">
            <v>토목공학과</v>
          </cell>
          <cell r="B14">
            <v>17</v>
          </cell>
          <cell r="C14">
            <v>51</v>
          </cell>
          <cell r="D14">
            <v>3</v>
          </cell>
          <cell r="E14">
            <v>18</v>
          </cell>
          <cell r="F14">
            <v>55</v>
          </cell>
          <cell r="G14">
            <v>3.0555555555555554</v>
          </cell>
          <cell r="J14">
            <v>0</v>
          </cell>
          <cell r="M14">
            <v>0</v>
          </cell>
          <cell r="N14">
            <v>35</v>
          </cell>
          <cell r="O14">
            <v>106</v>
          </cell>
          <cell r="P14">
            <v>3.0285714285714285</v>
          </cell>
        </row>
        <row r="15">
          <cell r="A15" t="str">
            <v>기계설계공학부</v>
          </cell>
          <cell r="B15">
            <v>29</v>
          </cell>
          <cell r="C15">
            <v>76</v>
          </cell>
          <cell r="D15">
            <v>2.6206896551724137</v>
          </cell>
          <cell r="E15">
            <v>29</v>
          </cell>
          <cell r="F15">
            <v>83</v>
          </cell>
          <cell r="G15">
            <v>2.8620689655172415</v>
          </cell>
          <cell r="J15">
            <v>0</v>
          </cell>
          <cell r="M15">
            <v>0</v>
          </cell>
          <cell r="N15">
            <v>58</v>
          </cell>
          <cell r="O15">
            <v>159</v>
          </cell>
          <cell r="P15">
            <v>2.7413793103448274</v>
          </cell>
        </row>
        <row r="16">
          <cell r="A16" t="str">
            <v>기계공학과</v>
          </cell>
          <cell r="B16">
            <v>23</v>
          </cell>
          <cell r="C16">
            <v>91</v>
          </cell>
          <cell r="D16">
            <v>3.9565217391304346</v>
          </cell>
          <cell r="E16">
            <v>22</v>
          </cell>
          <cell r="F16">
            <v>104</v>
          </cell>
          <cell r="G16">
            <v>4.7272727272727275</v>
          </cell>
          <cell r="H16">
            <v>3</v>
          </cell>
          <cell r="I16">
            <v>11</v>
          </cell>
          <cell r="J16">
            <v>3.6666666666666665</v>
          </cell>
          <cell r="M16">
            <v>0</v>
          </cell>
          <cell r="N16">
            <v>48</v>
          </cell>
          <cell r="O16">
            <v>206</v>
          </cell>
          <cell r="P16">
            <v>4.291666666666667</v>
          </cell>
        </row>
        <row r="17">
          <cell r="A17" t="str">
            <v>항공우주공학과</v>
          </cell>
          <cell r="B17">
            <v>16</v>
          </cell>
          <cell r="C17">
            <v>44</v>
          </cell>
          <cell r="D17">
            <v>2.75</v>
          </cell>
          <cell r="E17">
            <v>17</v>
          </cell>
          <cell r="F17">
            <v>42</v>
          </cell>
          <cell r="G17">
            <v>2.4705882352941178</v>
          </cell>
          <cell r="H17">
            <v>1</v>
          </cell>
          <cell r="I17">
            <v>3</v>
          </cell>
          <cell r="J17">
            <v>3</v>
          </cell>
          <cell r="M17">
            <v>0</v>
          </cell>
          <cell r="N17">
            <v>34</v>
          </cell>
          <cell r="O17">
            <v>89</v>
          </cell>
          <cell r="P17">
            <v>2.6176470588235294</v>
          </cell>
        </row>
        <row r="18">
          <cell r="A18" t="str">
            <v>고분자.나노공학과</v>
          </cell>
          <cell r="B18">
            <v>13</v>
          </cell>
          <cell r="C18">
            <v>110</v>
          </cell>
          <cell r="D18">
            <v>8.4615384615384617</v>
          </cell>
          <cell r="E18">
            <v>12</v>
          </cell>
          <cell r="F18">
            <v>133</v>
          </cell>
          <cell r="G18">
            <v>11.083333333333334</v>
          </cell>
          <cell r="H18">
            <v>2</v>
          </cell>
          <cell r="I18">
            <v>7</v>
          </cell>
          <cell r="J18">
            <v>3.5</v>
          </cell>
          <cell r="K18">
            <v>2</v>
          </cell>
          <cell r="L18">
            <v>6</v>
          </cell>
          <cell r="M18">
            <v>3</v>
          </cell>
          <cell r="N18">
            <v>29</v>
          </cell>
          <cell r="O18">
            <v>256</v>
          </cell>
          <cell r="P18">
            <v>8.8275862068965516</v>
          </cell>
        </row>
        <row r="19">
          <cell r="A19" t="str">
            <v>화학공학부</v>
          </cell>
          <cell r="B19">
            <v>34</v>
          </cell>
          <cell r="C19">
            <v>108</v>
          </cell>
          <cell r="D19">
            <v>3.1764705882352939</v>
          </cell>
          <cell r="E19">
            <v>35</v>
          </cell>
          <cell r="F19">
            <v>127</v>
          </cell>
          <cell r="G19">
            <v>3.6285714285714286</v>
          </cell>
          <cell r="H19">
            <v>2</v>
          </cell>
          <cell r="I19">
            <v>4</v>
          </cell>
          <cell r="J19">
            <v>2</v>
          </cell>
          <cell r="K19">
            <v>2</v>
          </cell>
          <cell r="L19">
            <v>6</v>
          </cell>
          <cell r="M19">
            <v>3</v>
          </cell>
          <cell r="N19">
            <v>73</v>
          </cell>
          <cell r="O19">
            <v>245</v>
          </cell>
          <cell r="P19">
            <v>3.3561643835616439</v>
          </cell>
        </row>
        <row r="20">
          <cell r="A20" t="str">
            <v>환경공학과</v>
          </cell>
          <cell r="B20">
            <v>15</v>
          </cell>
          <cell r="C20">
            <v>32</v>
          </cell>
          <cell r="D20">
            <v>2.1333333333333333</v>
          </cell>
          <cell r="E20">
            <v>16</v>
          </cell>
          <cell r="F20">
            <v>46</v>
          </cell>
          <cell r="G20">
            <v>2.875</v>
          </cell>
          <cell r="H20">
            <v>1</v>
          </cell>
          <cell r="I20">
            <v>4</v>
          </cell>
          <cell r="J20">
            <v>4</v>
          </cell>
          <cell r="K20">
            <v>2</v>
          </cell>
          <cell r="L20">
            <v>3</v>
          </cell>
          <cell r="M20">
            <v>1.5</v>
          </cell>
          <cell r="N20">
            <v>34</v>
          </cell>
          <cell r="O20">
            <v>85</v>
          </cell>
          <cell r="P20">
            <v>2.5</v>
          </cell>
        </row>
        <row r="21">
          <cell r="A21" t="str">
            <v>건축공학과</v>
          </cell>
          <cell r="B21">
            <v>10</v>
          </cell>
          <cell r="C21">
            <v>26</v>
          </cell>
          <cell r="D21">
            <v>2.6</v>
          </cell>
          <cell r="E21">
            <v>10</v>
          </cell>
          <cell r="F21">
            <v>33</v>
          </cell>
          <cell r="G21">
            <v>3.3</v>
          </cell>
          <cell r="H21">
            <v>1</v>
          </cell>
          <cell r="I21">
            <v>1</v>
          </cell>
          <cell r="J21">
            <v>1</v>
          </cell>
          <cell r="M21">
            <v>0</v>
          </cell>
          <cell r="N21">
            <v>21</v>
          </cell>
          <cell r="O21">
            <v>60</v>
          </cell>
          <cell r="P21">
            <v>2.8571428571428572</v>
          </cell>
        </row>
        <row r="22">
          <cell r="A22" t="str">
            <v>도시공학과</v>
          </cell>
          <cell r="B22">
            <v>10</v>
          </cell>
          <cell r="C22">
            <v>23</v>
          </cell>
          <cell r="D22">
            <v>2.2999999999999998</v>
          </cell>
          <cell r="E22">
            <v>10</v>
          </cell>
          <cell r="F22">
            <v>29</v>
          </cell>
          <cell r="G22">
            <v>2.9</v>
          </cell>
          <cell r="J22">
            <v>0</v>
          </cell>
          <cell r="K22">
            <v>1</v>
          </cell>
          <cell r="L22">
            <v>3</v>
          </cell>
          <cell r="M22">
            <v>3</v>
          </cell>
          <cell r="N22">
            <v>21</v>
          </cell>
          <cell r="O22">
            <v>55</v>
          </cell>
          <cell r="P22">
            <v>2.6190476190476191</v>
          </cell>
        </row>
        <row r="23">
          <cell r="A23" t="str">
            <v>건축학과</v>
          </cell>
          <cell r="B23">
            <v>10</v>
          </cell>
          <cell r="C23">
            <v>27</v>
          </cell>
          <cell r="D23">
            <v>2.7</v>
          </cell>
          <cell r="E23">
            <v>10</v>
          </cell>
          <cell r="F23">
            <v>25</v>
          </cell>
          <cell r="G23">
            <v>2.5</v>
          </cell>
          <cell r="H23">
            <v>1</v>
          </cell>
          <cell r="I23">
            <v>1</v>
          </cell>
          <cell r="J23">
            <v>1</v>
          </cell>
          <cell r="M23">
            <v>0</v>
          </cell>
          <cell r="N23">
            <v>21</v>
          </cell>
          <cell r="O23">
            <v>53</v>
          </cell>
          <cell r="P23">
            <v>2.5238095238095237</v>
          </cell>
        </row>
        <row r="24">
          <cell r="A24" t="str">
            <v>신소재공학부(금속시스템공학)</v>
          </cell>
          <cell r="B24">
            <v>17</v>
          </cell>
          <cell r="C24">
            <v>51</v>
          </cell>
          <cell r="D24">
            <v>3</v>
          </cell>
          <cell r="E24">
            <v>16</v>
          </cell>
          <cell r="F24">
            <v>44</v>
          </cell>
          <cell r="G24">
            <v>2.75</v>
          </cell>
          <cell r="J24">
            <v>0</v>
          </cell>
          <cell r="M24">
            <v>0</v>
          </cell>
          <cell r="N24">
            <v>33</v>
          </cell>
          <cell r="O24">
            <v>95</v>
          </cell>
          <cell r="P24">
            <v>2.8787878787878789</v>
          </cell>
        </row>
        <row r="25">
          <cell r="A25" t="str">
            <v>신소재공학부(정보소재공학)</v>
          </cell>
          <cell r="B25">
            <v>20</v>
          </cell>
          <cell r="C25">
            <v>48</v>
          </cell>
          <cell r="D25">
            <v>2.4</v>
          </cell>
          <cell r="E25">
            <v>20</v>
          </cell>
          <cell r="F25">
            <v>49</v>
          </cell>
          <cell r="G25">
            <v>2.4500000000000002</v>
          </cell>
          <cell r="J25">
            <v>0</v>
          </cell>
          <cell r="K25">
            <v>1</v>
          </cell>
          <cell r="L25">
            <v>2</v>
          </cell>
          <cell r="M25">
            <v>2</v>
          </cell>
          <cell r="N25">
            <v>41</v>
          </cell>
          <cell r="O25">
            <v>99</v>
          </cell>
          <cell r="P25">
            <v>2.4146341463414633</v>
          </cell>
        </row>
        <row r="26">
          <cell r="A26" t="str">
            <v>신소재공학부(전자재료공학)</v>
          </cell>
          <cell r="B26">
            <v>19</v>
          </cell>
          <cell r="C26">
            <v>42</v>
          </cell>
          <cell r="D26">
            <v>2.2105263157894739</v>
          </cell>
          <cell r="E26">
            <v>19</v>
          </cell>
          <cell r="F26">
            <v>45</v>
          </cell>
          <cell r="G26">
            <v>2.3684210526315788</v>
          </cell>
          <cell r="J26">
            <v>0</v>
          </cell>
          <cell r="K26">
            <v>1</v>
          </cell>
          <cell r="L26">
            <v>5</v>
          </cell>
          <cell r="M26">
            <v>5</v>
          </cell>
          <cell r="N26">
            <v>39</v>
          </cell>
          <cell r="O26">
            <v>92</v>
          </cell>
          <cell r="P26">
            <v>2.358974358974359</v>
          </cell>
        </row>
        <row r="27">
          <cell r="A27" t="str">
            <v>전기전자컴퓨터공학부(전기공학)</v>
          </cell>
          <cell r="B27">
            <v>18</v>
          </cell>
          <cell r="C27">
            <v>42</v>
          </cell>
          <cell r="D27">
            <v>2.3333333333333335</v>
          </cell>
          <cell r="E27">
            <v>18</v>
          </cell>
          <cell r="F27">
            <v>50</v>
          </cell>
          <cell r="G27">
            <v>2.7777777777777777</v>
          </cell>
          <cell r="H27">
            <v>2</v>
          </cell>
          <cell r="I27">
            <v>1</v>
          </cell>
          <cell r="J27">
            <v>0.5</v>
          </cell>
          <cell r="K27">
            <v>1</v>
          </cell>
          <cell r="L27">
            <v>1</v>
          </cell>
          <cell r="M27">
            <v>1</v>
          </cell>
          <cell r="N27">
            <v>39</v>
          </cell>
          <cell r="O27">
            <v>94</v>
          </cell>
          <cell r="P27">
            <v>2.4102564102564101</v>
          </cell>
        </row>
        <row r="28">
          <cell r="A28" t="str">
            <v>전기전자컴퓨터공학부(전자공학)</v>
          </cell>
          <cell r="B28">
            <v>69</v>
          </cell>
          <cell r="C28">
            <v>154</v>
          </cell>
          <cell r="D28">
            <v>2.2318840579710146</v>
          </cell>
          <cell r="E28">
            <v>70</v>
          </cell>
          <cell r="F28">
            <v>190</v>
          </cell>
          <cell r="G28">
            <v>2.7142857142857144</v>
          </cell>
          <cell r="H28">
            <v>7</v>
          </cell>
          <cell r="I28">
            <v>13</v>
          </cell>
          <cell r="J28">
            <v>1.8571428571428572</v>
          </cell>
          <cell r="K28">
            <v>1</v>
          </cell>
          <cell r="L28">
            <v>2</v>
          </cell>
          <cell r="M28">
            <v>2</v>
          </cell>
          <cell r="N28">
            <v>147</v>
          </cell>
          <cell r="O28">
            <v>359</v>
          </cell>
          <cell r="P28">
            <v>2.4421768707482991</v>
          </cell>
        </row>
        <row r="29">
          <cell r="A29" t="str">
            <v>전기전자컴퓨터공학부(컴퓨터공학)</v>
          </cell>
          <cell r="B29">
            <v>54</v>
          </cell>
          <cell r="C29">
            <v>121</v>
          </cell>
          <cell r="D29">
            <v>2.2407407407407409</v>
          </cell>
          <cell r="E29">
            <v>54</v>
          </cell>
          <cell r="F29">
            <v>128</v>
          </cell>
          <cell r="G29">
            <v>2.3703703703703702</v>
          </cell>
          <cell r="H29">
            <v>5</v>
          </cell>
          <cell r="I29">
            <v>6</v>
          </cell>
          <cell r="J29">
            <v>1.2</v>
          </cell>
          <cell r="K29">
            <v>1</v>
          </cell>
          <cell r="L29">
            <v>2</v>
          </cell>
          <cell r="M29">
            <v>2</v>
          </cell>
          <cell r="N29">
            <v>114</v>
          </cell>
          <cell r="O29">
            <v>257</v>
          </cell>
          <cell r="P29">
            <v>2.2543859649122808</v>
          </cell>
        </row>
        <row r="30">
          <cell r="A30" t="str">
            <v>응용시스템공학부(사회기반공학)</v>
          </cell>
          <cell r="B30">
            <v>6</v>
          </cell>
          <cell r="C30">
            <v>20</v>
          </cell>
          <cell r="D30">
            <v>3.3333333333333335</v>
          </cell>
          <cell r="E30">
            <v>6</v>
          </cell>
          <cell r="F30">
            <v>21</v>
          </cell>
          <cell r="G30">
            <v>3.5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2</v>
          </cell>
          <cell r="M30">
            <v>2</v>
          </cell>
          <cell r="N30">
            <v>14</v>
          </cell>
          <cell r="O30">
            <v>44</v>
          </cell>
          <cell r="P30">
            <v>3.1428571428571428</v>
          </cell>
        </row>
        <row r="31">
          <cell r="A31" t="str">
            <v>응용시스템공학부(산업전기공학)</v>
          </cell>
          <cell r="B31">
            <v>6</v>
          </cell>
          <cell r="C31">
            <v>17</v>
          </cell>
          <cell r="D31">
            <v>2.8333333333333335</v>
          </cell>
          <cell r="E31">
            <v>7</v>
          </cell>
          <cell r="F31">
            <v>32</v>
          </cell>
          <cell r="G31">
            <v>4.5714285714285712</v>
          </cell>
          <cell r="H31">
            <v>2</v>
          </cell>
          <cell r="I31">
            <v>3</v>
          </cell>
          <cell r="J31">
            <v>1.5</v>
          </cell>
          <cell r="M31">
            <v>0</v>
          </cell>
          <cell r="N31">
            <v>15</v>
          </cell>
          <cell r="O31">
            <v>52</v>
          </cell>
          <cell r="P31">
            <v>3.4666666666666668</v>
          </cell>
        </row>
        <row r="32">
          <cell r="A32" t="str">
            <v>응용시스템공학부(전자통신공학)</v>
          </cell>
          <cell r="B32">
            <v>8</v>
          </cell>
          <cell r="C32">
            <v>22</v>
          </cell>
          <cell r="D32">
            <v>2.75</v>
          </cell>
          <cell r="E32">
            <v>7</v>
          </cell>
          <cell r="F32">
            <v>27</v>
          </cell>
          <cell r="G32">
            <v>3.8571428571428572</v>
          </cell>
          <cell r="H32">
            <v>1</v>
          </cell>
          <cell r="I32">
            <v>1</v>
          </cell>
          <cell r="J32">
            <v>1</v>
          </cell>
          <cell r="M32">
            <v>0</v>
          </cell>
          <cell r="N32">
            <v>16</v>
          </cell>
          <cell r="O32">
            <v>50</v>
          </cell>
          <cell r="P32">
            <v>3.125</v>
          </cell>
        </row>
        <row r="33">
          <cell r="A33" t="str">
            <v>응용시스템공학부(정보공학)</v>
          </cell>
          <cell r="B33">
            <v>8</v>
          </cell>
          <cell r="C33">
            <v>22</v>
          </cell>
          <cell r="D33">
            <v>2.75</v>
          </cell>
          <cell r="E33">
            <v>8</v>
          </cell>
          <cell r="F33">
            <v>31</v>
          </cell>
          <cell r="G33">
            <v>3.875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18</v>
          </cell>
          <cell r="O33">
            <v>55</v>
          </cell>
          <cell r="P33">
            <v>3.0555555555555554</v>
          </cell>
        </row>
        <row r="34">
          <cell r="A34" t="str">
            <v>기계시스템공학부</v>
          </cell>
          <cell r="B34">
            <v>28</v>
          </cell>
          <cell r="C34">
            <v>67</v>
          </cell>
          <cell r="D34">
            <v>2.3928571428571428</v>
          </cell>
          <cell r="E34">
            <v>26</v>
          </cell>
          <cell r="F34">
            <v>80</v>
          </cell>
          <cell r="G34">
            <v>3.0769230769230771</v>
          </cell>
          <cell r="J34">
            <v>0</v>
          </cell>
          <cell r="M34">
            <v>0</v>
          </cell>
          <cell r="N34">
            <v>54</v>
          </cell>
          <cell r="O34">
            <v>147</v>
          </cell>
          <cell r="P34">
            <v>2.7222222222222223</v>
          </cell>
        </row>
        <row r="35">
          <cell r="A35" t="str">
            <v>공과대학소계</v>
          </cell>
          <cell r="B35">
            <v>499</v>
          </cell>
          <cell r="C35">
            <v>1435</v>
          </cell>
          <cell r="D35">
            <v>2.8757515030060121</v>
          </cell>
          <cell r="E35">
            <v>498</v>
          </cell>
          <cell r="F35">
            <v>1631</v>
          </cell>
          <cell r="G35">
            <v>3.2751004016064256</v>
          </cell>
          <cell r="H35">
            <v>38</v>
          </cell>
          <cell r="I35">
            <v>63</v>
          </cell>
          <cell r="J35">
            <v>1.6578947368421053</v>
          </cell>
          <cell r="K35">
            <v>18</v>
          </cell>
          <cell r="L35">
            <v>45</v>
          </cell>
          <cell r="M35">
            <v>2.5</v>
          </cell>
          <cell r="N35">
            <v>1053</v>
          </cell>
          <cell r="O35">
            <v>3174</v>
          </cell>
          <cell r="P35">
            <v>3.0142450142450143</v>
          </cell>
        </row>
        <row r="36">
          <cell r="A36" t="str">
            <v>농업경제학과</v>
          </cell>
          <cell r="B36">
            <v>11</v>
          </cell>
          <cell r="C36">
            <v>52</v>
          </cell>
          <cell r="D36">
            <v>4.7272727272727275</v>
          </cell>
          <cell r="E36">
            <v>11</v>
          </cell>
          <cell r="F36">
            <v>71</v>
          </cell>
          <cell r="G36">
            <v>6.4545454545454541</v>
          </cell>
          <cell r="H36">
            <v>3</v>
          </cell>
          <cell r="I36">
            <v>1</v>
          </cell>
          <cell r="J36">
            <v>0.33333333333333331</v>
          </cell>
          <cell r="K36">
            <v>1</v>
          </cell>
          <cell r="L36">
            <v>5</v>
          </cell>
          <cell r="M36">
            <v>5</v>
          </cell>
          <cell r="N36">
            <v>26</v>
          </cell>
          <cell r="O36">
            <v>129</v>
          </cell>
          <cell r="P36">
            <v>4.9615384615384617</v>
          </cell>
        </row>
        <row r="37">
          <cell r="A37" t="str">
            <v>조경학과</v>
          </cell>
          <cell r="B37">
            <v>10</v>
          </cell>
          <cell r="C37">
            <v>54</v>
          </cell>
          <cell r="D37">
            <v>5.4</v>
          </cell>
          <cell r="E37">
            <v>9</v>
          </cell>
          <cell r="F37">
            <v>55</v>
          </cell>
          <cell r="G37">
            <v>6.1111111111111107</v>
          </cell>
          <cell r="J37">
            <v>0</v>
          </cell>
          <cell r="M37">
            <v>0</v>
          </cell>
          <cell r="N37">
            <v>19</v>
          </cell>
          <cell r="O37">
            <v>109</v>
          </cell>
          <cell r="P37">
            <v>5.7368421052631575</v>
          </cell>
        </row>
        <row r="38">
          <cell r="A38" t="str">
            <v>산림자원학과</v>
          </cell>
          <cell r="B38">
            <v>13</v>
          </cell>
          <cell r="C38">
            <v>116</v>
          </cell>
          <cell r="D38">
            <v>8.9230769230769234</v>
          </cell>
          <cell r="E38">
            <v>13</v>
          </cell>
          <cell r="F38">
            <v>123</v>
          </cell>
          <cell r="G38">
            <v>9.4615384615384617</v>
          </cell>
          <cell r="H38">
            <v>1</v>
          </cell>
          <cell r="I38">
            <v>2</v>
          </cell>
          <cell r="J38">
            <v>2</v>
          </cell>
          <cell r="M38">
            <v>0</v>
          </cell>
          <cell r="N38">
            <v>27</v>
          </cell>
          <cell r="O38">
            <v>241</v>
          </cell>
          <cell r="P38">
            <v>8.9259259259259256</v>
          </cell>
        </row>
        <row r="39">
          <cell r="A39" t="str">
            <v>목재응용과학과</v>
          </cell>
          <cell r="B39">
            <v>12</v>
          </cell>
          <cell r="C39">
            <v>58</v>
          </cell>
          <cell r="D39">
            <v>4.833333333333333</v>
          </cell>
          <cell r="E39">
            <v>11</v>
          </cell>
          <cell r="F39">
            <v>68</v>
          </cell>
          <cell r="G39">
            <v>6.1818181818181817</v>
          </cell>
          <cell r="H39">
            <v>2</v>
          </cell>
          <cell r="I39">
            <v>2</v>
          </cell>
          <cell r="J39">
            <v>1</v>
          </cell>
          <cell r="M39">
            <v>0</v>
          </cell>
          <cell r="N39">
            <v>25</v>
          </cell>
          <cell r="O39">
            <v>128</v>
          </cell>
          <cell r="P39">
            <v>5.12</v>
          </cell>
        </row>
        <row r="40">
          <cell r="A40" t="str">
            <v>농생물학과</v>
          </cell>
          <cell r="B40">
            <v>13</v>
          </cell>
          <cell r="C40">
            <v>43</v>
          </cell>
          <cell r="D40">
            <v>3.3076923076923075</v>
          </cell>
          <cell r="E40">
            <v>11</v>
          </cell>
          <cell r="F40">
            <v>32</v>
          </cell>
          <cell r="G40">
            <v>2.9090909090909092</v>
          </cell>
          <cell r="H40">
            <v>2</v>
          </cell>
          <cell r="I40">
            <v>0</v>
          </cell>
          <cell r="J40">
            <v>0</v>
          </cell>
          <cell r="M40">
            <v>0</v>
          </cell>
          <cell r="N40">
            <v>26</v>
          </cell>
          <cell r="O40">
            <v>75</v>
          </cell>
          <cell r="P40">
            <v>2.8846153846153846</v>
          </cell>
        </row>
        <row r="41">
          <cell r="A41" t="str">
            <v>작물생명과학과</v>
          </cell>
          <cell r="B41">
            <v>11</v>
          </cell>
          <cell r="C41">
            <v>29</v>
          </cell>
          <cell r="D41">
            <v>2.6363636363636362</v>
          </cell>
          <cell r="E41">
            <v>12</v>
          </cell>
          <cell r="F41">
            <v>42</v>
          </cell>
          <cell r="G41">
            <v>3.5</v>
          </cell>
          <cell r="H41">
            <v>3</v>
          </cell>
          <cell r="I41">
            <v>1</v>
          </cell>
          <cell r="J41">
            <v>0.33333333333333331</v>
          </cell>
          <cell r="K41">
            <v>1</v>
          </cell>
          <cell r="L41">
            <v>2</v>
          </cell>
          <cell r="M41">
            <v>2</v>
          </cell>
          <cell r="N41">
            <v>27</v>
          </cell>
          <cell r="O41">
            <v>74</v>
          </cell>
          <cell r="P41">
            <v>2.7407407407407409</v>
          </cell>
        </row>
        <row r="42">
          <cell r="A42" t="str">
            <v>원예학과</v>
          </cell>
          <cell r="B42">
            <v>12</v>
          </cell>
          <cell r="C42">
            <v>30</v>
          </cell>
          <cell r="D42">
            <v>2.5</v>
          </cell>
          <cell r="E42">
            <v>12</v>
          </cell>
          <cell r="F42">
            <v>46</v>
          </cell>
          <cell r="G42">
            <v>3.8333333333333335</v>
          </cell>
          <cell r="H42">
            <v>1</v>
          </cell>
          <cell r="J42">
            <v>0</v>
          </cell>
          <cell r="M42">
            <v>0</v>
          </cell>
          <cell r="N42">
            <v>25</v>
          </cell>
          <cell r="O42">
            <v>76</v>
          </cell>
          <cell r="P42">
            <v>3.04</v>
          </cell>
        </row>
        <row r="43">
          <cell r="A43" t="str">
            <v>지역건설공학과</v>
          </cell>
          <cell r="B43">
            <v>15</v>
          </cell>
          <cell r="C43">
            <v>45</v>
          </cell>
          <cell r="D43">
            <v>3</v>
          </cell>
          <cell r="E43">
            <v>14</v>
          </cell>
          <cell r="F43">
            <v>48</v>
          </cell>
          <cell r="G43">
            <v>3.4285714285714284</v>
          </cell>
          <cell r="H43">
            <v>1</v>
          </cell>
          <cell r="I43">
            <v>1</v>
          </cell>
          <cell r="J43">
            <v>1</v>
          </cell>
          <cell r="M43">
            <v>0</v>
          </cell>
          <cell r="N43">
            <v>30</v>
          </cell>
          <cell r="O43">
            <v>94</v>
          </cell>
          <cell r="P43">
            <v>3.1333333333333333</v>
          </cell>
        </row>
        <row r="44">
          <cell r="A44" t="str">
            <v>생물산업기계공학과</v>
          </cell>
          <cell r="B44">
            <v>15</v>
          </cell>
          <cell r="C44">
            <v>46</v>
          </cell>
          <cell r="D44">
            <v>3.0666666666666669</v>
          </cell>
          <cell r="E44">
            <v>13</v>
          </cell>
          <cell r="F44">
            <v>49</v>
          </cell>
          <cell r="G44">
            <v>3.7692307692307692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2</v>
          </cell>
          <cell r="M44">
            <v>2</v>
          </cell>
          <cell r="N44">
            <v>30</v>
          </cell>
          <cell r="O44">
            <v>98</v>
          </cell>
          <cell r="P44">
            <v>3.2666666666666666</v>
          </cell>
        </row>
        <row r="45">
          <cell r="A45" t="str">
            <v>생물환경학과</v>
          </cell>
          <cell r="B45">
            <v>13</v>
          </cell>
          <cell r="C45">
            <v>83</v>
          </cell>
          <cell r="D45">
            <v>6.384615384615385</v>
          </cell>
          <cell r="E45">
            <v>14</v>
          </cell>
          <cell r="F45">
            <v>82</v>
          </cell>
          <cell r="G45">
            <v>5.8571428571428568</v>
          </cell>
          <cell r="H45">
            <v>1</v>
          </cell>
          <cell r="I45">
            <v>1</v>
          </cell>
          <cell r="J45">
            <v>1</v>
          </cell>
          <cell r="M45">
            <v>0</v>
          </cell>
          <cell r="N45">
            <v>28</v>
          </cell>
          <cell r="O45">
            <v>166</v>
          </cell>
          <cell r="P45">
            <v>5.9285714285714288</v>
          </cell>
        </row>
        <row r="46">
          <cell r="A46" t="str">
            <v>식품공학과</v>
          </cell>
          <cell r="B46">
            <v>15</v>
          </cell>
          <cell r="C46">
            <v>101</v>
          </cell>
          <cell r="D46">
            <v>6.7333333333333334</v>
          </cell>
          <cell r="E46">
            <v>15</v>
          </cell>
          <cell r="F46">
            <v>111</v>
          </cell>
          <cell r="G46">
            <v>7.4</v>
          </cell>
          <cell r="J46">
            <v>0</v>
          </cell>
          <cell r="K46">
            <v>1</v>
          </cell>
          <cell r="L46">
            <v>7</v>
          </cell>
          <cell r="M46">
            <v>7</v>
          </cell>
          <cell r="N46">
            <v>31</v>
          </cell>
          <cell r="O46">
            <v>219</v>
          </cell>
          <cell r="P46">
            <v>7.064516129032258</v>
          </cell>
        </row>
        <row r="47">
          <cell r="A47" t="str">
            <v>동물자원과학부(동물소재공학)</v>
          </cell>
          <cell r="B47">
            <v>14</v>
          </cell>
          <cell r="C47">
            <v>75</v>
          </cell>
          <cell r="D47">
            <v>5.3571428571428568</v>
          </cell>
          <cell r="E47">
            <v>13</v>
          </cell>
          <cell r="F47">
            <v>61</v>
          </cell>
          <cell r="G47">
            <v>4.6923076923076925</v>
          </cell>
          <cell r="H47">
            <v>2</v>
          </cell>
          <cell r="I47">
            <v>0</v>
          </cell>
          <cell r="J47">
            <v>0</v>
          </cell>
          <cell r="K47">
            <v>1</v>
          </cell>
          <cell r="L47">
            <v>3</v>
          </cell>
          <cell r="M47">
            <v>3</v>
          </cell>
          <cell r="N47">
            <v>30</v>
          </cell>
          <cell r="O47">
            <v>139</v>
          </cell>
          <cell r="P47">
            <v>4.6333333333333337</v>
          </cell>
        </row>
        <row r="48">
          <cell r="A48" t="str">
            <v>동물자원과학부(동물생명공학)</v>
          </cell>
          <cell r="B48">
            <v>12</v>
          </cell>
          <cell r="C48">
            <v>65</v>
          </cell>
          <cell r="D48">
            <v>5.416666666666667</v>
          </cell>
          <cell r="E48">
            <v>13</v>
          </cell>
          <cell r="F48">
            <v>93</v>
          </cell>
          <cell r="G48">
            <v>7.1538461538461542</v>
          </cell>
          <cell r="H48">
            <v>2</v>
          </cell>
          <cell r="I48">
            <v>1</v>
          </cell>
          <cell r="J48">
            <v>0.5</v>
          </cell>
          <cell r="K48">
            <v>1</v>
          </cell>
          <cell r="L48">
            <v>4</v>
          </cell>
          <cell r="M48">
            <v>4</v>
          </cell>
          <cell r="N48">
            <v>28</v>
          </cell>
          <cell r="O48">
            <v>163</v>
          </cell>
          <cell r="P48">
            <v>5.8214285714285712</v>
          </cell>
        </row>
        <row r="49">
          <cell r="A49" t="str">
            <v>농업생명과학대학소계</v>
          </cell>
          <cell r="B49">
            <v>166</v>
          </cell>
          <cell r="C49">
            <v>797</v>
          </cell>
          <cell r="D49">
            <v>4.8012048192771086</v>
          </cell>
          <cell r="E49">
            <v>161</v>
          </cell>
          <cell r="F49">
            <v>881</v>
          </cell>
          <cell r="G49">
            <v>5.4720496894409933</v>
          </cell>
          <cell r="H49">
            <v>19</v>
          </cell>
          <cell r="I49">
            <v>10</v>
          </cell>
          <cell r="J49">
            <v>0.52631578947368418</v>
          </cell>
          <cell r="K49">
            <v>6</v>
          </cell>
          <cell r="L49">
            <v>23</v>
          </cell>
          <cell r="M49">
            <v>3.8333333333333335</v>
          </cell>
          <cell r="N49">
            <v>352</v>
          </cell>
          <cell r="O49">
            <v>1711</v>
          </cell>
          <cell r="P49">
            <v>4.8607954545454541</v>
          </cell>
        </row>
        <row r="50">
          <cell r="A50" t="str">
            <v>국어교육과</v>
          </cell>
          <cell r="B50">
            <v>7</v>
          </cell>
          <cell r="C50">
            <v>20</v>
          </cell>
          <cell r="D50">
            <v>2.8571428571428572</v>
          </cell>
          <cell r="E50">
            <v>7</v>
          </cell>
          <cell r="F50">
            <v>25</v>
          </cell>
          <cell r="G50">
            <v>3.5714285714285716</v>
          </cell>
          <cell r="J50">
            <v>0</v>
          </cell>
          <cell r="M50">
            <v>0</v>
          </cell>
          <cell r="N50">
            <v>14</v>
          </cell>
          <cell r="O50">
            <v>45</v>
          </cell>
          <cell r="P50">
            <v>3.2142857142857144</v>
          </cell>
        </row>
        <row r="51">
          <cell r="A51" t="str">
            <v>독어교육과</v>
          </cell>
          <cell r="B51">
            <v>5</v>
          </cell>
          <cell r="C51">
            <v>16</v>
          </cell>
          <cell r="D51">
            <v>3.2</v>
          </cell>
          <cell r="E51">
            <v>4</v>
          </cell>
          <cell r="F51">
            <v>10</v>
          </cell>
          <cell r="G51">
            <v>2.5</v>
          </cell>
          <cell r="J51">
            <v>0</v>
          </cell>
          <cell r="M51">
            <v>0</v>
          </cell>
          <cell r="N51">
            <v>9</v>
          </cell>
          <cell r="O51">
            <v>26</v>
          </cell>
          <cell r="P51">
            <v>2.8888888888888888</v>
          </cell>
        </row>
        <row r="52">
          <cell r="A52" t="str">
            <v>영어교육과</v>
          </cell>
          <cell r="B52">
            <v>8</v>
          </cell>
          <cell r="C52">
            <v>23</v>
          </cell>
          <cell r="D52">
            <v>2.875</v>
          </cell>
          <cell r="E52">
            <v>6</v>
          </cell>
          <cell r="F52">
            <v>20</v>
          </cell>
          <cell r="G52">
            <v>3.3333333333333335</v>
          </cell>
          <cell r="J52">
            <v>0</v>
          </cell>
          <cell r="M52">
            <v>0</v>
          </cell>
          <cell r="N52">
            <v>14</v>
          </cell>
          <cell r="O52">
            <v>43</v>
          </cell>
          <cell r="P52">
            <v>3.0714285714285716</v>
          </cell>
        </row>
        <row r="53">
          <cell r="A53" t="str">
            <v>교육학과</v>
          </cell>
          <cell r="B53">
            <v>6</v>
          </cell>
          <cell r="C53">
            <v>14</v>
          </cell>
          <cell r="D53">
            <v>2.3333333333333335</v>
          </cell>
          <cell r="E53">
            <v>5</v>
          </cell>
          <cell r="F53">
            <v>27</v>
          </cell>
          <cell r="G53">
            <v>5.4</v>
          </cell>
          <cell r="J53">
            <v>0</v>
          </cell>
          <cell r="K53">
            <v>1</v>
          </cell>
          <cell r="L53">
            <v>4</v>
          </cell>
          <cell r="M53">
            <v>4</v>
          </cell>
          <cell r="N53">
            <v>12</v>
          </cell>
          <cell r="O53">
            <v>45</v>
          </cell>
          <cell r="P53">
            <v>3.75</v>
          </cell>
        </row>
        <row r="54">
          <cell r="A54" t="str">
            <v>윤리교육과</v>
          </cell>
          <cell r="B54">
            <v>6</v>
          </cell>
          <cell r="C54">
            <v>23</v>
          </cell>
          <cell r="D54">
            <v>3.8333333333333335</v>
          </cell>
          <cell r="E54">
            <v>6</v>
          </cell>
          <cell r="F54">
            <v>20</v>
          </cell>
          <cell r="G54">
            <v>3.3333333333333335</v>
          </cell>
          <cell r="J54">
            <v>0</v>
          </cell>
          <cell r="K54">
            <v>1</v>
          </cell>
          <cell r="L54">
            <v>3</v>
          </cell>
          <cell r="M54">
            <v>3</v>
          </cell>
          <cell r="N54">
            <v>13</v>
          </cell>
          <cell r="O54">
            <v>46</v>
          </cell>
          <cell r="P54">
            <v>3.5384615384615383</v>
          </cell>
        </row>
        <row r="55">
          <cell r="A55" t="str">
            <v>사회교육학부</v>
          </cell>
          <cell r="B55">
            <v>10</v>
          </cell>
          <cell r="C55">
            <v>28</v>
          </cell>
          <cell r="D55">
            <v>2.8</v>
          </cell>
          <cell r="E55">
            <v>9</v>
          </cell>
          <cell r="F55">
            <v>27</v>
          </cell>
          <cell r="G55">
            <v>3</v>
          </cell>
          <cell r="J55">
            <v>0</v>
          </cell>
          <cell r="M55">
            <v>0</v>
          </cell>
          <cell r="N55">
            <v>19</v>
          </cell>
          <cell r="O55">
            <v>55</v>
          </cell>
          <cell r="P55">
            <v>2.8947368421052633</v>
          </cell>
        </row>
        <row r="56">
          <cell r="A56" t="str">
            <v>지리교육과</v>
          </cell>
          <cell r="B56">
            <v>4</v>
          </cell>
          <cell r="C56">
            <v>12</v>
          </cell>
          <cell r="D56">
            <v>3</v>
          </cell>
          <cell r="E56">
            <v>4</v>
          </cell>
          <cell r="F56">
            <v>15</v>
          </cell>
          <cell r="G56">
            <v>3.75</v>
          </cell>
          <cell r="J56">
            <v>0</v>
          </cell>
          <cell r="K56">
            <v>1</v>
          </cell>
          <cell r="L56">
            <v>6</v>
          </cell>
          <cell r="M56">
            <v>6</v>
          </cell>
          <cell r="N56">
            <v>9</v>
          </cell>
          <cell r="O56">
            <v>33</v>
          </cell>
          <cell r="P56">
            <v>3.6666666666666665</v>
          </cell>
        </row>
        <row r="57">
          <cell r="A57" t="str">
            <v>수학교육과</v>
          </cell>
          <cell r="B57">
            <v>8</v>
          </cell>
          <cell r="C57">
            <v>23</v>
          </cell>
          <cell r="D57">
            <v>2.875</v>
          </cell>
          <cell r="E57">
            <v>7</v>
          </cell>
          <cell r="F57">
            <v>23</v>
          </cell>
          <cell r="G57">
            <v>3.2857142857142856</v>
          </cell>
          <cell r="J57">
            <v>0</v>
          </cell>
          <cell r="M57">
            <v>0</v>
          </cell>
          <cell r="N57">
            <v>15</v>
          </cell>
          <cell r="O57">
            <v>46</v>
          </cell>
          <cell r="P57">
            <v>3.0666666666666669</v>
          </cell>
        </row>
        <row r="58">
          <cell r="A58" t="str">
            <v>과학교육학부</v>
          </cell>
          <cell r="B58">
            <v>21</v>
          </cell>
          <cell r="C58">
            <v>36</v>
          </cell>
          <cell r="D58">
            <v>1.7142857142857142</v>
          </cell>
          <cell r="E58">
            <v>21</v>
          </cell>
          <cell r="F58">
            <v>37</v>
          </cell>
          <cell r="G58">
            <v>1.7619047619047619</v>
          </cell>
          <cell r="J58">
            <v>0</v>
          </cell>
          <cell r="K58">
            <v>3</v>
          </cell>
          <cell r="L58">
            <v>6</v>
          </cell>
          <cell r="M58">
            <v>2</v>
          </cell>
          <cell r="N58">
            <v>45</v>
          </cell>
          <cell r="O58">
            <v>79</v>
          </cell>
          <cell r="P58">
            <v>1.7555555555555555</v>
          </cell>
        </row>
        <row r="59">
          <cell r="A59" t="str">
            <v>체육교육과</v>
          </cell>
          <cell r="B59" t="str">
            <v xml:space="preserve"> - </v>
          </cell>
          <cell r="C59" t="str">
            <v xml:space="preserve"> - </v>
          </cell>
          <cell r="D59" t="e">
            <v>#VALUE!</v>
          </cell>
          <cell r="E59">
            <v>15</v>
          </cell>
          <cell r="F59">
            <v>94</v>
          </cell>
          <cell r="G59">
            <v>6.2666666666666666</v>
          </cell>
          <cell r="H59">
            <v>2</v>
          </cell>
          <cell r="J59">
            <v>0</v>
          </cell>
          <cell r="M59">
            <v>0</v>
          </cell>
          <cell r="N59">
            <v>17</v>
          </cell>
          <cell r="O59">
            <v>94</v>
          </cell>
          <cell r="P59">
            <v>5.5294117647058822</v>
          </cell>
        </row>
        <row r="60">
          <cell r="A60" t="str">
            <v>사범대학소계</v>
          </cell>
          <cell r="B60">
            <v>75</v>
          </cell>
          <cell r="C60">
            <v>195</v>
          </cell>
          <cell r="D60">
            <v>2.6</v>
          </cell>
          <cell r="E60">
            <v>84</v>
          </cell>
          <cell r="F60">
            <v>298</v>
          </cell>
          <cell r="G60">
            <v>3.5476190476190474</v>
          </cell>
          <cell r="H60">
            <v>2</v>
          </cell>
          <cell r="I60">
            <v>0</v>
          </cell>
          <cell r="J60">
            <v>0</v>
          </cell>
          <cell r="K60">
            <v>6</v>
          </cell>
          <cell r="L60">
            <v>19</v>
          </cell>
          <cell r="M60">
            <v>3.1666666666666665</v>
          </cell>
          <cell r="N60">
            <v>167</v>
          </cell>
          <cell r="O60">
            <v>512</v>
          </cell>
          <cell r="P60">
            <v>3.0658682634730541</v>
          </cell>
        </row>
        <row r="61">
          <cell r="A61" t="str">
            <v>신문방송학과</v>
          </cell>
          <cell r="B61">
            <v>13</v>
          </cell>
          <cell r="C61">
            <v>50</v>
          </cell>
          <cell r="D61">
            <v>3.8461538461538463</v>
          </cell>
          <cell r="E61">
            <v>12</v>
          </cell>
          <cell r="F61">
            <v>69</v>
          </cell>
          <cell r="G61">
            <v>5.75</v>
          </cell>
          <cell r="J61">
            <v>0</v>
          </cell>
          <cell r="M61">
            <v>0</v>
          </cell>
          <cell r="N61">
            <v>25</v>
          </cell>
          <cell r="O61">
            <v>119</v>
          </cell>
          <cell r="P61">
            <v>4.76</v>
          </cell>
        </row>
        <row r="62">
          <cell r="A62" t="str">
            <v>심리학과</v>
          </cell>
          <cell r="B62">
            <v>11</v>
          </cell>
          <cell r="C62">
            <v>53</v>
          </cell>
          <cell r="D62">
            <v>4.8181818181818183</v>
          </cell>
          <cell r="E62">
            <v>11</v>
          </cell>
          <cell r="F62">
            <v>48</v>
          </cell>
          <cell r="G62">
            <v>4.3636363636363633</v>
          </cell>
          <cell r="J62">
            <v>0</v>
          </cell>
          <cell r="K62">
            <v>1</v>
          </cell>
          <cell r="L62">
            <v>3</v>
          </cell>
          <cell r="M62">
            <v>3</v>
          </cell>
          <cell r="N62">
            <v>23</v>
          </cell>
          <cell r="O62">
            <v>104</v>
          </cell>
          <cell r="P62">
            <v>4.5217391304347823</v>
          </cell>
        </row>
        <row r="63">
          <cell r="A63" t="str">
            <v>사회학과</v>
          </cell>
          <cell r="B63">
            <v>12</v>
          </cell>
          <cell r="C63">
            <v>47</v>
          </cell>
          <cell r="D63">
            <v>3.9166666666666665</v>
          </cell>
          <cell r="E63">
            <v>12</v>
          </cell>
          <cell r="F63">
            <v>51</v>
          </cell>
          <cell r="G63">
            <v>4.25</v>
          </cell>
          <cell r="J63">
            <v>0</v>
          </cell>
          <cell r="M63">
            <v>0</v>
          </cell>
          <cell r="N63">
            <v>24</v>
          </cell>
          <cell r="O63">
            <v>98</v>
          </cell>
          <cell r="P63">
            <v>4.083333333333333</v>
          </cell>
        </row>
        <row r="64">
          <cell r="A64" t="str">
            <v>정치외교학과</v>
          </cell>
          <cell r="B64">
            <v>17</v>
          </cell>
          <cell r="C64">
            <v>61</v>
          </cell>
          <cell r="D64">
            <v>3.5882352941176472</v>
          </cell>
          <cell r="E64">
            <v>16</v>
          </cell>
          <cell r="F64">
            <v>70</v>
          </cell>
          <cell r="G64">
            <v>4.375</v>
          </cell>
          <cell r="J64">
            <v>0</v>
          </cell>
          <cell r="M64">
            <v>0</v>
          </cell>
          <cell r="N64">
            <v>33</v>
          </cell>
          <cell r="O64">
            <v>131</v>
          </cell>
          <cell r="P64">
            <v>3.9696969696969697</v>
          </cell>
        </row>
        <row r="65">
          <cell r="A65" t="str">
            <v>사회복지학과</v>
          </cell>
          <cell r="B65">
            <v>10</v>
          </cell>
          <cell r="C65">
            <v>31</v>
          </cell>
          <cell r="D65">
            <v>3.1</v>
          </cell>
          <cell r="E65">
            <v>9</v>
          </cell>
          <cell r="F65">
            <v>41</v>
          </cell>
          <cell r="G65">
            <v>4.5555555555555554</v>
          </cell>
          <cell r="J65">
            <v>0</v>
          </cell>
          <cell r="K65">
            <v>1</v>
          </cell>
          <cell r="L65">
            <v>5</v>
          </cell>
          <cell r="M65">
            <v>5</v>
          </cell>
          <cell r="N65">
            <v>20</v>
          </cell>
          <cell r="O65">
            <v>77</v>
          </cell>
          <cell r="P65">
            <v>3.85</v>
          </cell>
        </row>
        <row r="66">
          <cell r="A66" t="str">
            <v>행정학과</v>
          </cell>
          <cell r="B66">
            <v>20</v>
          </cell>
          <cell r="C66">
            <v>68</v>
          </cell>
          <cell r="D66">
            <v>3.4</v>
          </cell>
          <cell r="E66">
            <v>20</v>
          </cell>
          <cell r="F66">
            <v>70</v>
          </cell>
          <cell r="G66">
            <v>3.5</v>
          </cell>
          <cell r="J66">
            <v>0</v>
          </cell>
          <cell r="K66">
            <v>2</v>
          </cell>
          <cell r="L66">
            <v>6</v>
          </cell>
          <cell r="M66">
            <v>3</v>
          </cell>
          <cell r="N66">
            <v>42</v>
          </cell>
          <cell r="O66">
            <v>144</v>
          </cell>
          <cell r="P66">
            <v>3.4285714285714284</v>
          </cell>
        </row>
        <row r="67">
          <cell r="A67" t="str">
            <v>사회과학대학소계</v>
          </cell>
          <cell r="B67">
            <v>83</v>
          </cell>
          <cell r="C67">
            <v>310</v>
          </cell>
          <cell r="D67">
            <v>3.7349397590361444</v>
          </cell>
          <cell r="E67">
            <v>80</v>
          </cell>
          <cell r="F67">
            <v>349</v>
          </cell>
          <cell r="G67">
            <v>4.3624999999999998</v>
          </cell>
          <cell r="H67">
            <v>0</v>
          </cell>
          <cell r="I67">
            <v>0</v>
          </cell>
          <cell r="J67">
            <v>0</v>
          </cell>
          <cell r="K67">
            <v>4</v>
          </cell>
          <cell r="L67">
            <v>14</v>
          </cell>
          <cell r="M67">
            <v>3.5</v>
          </cell>
          <cell r="N67">
            <v>167</v>
          </cell>
          <cell r="O67">
            <v>673</v>
          </cell>
          <cell r="P67">
            <v>4.0299401197604787</v>
          </cell>
        </row>
        <row r="68">
          <cell r="A68" t="str">
            <v>경영학부</v>
          </cell>
          <cell r="B68">
            <v>78</v>
          </cell>
          <cell r="C68">
            <v>243</v>
          </cell>
          <cell r="D68">
            <v>3.1153846153846154</v>
          </cell>
          <cell r="E68">
            <v>78</v>
          </cell>
          <cell r="F68">
            <v>262</v>
          </cell>
          <cell r="G68">
            <v>3.358974358974359</v>
          </cell>
          <cell r="H68">
            <v>3</v>
          </cell>
          <cell r="I68">
            <v>10</v>
          </cell>
          <cell r="J68">
            <v>3.3333333333333335</v>
          </cell>
          <cell r="K68">
            <v>3</v>
          </cell>
          <cell r="L68">
            <v>8</v>
          </cell>
          <cell r="M68">
            <v>2.6666666666666665</v>
          </cell>
          <cell r="N68">
            <v>162</v>
          </cell>
          <cell r="O68">
            <v>523</v>
          </cell>
          <cell r="P68">
            <v>3.2283950617283952</v>
          </cell>
        </row>
        <row r="69">
          <cell r="A69" t="str">
            <v>경제학부</v>
          </cell>
          <cell r="B69">
            <v>25</v>
          </cell>
          <cell r="C69">
            <v>80</v>
          </cell>
          <cell r="D69">
            <v>3.2</v>
          </cell>
          <cell r="E69">
            <v>25</v>
          </cell>
          <cell r="F69">
            <v>92</v>
          </cell>
          <cell r="G69">
            <v>3.68</v>
          </cell>
          <cell r="H69">
            <v>4</v>
          </cell>
          <cell r="I69">
            <v>9</v>
          </cell>
          <cell r="J69">
            <v>2.25</v>
          </cell>
          <cell r="K69">
            <v>2</v>
          </cell>
          <cell r="L69">
            <v>6</v>
          </cell>
          <cell r="M69">
            <v>3</v>
          </cell>
          <cell r="N69">
            <v>56</v>
          </cell>
          <cell r="O69">
            <v>187</v>
          </cell>
          <cell r="P69">
            <v>3.3392857142857144</v>
          </cell>
        </row>
        <row r="70">
          <cell r="A70" t="str">
            <v>무역학과</v>
          </cell>
          <cell r="B70">
            <v>41</v>
          </cell>
          <cell r="C70">
            <v>146</v>
          </cell>
          <cell r="D70">
            <v>3.5609756097560976</v>
          </cell>
          <cell r="E70">
            <v>40</v>
          </cell>
          <cell r="F70">
            <v>178</v>
          </cell>
          <cell r="G70">
            <v>4.45</v>
          </cell>
          <cell r="H70">
            <v>1</v>
          </cell>
          <cell r="I70">
            <v>5</v>
          </cell>
          <cell r="J70">
            <v>5</v>
          </cell>
          <cell r="K70">
            <v>3</v>
          </cell>
          <cell r="L70">
            <v>10</v>
          </cell>
          <cell r="M70">
            <v>3.3333333333333335</v>
          </cell>
          <cell r="N70">
            <v>85</v>
          </cell>
          <cell r="O70">
            <v>339</v>
          </cell>
          <cell r="P70">
            <v>3.9882352941176471</v>
          </cell>
        </row>
        <row r="71">
          <cell r="A71" t="str">
            <v>상과대학소계</v>
          </cell>
          <cell r="B71">
            <v>144</v>
          </cell>
          <cell r="C71">
            <v>469</v>
          </cell>
          <cell r="D71">
            <v>3.2569444444444446</v>
          </cell>
          <cell r="E71">
            <v>143</v>
          </cell>
          <cell r="F71">
            <v>532</v>
          </cell>
          <cell r="G71">
            <v>3.7202797202797204</v>
          </cell>
          <cell r="H71">
            <v>8</v>
          </cell>
          <cell r="I71">
            <v>24</v>
          </cell>
          <cell r="J71">
            <v>3</v>
          </cell>
          <cell r="K71">
            <v>8</v>
          </cell>
          <cell r="L71">
            <v>24</v>
          </cell>
          <cell r="M71">
            <v>3</v>
          </cell>
          <cell r="N71">
            <v>303</v>
          </cell>
          <cell r="O71">
            <v>1049</v>
          </cell>
          <cell r="P71">
            <v>3.4620462046204619</v>
          </cell>
        </row>
        <row r="72">
          <cell r="A72" t="str">
            <v>주거환경학과</v>
          </cell>
          <cell r="B72">
            <v>13</v>
          </cell>
          <cell r="C72">
            <v>83</v>
          </cell>
          <cell r="D72">
            <v>6.384615384615385</v>
          </cell>
          <cell r="E72">
            <v>13</v>
          </cell>
          <cell r="F72">
            <v>92</v>
          </cell>
          <cell r="G72">
            <v>7.0769230769230766</v>
          </cell>
          <cell r="H72">
            <v>2</v>
          </cell>
          <cell r="I72">
            <v>4</v>
          </cell>
          <cell r="J72">
            <v>2</v>
          </cell>
          <cell r="M72">
            <v>0</v>
          </cell>
          <cell r="N72">
            <v>28</v>
          </cell>
          <cell r="O72">
            <v>179</v>
          </cell>
          <cell r="P72">
            <v>6.3928571428571432</v>
          </cell>
        </row>
        <row r="73">
          <cell r="A73" t="str">
            <v>식품영양학과</v>
          </cell>
          <cell r="B73">
            <v>14</v>
          </cell>
          <cell r="C73">
            <v>39</v>
          </cell>
          <cell r="D73">
            <v>2.7857142857142856</v>
          </cell>
          <cell r="E73">
            <v>13</v>
          </cell>
          <cell r="F73">
            <v>49</v>
          </cell>
          <cell r="G73">
            <v>3.7692307692307692</v>
          </cell>
          <cell r="J73">
            <v>0</v>
          </cell>
          <cell r="M73">
            <v>0</v>
          </cell>
          <cell r="N73">
            <v>27</v>
          </cell>
          <cell r="O73">
            <v>88</v>
          </cell>
          <cell r="P73">
            <v>3.2592592592592591</v>
          </cell>
        </row>
        <row r="74">
          <cell r="A74" t="str">
            <v>의류학과</v>
          </cell>
          <cell r="B74">
            <v>12</v>
          </cell>
          <cell r="C74">
            <v>32</v>
          </cell>
          <cell r="D74">
            <v>2.6666666666666665</v>
          </cell>
          <cell r="E74">
            <v>12</v>
          </cell>
          <cell r="F74">
            <v>37</v>
          </cell>
          <cell r="G74">
            <v>3.0833333333333335</v>
          </cell>
          <cell r="H74">
            <v>1</v>
          </cell>
          <cell r="I74">
            <v>1</v>
          </cell>
          <cell r="J74">
            <v>1</v>
          </cell>
          <cell r="M74">
            <v>0</v>
          </cell>
          <cell r="N74">
            <v>25</v>
          </cell>
          <cell r="O74">
            <v>70</v>
          </cell>
          <cell r="P74">
            <v>2.8</v>
          </cell>
        </row>
        <row r="75">
          <cell r="A75" t="str">
            <v>아동학과</v>
          </cell>
          <cell r="B75">
            <v>7</v>
          </cell>
          <cell r="C75">
            <v>33</v>
          </cell>
          <cell r="D75">
            <v>4.7142857142857144</v>
          </cell>
          <cell r="E75">
            <v>6</v>
          </cell>
          <cell r="F75">
            <v>41</v>
          </cell>
          <cell r="G75">
            <v>6.833333333333333</v>
          </cell>
          <cell r="H75">
            <v>1</v>
          </cell>
          <cell r="I75">
            <v>1</v>
          </cell>
          <cell r="J75">
            <v>1</v>
          </cell>
          <cell r="M75">
            <v>0</v>
          </cell>
          <cell r="N75">
            <v>14</v>
          </cell>
          <cell r="O75">
            <v>75</v>
          </cell>
          <cell r="P75">
            <v>5.3571428571428568</v>
          </cell>
        </row>
        <row r="76">
          <cell r="A76" t="str">
            <v>생활과학대학소계</v>
          </cell>
          <cell r="B76">
            <v>46</v>
          </cell>
          <cell r="C76">
            <v>187</v>
          </cell>
          <cell r="D76">
            <v>4.0652173913043477</v>
          </cell>
          <cell r="E76">
            <v>44</v>
          </cell>
          <cell r="F76">
            <v>219</v>
          </cell>
          <cell r="G76">
            <v>4.9772727272727275</v>
          </cell>
          <cell r="H76">
            <v>4</v>
          </cell>
          <cell r="I76">
            <v>6</v>
          </cell>
          <cell r="J76">
            <v>1.5</v>
          </cell>
          <cell r="K76">
            <v>0</v>
          </cell>
          <cell r="L76">
            <v>0</v>
          </cell>
          <cell r="M76">
            <v>0</v>
          </cell>
          <cell r="N76">
            <v>94</v>
          </cell>
          <cell r="O76">
            <v>412</v>
          </cell>
          <cell r="P76">
            <v>4.3829787234042552</v>
          </cell>
        </row>
        <row r="77">
          <cell r="A77" t="str">
            <v>한국음악학과(성악.작곡.이론)</v>
          </cell>
          <cell r="D77">
            <v>0</v>
          </cell>
          <cell r="E77">
            <v>4</v>
          </cell>
          <cell r="F77">
            <v>13</v>
          </cell>
          <cell r="G77">
            <v>3.25</v>
          </cell>
          <cell r="J77">
            <v>0</v>
          </cell>
          <cell r="M77">
            <v>0</v>
          </cell>
          <cell r="N77">
            <v>4</v>
          </cell>
          <cell r="O77">
            <v>13</v>
          </cell>
          <cell r="P77">
            <v>3.25</v>
          </cell>
        </row>
        <row r="78">
          <cell r="A78" t="str">
            <v>한국음악학과(관악.현악.타악)</v>
          </cell>
          <cell r="D78">
            <v>0</v>
          </cell>
          <cell r="E78">
            <v>10</v>
          </cell>
          <cell r="F78">
            <v>24</v>
          </cell>
          <cell r="G78">
            <v>2.4</v>
          </cell>
          <cell r="J78">
            <v>0</v>
          </cell>
          <cell r="M78">
            <v>0</v>
          </cell>
          <cell r="N78">
            <v>10</v>
          </cell>
          <cell r="O78">
            <v>24</v>
          </cell>
          <cell r="P78">
            <v>2.4</v>
          </cell>
        </row>
        <row r="79">
          <cell r="A79" t="str">
            <v>미술학과(한국화)</v>
          </cell>
          <cell r="D79">
            <v>0</v>
          </cell>
          <cell r="E79">
            <v>6</v>
          </cell>
          <cell r="F79">
            <v>8</v>
          </cell>
          <cell r="G79">
            <v>1.3333333333333333</v>
          </cell>
          <cell r="J79">
            <v>0</v>
          </cell>
          <cell r="M79">
            <v>0</v>
          </cell>
          <cell r="N79">
            <v>6</v>
          </cell>
          <cell r="O79">
            <v>8</v>
          </cell>
          <cell r="P79">
            <v>1.3333333333333333</v>
          </cell>
        </row>
        <row r="80">
          <cell r="A80" t="str">
            <v>미술학과(서양화)</v>
          </cell>
          <cell r="D80">
            <v>0</v>
          </cell>
          <cell r="E80">
            <v>6</v>
          </cell>
          <cell r="F80">
            <v>16</v>
          </cell>
          <cell r="G80">
            <v>2.6666666666666665</v>
          </cell>
          <cell r="J80">
            <v>0</v>
          </cell>
          <cell r="M80">
            <v>0</v>
          </cell>
          <cell r="N80">
            <v>6</v>
          </cell>
          <cell r="O80">
            <v>16</v>
          </cell>
          <cell r="P80">
            <v>2.6666666666666665</v>
          </cell>
        </row>
        <row r="81">
          <cell r="A81" t="str">
            <v>미술학과(조소)</v>
          </cell>
          <cell r="D81">
            <v>0</v>
          </cell>
          <cell r="E81">
            <v>8</v>
          </cell>
          <cell r="F81">
            <v>12</v>
          </cell>
          <cell r="G81">
            <v>1.5</v>
          </cell>
          <cell r="J81">
            <v>0</v>
          </cell>
          <cell r="M81">
            <v>0</v>
          </cell>
          <cell r="N81">
            <v>8</v>
          </cell>
          <cell r="O81">
            <v>12</v>
          </cell>
          <cell r="P81">
            <v>1.5</v>
          </cell>
        </row>
        <row r="82">
          <cell r="A82" t="str">
            <v>미술학과(가구조형디자인)</v>
          </cell>
          <cell r="D82">
            <v>0</v>
          </cell>
          <cell r="E82">
            <v>6</v>
          </cell>
          <cell r="F82">
            <v>35</v>
          </cell>
          <cell r="G82">
            <v>5.833333333333333</v>
          </cell>
          <cell r="J82">
            <v>0</v>
          </cell>
          <cell r="M82">
            <v>0</v>
          </cell>
          <cell r="N82">
            <v>6</v>
          </cell>
          <cell r="O82">
            <v>35</v>
          </cell>
          <cell r="P82">
            <v>5.833333333333333</v>
          </cell>
        </row>
        <row r="83">
          <cell r="A83" t="str">
            <v>산업디자인과(디지털생활기기디자인)</v>
          </cell>
          <cell r="D83">
            <v>0</v>
          </cell>
          <cell r="E83">
            <v>12</v>
          </cell>
          <cell r="F83">
            <v>48</v>
          </cell>
          <cell r="G83">
            <v>4</v>
          </cell>
          <cell r="J83">
            <v>0</v>
          </cell>
          <cell r="M83">
            <v>0</v>
          </cell>
          <cell r="N83">
            <v>12</v>
          </cell>
          <cell r="O83">
            <v>48</v>
          </cell>
          <cell r="P83">
            <v>4</v>
          </cell>
        </row>
        <row r="84">
          <cell r="A84" t="str">
            <v>산업디자인과(디지털커뮤니케이션디자인)</v>
          </cell>
          <cell r="D84">
            <v>0</v>
          </cell>
          <cell r="E84">
            <v>13</v>
          </cell>
          <cell r="F84">
            <v>39</v>
          </cell>
          <cell r="G84">
            <v>3</v>
          </cell>
          <cell r="J84">
            <v>0</v>
          </cell>
          <cell r="M84">
            <v>0</v>
          </cell>
          <cell r="N84">
            <v>13</v>
          </cell>
          <cell r="O84">
            <v>39</v>
          </cell>
          <cell r="P84">
            <v>3</v>
          </cell>
        </row>
        <row r="85">
          <cell r="A85" t="str">
            <v>산업디자인과(디지털미디어디자인)</v>
          </cell>
          <cell r="D85">
            <v>0</v>
          </cell>
          <cell r="E85">
            <v>5</v>
          </cell>
          <cell r="F85">
            <v>16</v>
          </cell>
          <cell r="G85">
            <v>3.2</v>
          </cell>
          <cell r="J85">
            <v>0</v>
          </cell>
          <cell r="M85">
            <v>0</v>
          </cell>
          <cell r="N85">
            <v>5</v>
          </cell>
          <cell r="O85">
            <v>16</v>
          </cell>
          <cell r="P85">
            <v>3.2</v>
          </cell>
        </row>
        <row r="86">
          <cell r="A86" t="str">
            <v>무용학과</v>
          </cell>
          <cell r="D86">
            <v>0</v>
          </cell>
          <cell r="E86">
            <v>13</v>
          </cell>
          <cell r="F86">
            <v>10</v>
          </cell>
          <cell r="G86">
            <v>0.76923076923076927</v>
          </cell>
          <cell r="J86">
            <v>0</v>
          </cell>
          <cell r="M86">
            <v>0</v>
          </cell>
          <cell r="N86">
            <v>13</v>
          </cell>
          <cell r="O86">
            <v>10</v>
          </cell>
          <cell r="P86">
            <v>0.76923076923076927</v>
          </cell>
        </row>
        <row r="87">
          <cell r="A87" t="str">
            <v>음악과(관악)</v>
          </cell>
          <cell r="D87">
            <v>0</v>
          </cell>
          <cell r="E87">
            <v>5</v>
          </cell>
          <cell r="F87">
            <v>14</v>
          </cell>
          <cell r="G87">
            <v>2.8</v>
          </cell>
          <cell r="J87">
            <v>0</v>
          </cell>
          <cell r="M87">
            <v>0</v>
          </cell>
          <cell r="N87">
            <v>5</v>
          </cell>
          <cell r="O87">
            <v>14</v>
          </cell>
          <cell r="P87">
            <v>2.8</v>
          </cell>
        </row>
        <row r="88">
          <cell r="A88" t="str">
            <v>음악과(현악)</v>
          </cell>
          <cell r="D88">
            <v>0</v>
          </cell>
          <cell r="E88">
            <v>7</v>
          </cell>
          <cell r="F88">
            <v>25</v>
          </cell>
          <cell r="G88">
            <v>3.5714285714285716</v>
          </cell>
          <cell r="J88">
            <v>0</v>
          </cell>
          <cell r="M88">
            <v>0</v>
          </cell>
          <cell r="N88">
            <v>7</v>
          </cell>
          <cell r="O88">
            <v>25</v>
          </cell>
          <cell r="P88">
            <v>3.5714285714285716</v>
          </cell>
        </row>
        <row r="89">
          <cell r="A89" t="str">
            <v>음악과(작곡)</v>
          </cell>
          <cell r="D89">
            <v>0</v>
          </cell>
          <cell r="E89">
            <v>5</v>
          </cell>
          <cell r="F89">
            <v>3</v>
          </cell>
          <cell r="G89">
            <v>0.6</v>
          </cell>
          <cell r="J89">
            <v>0</v>
          </cell>
          <cell r="M89">
            <v>0</v>
          </cell>
          <cell r="N89">
            <v>5</v>
          </cell>
          <cell r="O89">
            <v>3</v>
          </cell>
          <cell r="P89">
            <v>0.6</v>
          </cell>
        </row>
        <row r="90">
          <cell r="A90" t="str">
            <v>음악과(성악)</v>
          </cell>
          <cell r="D90">
            <v>0</v>
          </cell>
          <cell r="E90">
            <v>11</v>
          </cell>
          <cell r="F90">
            <v>20</v>
          </cell>
          <cell r="G90">
            <v>1.8181818181818181</v>
          </cell>
          <cell r="J90">
            <v>0</v>
          </cell>
          <cell r="M90">
            <v>0</v>
          </cell>
          <cell r="N90">
            <v>11</v>
          </cell>
          <cell r="O90">
            <v>20</v>
          </cell>
          <cell r="P90">
            <v>1.8181818181818181</v>
          </cell>
        </row>
        <row r="91">
          <cell r="A91" t="str">
            <v>음악과(피아노)</v>
          </cell>
          <cell r="D91">
            <v>0</v>
          </cell>
          <cell r="E91">
            <v>10</v>
          </cell>
          <cell r="F91">
            <v>65</v>
          </cell>
          <cell r="G91">
            <v>6.5</v>
          </cell>
          <cell r="J91">
            <v>0</v>
          </cell>
          <cell r="M91">
            <v>0</v>
          </cell>
          <cell r="N91">
            <v>10</v>
          </cell>
          <cell r="O91">
            <v>65</v>
          </cell>
          <cell r="P91">
            <v>6.5</v>
          </cell>
        </row>
        <row r="92">
          <cell r="A92" t="str">
            <v>예술대학소계</v>
          </cell>
          <cell r="B92">
            <v>0</v>
          </cell>
          <cell r="C92">
            <v>0</v>
          </cell>
          <cell r="D92">
            <v>0</v>
          </cell>
          <cell r="E92">
            <v>121</v>
          </cell>
          <cell r="F92">
            <v>348</v>
          </cell>
          <cell r="G92">
            <v>2.8760330578512399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121</v>
          </cell>
          <cell r="O92">
            <v>348</v>
          </cell>
          <cell r="P92">
            <v>2.8760330578512399</v>
          </cell>
        </row>
        <row r="93">
          <cell r="A93" t="str">
            <v>국어국문학과</v>
          </cell>
          <cell r="B93">
            <v>15</v>
          </cell>
          <cell r="C93">
            <v>47</v>
          </cell>
          <cell r="D93">
            <v>3.1333333333333333</v>
          </cell>
          <cell r="E93">
            <v>14</v>
          </cell>
          <cell r="F93">
            <v>57</v>
          </cell>
          <cell r="G93">
            <v>4.0714285714285712</v>
          </cell>
          <cell r="J93">
            <v>0</v>
          </cell>
          <cell r="K93">
            <v>1</v>
          </cell>
          <cell r="L93">
            <v>4</v>
          </cell>
          <cell r="M93">
            <v>4</v>
          </cell>
          <cell r="N93">
            <v>30</v>
          </cell>
          <cell r="O93">
            <v>108</v>
          </cell>
          <cell r="P93">
            <v>3.6</v>
          </cell>
        </row>
        <row r="94">
          <cell r="A94" t="str">
            <v>독어독문학과</v>
          </cell>
          <cell r="B94">
            <v>12</v>
          </cell>
          <cell r="C94">
            <v>63</v>
          </cell>
          <cell r="D94">
            <v>5.25</v>
          </cell>
          <cell r="E94">
            <v>12</v>
          </cell>
          <cell r="F94">
            <v>62</v>
          </cell>
          <cell r="G94">
            <v>5.166666666666667</v>
          </cell>
          <cell r="J94">
            <v>0</v>
          </cell>
          <cell r="K94">
            <v>1</v>
          </cell>
          <cell r="L94">
            <v>3</v>
          </cell>
          <cell r="M94">
            <v>3</v>
          </cell>
          <cell r="N94">
            <v>25</v>
          </cell>
          <cell r="O94">
            <v>128</v>
          </cell>
          <cell r="P94">
            <v>5.12</v>
          </cell>
        </row>
        <row r="95">
          <cell r="A95" t="str">
            <v>불어불문학과</v>
          </cell>
          <cell r="B95">
            <v>15</v>
          </cell>
          <cell r="C95">
            <v>73</v>
          </cell>
          <cell r="D95">
            <v>4.8666666666666663</v>
          </cell>
          <cell r="E95">
            <v>16</v>
          </cell>
          <cell r="F95">
            <v>84</v>
          </cell>
          <cell r="G95">
            <v>5.25</v>
          </cell>
          <cell r="J95">
            <v>0</v>
          </cell>
          <cell r="K95">
            <v>3</v>
          </cell>
          <cell r="L95">
            <v>7</v>
          </cell>
          <cell r="M95">
            <v>2.3333333333333335</v>
          </cell>
          <cell r="N95">
            <v>34</v>
          </cell>
          <cell r="O95">
            <v>164</v>
          </cell>
          <cell r="P95">
            <v>4.8235294117647056</v>
          </cell>
        </row>
        <row r="96">
          <cell r="A96" t="str">
            <v>스페인.중남미어문학과</v>
          </cell>
          <cell r="B96">
            <v>13</v>
          </cell>
          <cell r="C96">
            <v>59</v>
          </cell>
          <cell r="D96">
            <v>4.5384615384615383</v>
          </cell>
          <cell r="E96">
            <v>13</v>
          </cell>
          <cell r="F96">
            <v>60</v>
          </cell>
          <cell r="G96">
            <v>4.615384615384615</v>
          </cell>
          <cell r="J96">
            <v>0</v>
          </cell>
          <cell r="K96">
            <v>2</v>
          </cell>
          <cell r="L96">
            <v>6</v>
          </cell>
          <cell r="M96">
            <v>3</v>
          </cell>
          <cell r="N96">
            <v>28</v>
          </cell>
          <cell r="O96">
            <v>125</v>
          </cell>
          <cell r="P96">
            <v>4.4642857142857144</v>
          </cell>
        </row>
        <row r="97">
          <cell r="A97" t="str">
            <v>영어영문학과</v>
          </cell>
          <cell r="B97">
            <v>17</v>
          </cell>
          <cell r="C97">
            <v>49</v>
          </cell>
          <cell r="D97">
            <v>2.8823529411764706</v>
          </cell>
          <cell r="E97">
            <v>16</v>
          </cell>
          <cell r="F97">
            <v>60</v>
          </cell>
          <cell r="G97">
            <v>3.75</v>
          </cell>
          <cell r="J97">
            <v>0</v>
          </cell>
          <cell r="K97">
            <v>1</v>
          </cell>
          <cell r="L97">
            <v>3</v>
          </cell>
          <cell r="M97">
            <v>3</v>
          </cell>
          <cell r="N97">
            <v>34</v>
          </cell>
          <cell r="O97">
            <v>112</v>
          </cell>
          <cell r="P97">
            <v>3.2941176470588234</v>
          </cell>
        </row>
        <row r="98">
          <cell r="A98" t="str">
            <v>일어일문학과</v>
          </cell>
          <cell r="B98">
            <v>16</v>
          </cell>
          <cell r="C98">
            <v>49</v>
          </cell>
          <cell r="D98">
            <v>3.0625</v>
          </cell>
          <cell r="E98">
            <v>15</v>
          </cell>
          <cell r="F98">
            <v>65</v>
          </cell>
          <cell r="G98">
            <v>4.333333333333333</v>
          </cell>
          <cell r="J98">
            <v>0</v>
          </cell>
          <cell r="K98">
            <v>1</v>
          </cell>
          <cell r="L98">
            <v>3</v>
          </cell>
          <cell r="M98">
            <v>3</v>
          </cell>
          <cell r="N98">
            <v>32</v>
          </cell>
          <cell r="O98">
            <v>117</v>
          </cell>
          <cell r="P98">
            <v>3.65625</v>
          </cell>
        </row>
        <row r="99">
          <cell r="A99" t="str">
            <v>중어중문학과</v>
          </cell>
          <cell r="B99">
            <v>15</v>
          </cell>
          <cell r="C99">
            <v>45</v>
          </cell>
          <cell r="D99">
            <v>3</v>
          </cell>
          <cell r="E99">
            <v>15</v>
          </cell>
          <cell r="F99">
            <v>56</v>
          </cell>
          <cell r="G99">
            <v>3.7333333333333334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30</v>
          </cell>
          <cell r="O99">
            <v>101</v>
          </cell>
          <cell r="P99">
            <v>3.3666666666666667</v>
          </cell>
        </row>
        <row r="100">
          <cell r="A100" t="str">
            <v>문헌정보학과</v>
          </cell>
          <cell r="B100">
            <v>14</v>
          </cell>
          <cell r="C100">
            <v>49</v>
          </cell>
          <cell r="D100">
            <v>3.5</v>
          </cell>
          <cell r="E100">
            <v>14</v>
          </cell>
          <cell r="F100">
            <v>58</v>
          </cell>
          <cell r="G100">
            <v>4.1428571428571432</v>
          </cell>
          <cell r="H100">
            <v>3</v>
          </cell>
          <cell r="I100">
            <v>5</v>
          </cell>
          <cell r="J100">
            <v>1.6666666666666667</v>
          </cell>
          <cell r="K100">
            <v>1</v>
          </cell>
          <cell r="L100">
            <v>4</v>
          </cell>
          <cell r="M100">
            <v>4</v>
          </cell>
          <cell r="N100">
            <v>32</v>
          </cell>
          <cell r="O100">
            <v>116</v>
          </cell>
          <cell r="P100">
            <v>3.625</v>
          </cell>
        </row>
        <row r="101">
          <cell r="A101" t="str">
            <v>고고문화인류학과</v>
          </cell>
          <cell r="B101">
            <v>8</v>
          </cell>
          <cell r="C101">
            <v>24</v>
          </cell>
          <cell r="D101">
            <v>3</v>
          </cell>
          <cell r="E101">
            <v>6</v>
          </cell>
          <cell r="F101">
            <v>30</v>
          </cell>
          <cell r="G101">
            <v>5</v>
          </cell>
          <cell r="J101">
            <v>0</v>
          </cell>
          <cell r="K101">
            <v>2</v>
          </cell>
          <cell r="L101">
            <v>6</v>
          </cell>
          <cell r="M101">
            <v>3</v>
          </cell>
          <cell r="N101">
            <v>16</v>
          </cell>
          <cell r="O101">
            <v>60</v>
          </cell>
          <cell r="P101">
            <v>3.75</v>
          </cell>
        </row>
        <row r="102">
          <cell r="A102" t="str">
            <v>사학과</v>
          </cell>
          <cell r="B102">
            <v>15</v>
          </cell>
          <cell r="C102">
            <v>73</v>
          </cell>
          <cell r="D102">
            <v>4.8666666666666663</v>
          </cell>
          <cell r="E102">
            <v>15</v>
          </cell>
          <cell r="F102">
            <v>78</v>
          </cell>
          <cell r="G102">
            <v>5.2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30</v>
          </cell>
          <cell r="O102">
            <v>151</v>
          </cell>
          <cell r="P102">
            <v>5.0333333333333332</v>
          </cell>
        </row>
        <row r="103">
          <cell r="A103" t="str">
            <v>철학과</v>
          </cell>
          <cell r="B103">
            <v>11</v>
          </cell>
          <cell r="C103">
            <v>39</v>
          </cell>
          <cell r="D103">
            <v>3.5454545454545454</v>
          </cell>
          <cell r="E103">
            <v>11</v>
          </cell>
          <cell r="F103">
            <v>52</v>
          </cell>
          <cell r="G103">
            <v>4.7272727272727275</v>
          </cell>
          <cell r="J103">
            <v>0</v>
          </cell>
          <cell r="K103">
            <v>1</v>
          </cell>
          <cell r="L103">
            <v>3</v>
          </cell>
          <cell r="M103">
            <v>3</v>
          </cell>
          <cell r="N103">
            <v>23</v>
          </cell>
          <cell r="O103">
            <v>94</v>
          </cell>
          <cell r="P103">
            <v>4.0869565217391308</v>
          </cell>
        </row>
        <row r="104">
          <cell r="A104" t="str">
            <v>인문대학소계</v>
          </cell>
          <cell r="B104">
            <v>151</v>
          </cell>
          <cell r="C104">
            <v>570</v>
          </cell>
          <cell r="D104">
            <v>3.7748344370860929</v>
          </cell>
          <cell r="E104">
            <v>147</v>
          </cell>
          <cell r="F104">
            <v>662</v>
          </cell>
          <cell r="G104">
            <v>4.5034013605442178</v>
          </cell>
          <cell r="H104">
            <v>3</v>
          </cell>
          <cell r="I104">
            <v>5</v>
          </cell>
          <cell r="J104">
            <v>1.6666666666666667</v>
          </cell>
          <cell r="K104">
            <v>13</v>
          </cell>
          <cell r="L104">
            <v>39</v>
          </cell>
          <cell r="M104">
            <v>3</v>
          </cell>
          <cell r="N104">
            <v>314</v>
          </cell>
          <cell r="O104">
            <v>1276</v>
          </cell>
          <cell r="P104">
            <v>4.063694267515924</v>
          </cell>
        </row>
        <row r="105">
          <cell r="A105" t="str">
            <v>생물과학부</v>
          </cell>
          <cell r="B105">
            <v>31</v>
          </cell>
          <cell r="C105">
            <v>73</v>
          </cell>
          <cell r="D105">
            <v>2.3548387096774195</v>
          </cell>
          <cell r="E105">
            <v>30</v>
          </cell>
          <cell r="F105">
            <v>81</v>
          </cell>
          <cell r="G105">
            <v>2.7</v>
          </cell>
          <cell r="H105">
            <v>3</v>
          </cell>
          <cell r="J105">
            <v>0</v>
          </cell>
          <cell r="K105">
            <v>1</v>
          </cell>
          <cell r="L105">
            <v>1</v>
          </cell>
          <cell r="M105">
            <v>1</v>
          </cell>
          <cell r="N105">
            <v>65</v>
          </cell>
          <cell r="O105">
            <v>155</v>
          </cell>
          <cell r="P105">
            <v>2.3846153846153846</v>
          </cell>
        </row>
        <row r="106">
          <cell r="A106" t="str">
            <v>과학학과</v>
          </cell>
          <cell r="B106">
            <v>11</v>
          </cell>
          <cell r="C106">
            <v>34</v>
          </cell>
          <cell r="D106">
            <v>3.0909090909090908</v>
          </cell>
          <cell r="E106">
            <v>9</v>
          </cell>
          <cell r="F106">
            <v>33</v>
          </cell>
          <cell r="G106">
            <v>3.6666666666666665</v>
          </cell>
          <cell r="J106">
            <v>0</v>
          </cell>
          <cell r="M106">
            <v>0</v>
          </cell>
          <cell r="N106">
            <v>20</v>
          </cell>
          <cell r="O106">
            <v>67</v>
          </cell>
          <cell r="P106">
            <v>3.35</v>
          </cell>
        </row>
        <row r="107">
          <cell r="A107" t="str">
            <v>반도체과학기술학과</v>
          </cell>
          <cell r="B107">
            <v>17</v>
          </cell>
          <cell r="C107">
            <v>51</v>
          </cell>
          <cell r="D107">
            <v>3</v>
          </cell>
          <cell r="E107">
            <v>18</v>
          </cell>
          <cell r="F107">
            <v>48</v>
          </cell>
          <cell r="G107">
            <v>2.6666666666666665</v>
          </cell>
          <cell r="H107">
            <v>2</v>
          </cell>
          <cell r="I107">
            <v>1</v>
          </cell>
          <cell r="J107">
            <v>0.5</v>
          </cell>
          <cell r="K107">
            <v>1</v>
          </cell>
          <cell r="L107">
            <v>1</v>
          </cell>
          <cell r="M107">
            <v>1</v>
          </cell>
          <cell r="N107">
            <v>38</v>
          </cell>
          <cell r="O107">
            <v>101</v>
          </cell>
          <cell r="P107">
            <v>2.6578947368421053</v>
          </cell>
        </row>
        <row r="108">
          <cell r="A108" t="str">
            <v>수의예과</v>
          </cell>
          <cell r="B108">
            <v>19</v>
          </cell>
          <cell r="C108">
            <v>44</v>
          </cell>
          <cell r="D108">
            <v>2.3157894736842106</v>
          </cell>
          <cell r="E108">
            <v>20</v>
          </cell>
          <cell r="F108">
            <v>56</v>
          </cell>
          <cell r="G108">
            <v>2.8</v>
          </cell>
          <cell r="J108">
            <v>0</v>
          </cell>
          <cell r="M108">
            <v>0</v>
          </cell>
          <cell r="N108">
            <v>39</v>
          </cell>
          <cell r="O108">
            <v>100</v>
          </cell>
          <cell r="P108">
            <v>2.5641025641025643</v>
          </cell>
        </row>
        <row r="109">
          <cell r="A109" t="str">
            <v>스포츠과학과</v>
          </cell>
          <cell r="D109">
            <v>0</v>
          </cell>
          <cell r="E109">
            <v>13</v>
          </cell>
          <cell r="F109">
            <v>72</v>
          </cell>
          <cell r="G109">
            <v>5.5384615384615383</v>
          </cell>
          <cell r="H109">
            <v>1</v>
          </cell>
          <cell r="I109">
            <v>1</v>
          </cell>
          <cell r="J109">
            <v>1</v>
          </cell>
          <cell r="M109">
            <v>0</v>
          </cell>
          <cell r="N109">
            <v>14</v>
          </cell>
          <cell r="O109">
            <v>73</v>
          </cell>
          <cell r="P109">
            <v>5.2142857142857144</v>
          </cell>
        </row>
        <row r="110">
          <cell r="A110" t="str">
            <v>물리학과</v>
          </cell>
          <cell r="B110">
            <v>19</v>
          </cell>
          <cell r="C110">
            <v>42</v>
          </cell>
          <cell r="D110">
            <v>2.2105263157894739</v>
          </cell>
          <cell r="E110">
            <v>18</v>
          </cell>
          <cell r="F110">
            <v>41</v>
          </cell>
          <cell r="G110">
            <v>2.2777777777777777</v>
          </cell>
          <cell r="J110">
            <v>0</v>
          </cell>
          <cell r="M110">
            <v>0</v>
          </cell>
          <cell r="N110">
            <v>37</v>
          </cell>
          <cell r="O110">
            <v>83</v>
          </cell>
          <cell r="P110">
            <v>2.2432432432432434</v>
          </cell>
        </row>
        <row r="111">
          <cell r="A111" t="str">
            <v>지구환경과학과</v>
          </cell>
          <cell r="B111">
            <v>14</v>
          </cell>
          <cell r="C111">
            <v>28</v>
          </cell>
          <cell r="D111">
            <v>2</v>
          </cell>
          <cell r="E111">
            <v>14</v>
          </cell>
          <cell r="F111">
            <v>39</v>
          </cell>
          <cell r="G111">
            <v>2.7857142857142856</v>
          </cell>
          <cell r="J111">
            <v>0</v>
          </cell>
          <cell r="M111">
            <v>0</v>
          </cell>
          <cell r="N111">
            <v>28</v>
          </cell>
          <cell r="O111">
            <v>67</v>
          </cell>
          <cell r="P111">
            <v>2.3928571428571428</v>
          </cell>
        </row>
        <row r="112">
          <cell r="A112" t="str">
            <v>화학과</v>
          </cell>
          <cell r="B112">
            <v>26</v>
          </cell>
          <cell r="C112">
            <v>79</v>
          </cell>
          <cell r="D112">
            <v>3.0384615384615383</v>
          </cell>
          <cell r="E112">
            <v>25</v>
          </cell>
          <cell r="F112">
            <v>88</v>
          </cell>
          <cell r="G112">
            <v>3.52</v>
          </cell>
          <cell r="J112">
            <v>0</v>
          </cell>
          <cell r="K112">
            <v>1</v>
          </cell>
          <cell r="L112">
            <v>3</v>
          </cell>
          <cell r="M112">
            <v>3</v>
          </cell>
          <cell r="N112">
            <v>52</v>
          </cell>
          <cell r="O112">
            <v>170</v>
          </cell>
          <cell r="P112">
            <v>3.2692307692307692</v>
          </cell>
        </row>
        <row r="113">
          <cell r="A113" t="str">
            <v>수학과</v>
          </cell>
          <cell r="B113">
            <v>14</v>
          </cell>
          <cell r="C113">
            <v>29</v>
          </cell>
          <cell r="D113">
            <v>2.0714285714285716</v>
          </cell>
          <cell r="E113">
            <v>15</v>
          </cell>
          <cell r="F113">
            <v>32</v>
          </cell>
          <cell r="G113">
            <v>2.1333333333333333</v>
          </cell>
          <cell r="J113">
            <v>0</v>
          </cell>
          <cell r="K113">
            <v>1</v>
          </cell>
          <cell r="L113">
            <v>1</v>
          </cell>
          <cell r="M113">
            <v>1</v>
          </cell>
          <cell r="N113">
            <v>30</v>
          </cell>
          <cell r="O113">
            <v>62</v>
          </cell>
          <cell r="P113">
            <v>2.0666666666666669</v>
          </cell>
        </row>
        <row r="114">
          <cell r="A114" t="str">
            <v>통계정보과학과</v>
          </cell>
          <cell r="B114">
            <v>15</v>
          </cell>
          <cell r="C114">
            <v>34</v>
          </cell>
          <cell r="D114">
            <v>2.2666666666666666</v>
          </cell>
          <cell r="E114">
            <v>15</v>
          </cell>
          <cell r="F114">
            <v>37</v>
          </cell>
          <cell r="G114">
            <v>2.4666666666666668</v>
          </cell>
          <cell r="J114">
            <v>0</v>
          </cell>
          <cell r="K114">
            <v>2</v>
          </cell>
          <cell r="L114">
            <v>3</v>
          </cell>
          <cell r="M114">
            <v>1.5</v>
          </cell>
          <cell r="N114">
            <v>32</v>
          </cell>
          <cell r="O114">
            <v>74</v>
          </cell>
          <cell r="P114">
            <v>2.3125</v>
          </cell>
        </row>
        <row r="115">
          <cell r="A115" t="str">
            <v>자연과학대학소계</v>
          </cell>
          <cell r="B115">
            <v>166</v>
          </cell>
          <cell r="C115">
            <v>414</v>
          </cell>
          <cell r="D115">
            <v>2.4939759036144578</v>
          </cell>
          <cell r="E115">
            <v>177</v>
          </cell>
          <cell r="F115">
            <v>527</v>
          </cell>
          <cell r="G115">
            <v>2.977401129943503</v>
          </cell>
          <cell r="H115">
            <v>6</v>
          </cell>
          <cell r="I115">
            <v>2</v>
          </cell>
          <cell r="J115">
            <v>0.33333333333333331</v>
          </cell>
          <cell r="K115">
            <v>6</v>
          </cell>
          <cell r="L115">
            <v>9</v>
          </cell>
          <cell r="M115">
            <v>1.5</v>
          </cell>
          <cell r="N115">
            <v>355</v>
          </cell>
          <cell r="O115">
            <v>952</v>
          </cell>
          <cell r="P115">
            <v>2.6816901408450704</v>
          </cell>
        </row>
        <row r="116">
          <cell r="A116" t="str">
            <v>생명공학부</v>
          </cell>
          <cell r="B116">
            <v>34</v>
          </cell>
          <cell r="C116">
            <v>77</v>
          </cell>
          <cell r="D116">
            <v>2.2647058823529411</v>
          </cell>
          <cell r="E116">
            <v>35</v>
          </cell>
          <cell r="F116">
            <v>101</v>
          </cell>
          <cell r="G116">
            <v>2.8857142857142857</v>
          </cell>
          <cell r="H116">
            <v>2</v>
          </cell>
          <cell r="J116">
            <v>0</v>
          </cell>
          <cell r="K116">
            <v>2</v>
          </cell>
          <cell r="L116">
            <v>4</v>
          </cell>
          <cell r="M116">
            <v>2</v>
          </cell>
          <cell r="N116">
            <v>73</v>
          </cell>
          <cell r="O116">
            <v>182</v>
          </cell>
          <cell r="P116">
            <v>2.493150684931507</v>
          </cell>
        </row>
        <row r="117">
          <cell r="A117" t="str">
            <v>생명자원유통경제학과</v>
          </cell>
          <cell r="B117">
            <v>11</v>
          </cell>
          <cell r="C117">
            <v>37</v>
          </cell>
          <cell r="D117">
            <v>3.3636363636363638</v>
          </cell>
          <cell r="E117">
            <v>12</v>
          </cell>
          <cell r="F117">
            <v>71</v>
          </cell>
          <cell r="G117">
            <v>5.916666666666667</v>
          </cell>
          <cell r="H117">
            <v>2</v>
          </cell>
          <cell r="J117">
            <v>0</v>
          </cell>
          <cell r="K117">
            <v>1</v>
          </cell>
          <cell r="L117">
            <v>3</v>
          </cell>
          <cell r="M117">
            <v>3</v>
          </cell>
          <cell r="N117">
            <v>26</v>
          </cell>
          <cell r="O117">
            <v>111</v>
          </cell>
          <cell r="P117">
            <v>4.2692307692307692</v>
          </cell>
        </row>
        <row r="118">
          <cell r="A118" t="str">
            <v>바이오식품공학과</v>
          </cell>
          <cell r="B118">
            <v>20</v>
          </cell>
          <cell r="C118">
            <v>41</v>
          </cell>
          <cell r="D118">
            <v>2.0499999999999998</v>
          </cell>
          <cell r="E118">
            <v>20</v>
          </cell>
          <cell r="F118">
            <v>50</v>
          </cell>
          <cell r="G118">
            <v>2.5</v>
          </cell>
          <cell r="H118">
            <v>1</v>
          </cell>
          <cell r="J118">
            <v>0</v>
          </cell>
          <cell r="K118">
            <v>1</v>
          </cell>
          <cell r="L118">
            <v>1</v>
          </cell>
          <cell r="M118">
            <v>1</v>
          </cell>
          <cell r="N118">
            <v>42</v>
          </cell>
          <cell r="O118">
            <v>92</v>
          </cell>
          <cell r="P118">
            <v>2.1904761904761907</v>
          </cell>
        </row>
        <row r="119">
          <cell r="A119" t="str">
            <v>한약자원학과</v>
          </cell>
          <cell r="B119">
            <v>12</v>
          </cell>
          <cell r="C119">
            <v>43</v>
          </cell>
          <cell r="D119">
            <v>3.5833333333333335</v>
          </cell>
          <cell r="E119">
            <v>11</v>
          </cell>
          <cell r="F119">
            <v>54</v>
          </cell>
          <cell r="G119">
            <v>4.9090909090909092</v>
          </cell>
          <cell r="H119">
            <v>1</v>
          </cell>
          <cell r="J119">
            <v>0</v>
          </cell>
          <cell r="M119">
            <v>0</v>
          </cell>
          <cell r="N119">
            <v>24</v>
          </cell>
          <cell r="O119">
            <v>97</v>
          </cell>
          <cell r="P119">
            <v>4.041666666666667</v>
          </cell>
        </row>
        <row r="120">
          <cell r="A120" t="str">
            <v>환경조경디자인학과</v>
          </cell>
          <cell r="B120">
            <v>14</v>
          </cell>
          <cell r="C120">
            <v>59</v>
          </cell>
          <cell r="D120">
            <v>4.2142857142857144</v>
          </cell>
          <cell r="E120">
            <v>15</v>
          </cell>
          <cell r="F120">
            <v>67</v>
          </cell>
          <cell r="G120">
            <v>4.4666666666666668</v>
          </cell>
          <cell r="H120">
            <v>1</v>
          </cell>
          <cell r="J120">
            <v>0</v>
          </cell>
          <cell r="K120">
            <v>2</v>
          </cell>
          <cell r="L120">
            <v>5</v>
          </cell>
          <cell r="M120">
            <v>2.5</v>
          </cell>
          <cell r="N120">
            <v>32</v>
          </cell>
          <cell r="O120">
            <v>131</v>
          </cell>
          <cell r="P120">
            <v>4.09375</v>
          </cell>
        </row>
        <row r="121">
          <cell r="A121" t="str">
            <v>환경생명자원대학소계</v>
          </cell>
          <cell r="B121">
            <v>91</v>
          </cell>
          <cell r="C121">
            <v>257</v>
          </cell>
          <cell r="D121">
            <v>2.8241758241758244</v>
          </cell>
          <cell r="E121">
            <v>93</v>
          </cell>
          <cell r="F121">
            <v>343</v>
          </cell>
          <cell r="G121">
            <v>3.6881720430107525</v>
          </cell>
          <cell r="H121">
            <v>7</v>
          </cell>
          <cell r="I121">
            <v>0</v>
          </cell>
          <cell r="J121">
            <v>0</v>
          </cell>
          <cell r="K121">
            <v>6</v>
          </cell>
          <cell r="L121">
            <v>13</v>
          </cell>
          <cell r="M121">
            <v>2.1666666666666665</v>
          </cell>
          <cell r="N121">
            <v>197</v>
          </cell>
          <cell r="O121">
            <v>613</v>
          </cell>
          <cell r="P121">
            <v>3.1116751269035534</v>
          </cell>
        </row>
        <row r="122">
          <cell r="A122" t="str">
            <v>총계</v>
          </cell>
          <cell r="B122">
            <v>1497</v>
          </cell>
          <cell r="C122">
            <v>4900</v>
          </cell>
          <cell r="D122">
            <v>3.2732130928523713</v>
          </cell>
          <cell r="E122">
            <v>1574</v>
          </cell>
          <cell r="F122">
            <v>5890</v>
          </cell>
          <cell r="G122">
            <v>3.7420584498094027</v>
          </cell>
          <cell r="H122">
            <v>87</v>
          </cell>
          <cell r="I122">
            <v>110</v>
          </cell>
          <cell r="J122">
            <v>1.264367816091954</v>
          </cell>
          <cell r="K122">
            <v>67</v>
          </cell>
          <cell r="L122">
            <v>186</v>
          </cell>
          <cell r="M122">
            <v>2.7761194029850746</v>
          </cell>
          <cell r="N122">
            <v>3225</v>
          </cell>
          <cell r="O122">
            <v>11086</v>
          </cell>
          <cell r="P122">
            <v>3.4375193798449613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갑석"/>
      <sheetName val="2018학년도 최저학력기준 권장(제공)"/>
      <sheetName val="2018학년도 최저학력기준 권장(원안)"/>
      <sheetName val="최저학력기준"/>
    </sheetNames>
    <sheetDataSet>
      <sheetData sheetId="0"/>
      <sheetData sheetId="1"/>
      <sheetData sheetId="2"/>
      <sheetData sheetId="3">
        <row r="8">
          <cell r="A8" t="str">
            <v>공공인재학부</v>
          </cell>
          <cell r="B8" t="str">
            <v>인문</v>
          </cell>
          <cell r="C8">
            <v>8</v>
          </cell>
          <cell r="D8">
            <v>8</v>
          </cell>
        </row>
        <row r="9">
          <cell r="A9" t="str">
            <v>지미카터국제학부</v>
          </cell>
          <cell r="B9" t="str">
            <v>인문</v>
          </cell>
          <cell r="C9">
            <v>9</v>
          </cell>
          <cell r="D9">
            <v>9</v>
          </cell>
        </row>
        <row r="10">
          <cell r="A10" t="str">
            <v>본부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간호학과</v>
          </cell>
          <cell r="B11" t="str">
            <v>자연</v>
          </cell>
          <cell r="C11">
            <v>0</v>
          </cell>
          <cell r="D11">
            <v>9</v>
          </cell>
        </row>
        <row r="12">
          <cell r="A12" t="str">
            <v>간호대학</v>
          </cell>
          <cell r="B12">
            <v>0</v>
          </cell>
          <cell r="C12">
            <v>0</v>
          </cell>
          <cell r="D12">
            <v>0</v>
          </cell>
        </row>
        <row r="13">
          <cell r="A13" t="str">
            <v>건축공학과</v>
          </cell>
          <cell r="B13" t="str">
            <v>자연</v>
          </cell>
          <cell r="C13">
            <v>13</v>
          </cell>
          <cell r="D13">
            <v>13</v>
          </cell>
        </row>
        <row r="14">
          <cell r="A14" t="str">
            <v>고분자.나노공학과</v>
          </cell>
          <cell r="B14" t="str">
            <v>자연</v>
          </cell>
          <cell r="C14">
            <v>12</v>
          </cell>
          <cell r="D14" t="str">
            <v>12(11)</v>
          </cell>
        </row>
        <row r="15">
          <cell r="A15" t="str">
            <v>기계공학과</v>
          </cell>
          <cell r="B15" t="str">
            <v>자연</v>
          </cell>
          <cell r="C15">
            <v>11</v>
          </cell>
          <cell r="D15">
            <v>11</v>
          </cell>
        </row>
        <row r="16">
          <cell r="A16" t="str">
            <v xml:space="preserve">기계설계공학부 </v>
          </cell>
          <cell r="B16" t="str">
            <v>자연</v>
          </cell>
          <cell r="C16">
            <v>0</v>
          </cell>
          <cell r="D16">
            <v>0</v>
          </cell>
        </row>
        <row r="17">
          <cell r="A17" t="str">
            <v>기계설계공학부(기계설계공학)</v>
          </cell>
          <cell r="B17">
            <v>0</v>
          </cell>
          <cell r="C17">
            <v>12</v>
          </cell>
          <cell r="D17">
            <v>12</v>
          </cell>
        </row>
        <row r="18">
          <cell r="A18" t="str">
            <v>기계설계공학부(나노바이오기계시스템공학)</v>
          </cell>
          <cell r="B18">
            <v>0</v>
          </cell>
          <cell r="C18">
            <v>12</v>
          </cell>
          <cell r="D18">
            <v>12</v>
          </cell>
        </row>
        <row r="19">
          <cell r="A19" t="str">
            <v>기계시스템공학부</v>
          </cell>
          <cell r="B19" t="str">
            <v>자연</v>
          </cell>
          <cell r="C19">
            <v>12</v>
          </cell>
          <cell r="D19">
            <v>12</v>
          </cell>
        </row>
        <row r="20">
          <cell r="A20" t="str">
            <v>도시공학과</v>
          </cell>
          <cell r="B20" t="str">
            <v>자연</v>
          </cell>
          <cell r="C20">
            <v>13</v>
          </cell>
          <cell r="D20">
            <v>13</v>
          </cell>
        </row>
        <row r="21">
          <cell r="A21" t="str">
            <v>바이오메디컬공학부</v>
          </cell>
          <cell r="B21" t="str">
            <v>자연</v>
          </cell>
          <cell r="C21">
            <v>13</v>
          </cell>
          <cell r="D21">
            <v>12</v>
          </cell>
        </row>
        <row r="22">
          <cell r="A22" t="str">
            <v>산업정보시스템공학과</v>
          </cell>
          <cell r="B22" t="str">
            <v>자연</v>
          </cell>
          <cell r="C22">
            <v>13</v>
          </cell>
          <cell r="D22">
            <v>12</v>
          </cell>
        </row>
        <row r="23">
          <cell r="A23" t="str">
            <v>소프트웨어공학과</v>
          </cell>
          <cell r="B23" t="str">
            <v>자연</v>
          </cell>
          <cell r="C23" t="str">
            <v>11(10)</v>
          </cell>
          <cell r="D23" t="str">
            <v>11(9)</v>
          </cell>
        </row>
        <row r="24">
          <cell r="A24" t="str">
            <v xml:space="preserve">신소재공학부       </v>
          </cell>
          <cell r="B24" t="str">
            <v>자연</v>
          </cell>
          <cell r="C24">
            <v>0</v>
          </cell>
          <cell r="D24">
            <v>0</v>
          </cell>
        </row>
        <row r="25">
          <cell r="A25" t="str">
            <v>신소재공학부(금속시스템공학)</v>
          </cell>
          <cell r="B25">
            <v>0</v>
          </cell>
          <cell r="C25">
            <v>12</v>
          </cell>
          <cell r="D25">
            <v>12</v>
          </cell>
        </row>
        <row r="26">
          <cell r="A26" t="str">
            <v>신소재공학부(전자재료공학)</v>
          </cell>
          <cell r="B26">
            <v>0</v>
          </cell>
          <cell r="C26">
            <v>13</v>
          </cell>
          <cell r="D26">
            <v>12</v>
          </cell>
        </row>
        <row r="27">
          <cell r="A27" t="str">
            <v>신소재공학부(정보소재공학)</v>
          </cell>
          <cell r="B27">
            <v>0</v>
          </cell>
          <cell r="C27">
            <v>12</v>
          </cell>
          <cell r="D27">
            <v>12</v>
          </cell>
        </row>
        <row r="28">
          <cell r="A28" t="str">
            <v>양자시스템공학과</v>
          </cell>
          <cell r="B28" t="str">
            <v>자연</v>
          </cell>
          <cell r="C28">
            <v>0</v>
          </cell>
          <cell r="D28">
            <v>0</v>
          </cell>
        </row>
        <row r="29">
          <cell r="A29" t="str">
            <v>유기소재파이버공학과</v>
          </cell>
          <cell r="B29" t="str">
            <v>자연</v>
          </cell>
          <cell r="C29">
            <v>13</v>
          </cell>
          <cell r="D29">
            <v>12</v>
          </cell>
        </row>
        <row r="30">
          <cell r="A30" t="str">
            <v>융합기술공학과</v>
          </cell>
          <cell r="B30" t="str">
            <v>자연</v>
          </cell>
          <cell r="C30">
            <v>13</v>
          </cell>
          <cell r="D30">
            <v>13</v>
          </cell>
        </row>
        <row r="31">
          <cell r="A31" t="str">
            <v>자원.에너지공학과</v>
          </cell>
          <cell r="B31" t="str">
            <v>자연</v>
          </cell>
          <cell r="C31">
            <v>14</v>
          </cell>
          <cell r="D31">
            <v>13</v>
          </cell>
        </row>
        <row r="32">
          <cell r="A32" t="str">
            <v>전기공학과</v>
          </cell>
          <cell r="B32" t="str">
            <v>자연</v>
          </cell>
          <cell r="C32">
            <v>12</v>
          </cell>
          <cell r="D32">
            <v>12</v>
          </cell>
        </row>
        <row r="33">
          <cell r="A33" t="str">
            <v>전자공학부</v>
          </cell>
          <cell r="B33" t="str">
            <v>자연</v>
          </cell>
          <cell r="C33">
            <v>13</v>
          </cell>
          <cell r="D33">
            <v>12</v>
          </cell>
        </row>
        <row r="34">
          <cell r="A34" t="str">
            <v>컴퓨터공학부</v>
          </cell>
          <cell r="B34" t="str">
            <v>자연</v>
          </cell>
          <cell r="C34">
            <v>13</v>
          </cell>
          <cell r="D34" t="str">
            <v>12(11)</v>
          </cell>
        </row>
        <row r="35">
          <cell r="A35" t="str">
            <v>토목공학과</v>
          </cell>
          <cell r="B35" t="str">
            <v>자연</v>
          </cell>
          <cell r="C35">
            <v>12</v>
          </cell>
          <cell r="D35">
            <v>12</v>
          </cell>
        </row>
        <row r="36">
          <cell r="A36" t="str">
            <v>항공우주공학과</v>
          </cell>
          <cell r="B36" t="str">
            <v>자연</v>
          </cell>
          <cell r="C36">
            <v>12</v>
          </cell>
          <cell r="D36">
            <v>12</v>
          </cell>
        </row>
        <row r="37">
          <cell r="A37" t="str">
            <v>화학공학부</v>
          </cell>
          <cell r="B37" t="str">
            <v>자연</v>
          </cell>
          <cell r="C37">
            <v>12</v>
          </cell>
          <cell r="D37">
            <v>11</v>
          </cell>
        </row>
        <row r="38">
          <cell r="A38" t="str">
            <v>환경공학과</v>
          </cell>
          <cell r="B38" t="str">
            <v>자연</v>
          </cell>
          <cell r="C38">
            <v>13</v>
          </cell>
          <cell r="D38">
            <v>13</v>
          </cell>
        </row>
        <row r="39">
          <cell r="A39" t="str">
            <v>IT응용시스템공학과</v>
          </cell>
          <cell r="B39" t="str">
            <v>자연</v>
          </cell>
          <cell r="C39">
            <v>14</v>
          </cell>
          <cell r="D39">
            <v>13</v>
          </cell>
        </row>
        <row r="40">
          <cell r="A40" t="str">
            <v>IT정보공학과</v>
          </cell>
          <cell r="B40" t="str">
            <v>자연</v>
          </cell>
          <cell r="C40" t="str">
            <v>13(11)</v>
          </cell>
          <cell r="D40" t="str">
            <v>12(10)</v>
          </cell>
        </row>
        <row r="41">
          <cell r="A41" t="str">
            <v>공과대학</v>
          </cell>
          <cell r="B41">
            <v>0</v>
          </cell>
          <cell r="C41">
            <v>0</v>
          </cell>
          <cell r="D41">
            <v>0</v>
          </cell>
        </row>
        <row r="42">
          <cell r="A42" t="str">
            <v>농업경제학과</v>
          </cell>
          <cell r="B42" t="str">
            <v>인문</v>
          </cell>
          <cell r="C42">
            <v>11</v>
          </cell>
          <cell r="D42">
            <v>10</v>
          </cell>
        </row>
        <row r="43">
          <cell r="A43" t="str">
            <v>농생물학과</v>
          </cell>
          <cell r="B43" t="str">
            <v>자연</v>
          </cell>
          <cell r="C43">
            <v>13</v>
          </cell>
          <cell r="D43">
            <v>13</v>
          </cell>
        </row>
        <row r="44">
          <cell r="A44" t="str">
            <v>동물생명공학과</v>
          </cell>
          <cell r="B44" t="str">
            <v>자연</v>
          </cell>
          <cell r="C44" t="str">
            <v>미적용</v>
          </cell>
          <cell r="D44" t="str">
            <v>미적용</v>
          </cell>
        </row>
        <row r="45">
          <cell r="A45" t="str">
            <v>동물자원과학과</v>
          </cell>
          <cell r="B45" t="str">
            <v>자연</v>
          </cell>
          <cell r="C45">
            <v>13</v>
          </cell>
          <cell r="D45">
            <v>13</v>
          </cell>
        </row>
        <row r="46">
          <cell r="A46" t="str">
            <v>목재응용과학과</v>
          </cell>
          <cell r="B46" t="str">
            <v>자연</v>
          </cell>
          <cell r="C46" t="str">
            <v>미적용</v>
          </cell>
          <cell r="D46">
            <v>13</v>
          </cell>
        </row>
        <row r="47">
          <cell r="A47" t="str">
            <v>산림환경과학과</v>
          </cell>
          <cell r="B47" t="str">
            <v>자연</v>
          </cell>
          <cell r="C47">
            <v>12</v>
          </cell>
          <cell r="D47">
            <v>12</v>
          </cell>
        </row>
        <row r="48">
          <cell r="A48" t="str">
            <v>생명자원융합학과</v>
          </cell>
          <cell r="B48" t="str">
            <v>자연</v>
          </cell>
          <cell r="C48">
            <v>0</v>
          </cell>
          <cell r="D48">
            <v>0</v>
          </cell>
        </row>
        <row r="49">
          <cell r="A49" t="str">
            <v>생물산업기계공학과</v>
          </cell>
          <cell r="B49" t="str">
            <v>자연</v>
          </cell>
          <cell r="C49">
            <v>15</v>
          </cell>
          <cell r="D49">
            <v>14</v>
          </cell>
        </row>
        <row r="50">
          <cell r="A50" t="str">
            <v>생물환경화학과</v>
          </cell>
          <cell r="B50" t="str">
            <v>자연</v>
          </cell>
          <cell r="C50">
            <v>12</v>
          </cell>
          <cell r="D50">
            <v>13</v>
          </cell>
        </row>
        <row r="51">
          <cell r="A51" t="str">
            <v>식품공학과</v>
          </cell>
          <cell r="B51" t="str">
            <v>자연</v>
          </cell>
          <cell r="C51">
            <v>13</v>
          </cell>
          <cell r="D51">
            <v>13</v>
          </cell>
        </row>
        <row r="52">
          <cell r="A52" t="str">
            <v>원예학과</v>
          </cell>
          <cell r="B52" t="str">
            <v>자연</v>
          </cell>
          <cell r="C52">
            <v>13</v>
          </cell>
          <cell r="D52">
            <v>12</v>
          </cell>
        </row>
        <row r="53">
          <cell r="A53" t="str">
            <v>작물생명과학과</v>
          </cell>
          <cell r="B53" t="str">
            <v>자연</v>
          </cell>
          <cell r="C53">
            <v>14</v>
          </cell>
          <cell r="D53">
            <v>14</v>
          </cell>
        </row>
        <row r="54">
          <cell r="A54" t="str">
            <v>조경학과</v>
          </cell>
          <cell r="B54" t="str">
            <v>자연</v>
          </cell>
          <cell r="C54">
            <v>13</v>
          </cell>
          <cell r="D54">
            <v>12</v>
          </cell>
        </row>
        <row r="55">
          <cell r="A55" t="str">
            <v>지역건설공학과</v>
          </cell>
          <cell r="B55" t="str">
            <v>자연</v>
          </cell>
          <cell r="C55">
            <v>16</v>
          </cell>
          <cell r="D55">
            <v>14</v>
          </cell>
        </row>
        <row r="56">
          <cell r="A56" t="str">
            <v>농업생명과학대학</v>
          </cell>
          <cell r="B56">
            <v>0</v>
          </cell>
          <cell r="C56">
            <v>0</v>
          </cell>
          <cell r="D56">
            <v>0</v>
          </cell>
        </row>
        <row r="57">
          <cell r="A57" t="str">
            <v>교육학과</v>
          </cell>
          <cell r="B57" t="str">
            <v>인문</v>
          </cell>
          <cell r="C57">
            <v>10</v>
          </cell>
          <cell r="D57">
            <v>9</v>
          </cell>
        </row>
        <row r="58">
          <cell r="A58" t="str">
            <v>국어교육과</v>
          </cell>
          <cell r="B58" t="str">
            <v>인문</v>
          </cell>
          <cell r="C58">
            <v>7</v>
          </cell>
          <cell r="D58">
            <v>0</v>
          </cell>
        </row>
        <row r="59">
          <cell r="A59" t="str">
            <v>독어교육과</v>
          </cell>
          <cell r="B59" t="str">
            <v>인문</v>
          </cell>
          <cell r="C59">
            <v>13</v>
          </cell>
          <cell r="D59">
            <v>11</v>
          </cell>
        </row>
        <row r="60">
          <cell r="A60" t="str">
            <v>역사교육과</v>
          </cell>
          <cell r="B60" t="str">
            <v>인문</v>
          </cell>
          <cell r="C60">
            <v>9</v>
          </cell>
          <cell r="D60">
            <v>9</v>
          </cell>
        </row>
        <row r="61">
          <cell r="A61" t="str">
            <v>영어교육과</v>
          </cell>
          <cell r="B61" t="str">
            <v>인문</v>
          </cell>
          <cell r="C61">
            <v>7</v>
          </cell>
          <cell r="D61">
            <v>7</v>
          </cell>
        </row>
        <row r="62">
          <cell r="A62" t="str">
            <v>윤리교육과</v>
          </cell>
          <cell r="B62" t="str">
            <v>인문</v>
          </cell>
          <cell r="C62">
            <v>12</v>
          </cell>
          <cell r="D62">
            <v>10</v>
          </cell>
        </row>
        <row r="63">
          <cell r="A63" t="str">
            <v>일반사회교육과</v>
          </cell>
          <cell r="B63" t="str">
            <v>인문</v>
          </cell>
          <cell r="C63">
            <v>9</v>
          </cell>
          <cell r="D63">
            <v>9</v>
          </cell>
        </row>
        <row r="64">
          <cell r="A64" t="str">
            <v>지리교육과</v>
          </cell>
          <cell r="B64" t="str">
            <v>인문</v>
          </cell>
          <cell r="C64">
            <v>10</v>
          </cell>
          <cell r="D64">
            <v>9</v>
          </cell>
        </row>
        <row r="65">
          <cell r="A65" t="str">
            <v xml:space="preserve">과학교육학부            </v>
          </cell>
          <cell r="B65" t="str">
            <v>자연</v>
          </cell>
          <cell r="C65">
            <v>0</v>
          </cell>
          <cell r="D65">
            <v>0</v>
          </cell>
        </row>
        <row r="66">
          <cell r="A66" t="str">
            <v>과학교육학부(물리교육)</v>
          </cell>
          <cell r="B66">
            <v>0</v>
          </cell>
          <cell r="C66">
            <v>13</v>
          </cell>
          <cell r="D66">
            <v>12</v>
          </cell>
        </row>
        <row r="67">
          <cell r="A67" t="str">
            <v>과학교육학부(생물교육)</v>
          </cell>
          <cell r="B67">
            <v>0</v>
          </cell>
          <cell r="C67">
            <v>10</v>
          </cell>
          <cell r="D67">
            <v>10</v>
          </cell>
        </row>
        <row r="68">
          <cell r="A68" t="str">
            <v>과학교육학부(지구과학교육)</v>
          </cell>
          <cell r="B68">
            <v>0</v>
          </cell>
          <cell r="C68">
            <v>12</v>
          </cell>
          <cell r="D68">
            <v>11</v>
          </cell>
        </row>
        <row r="69">
          <cell r="A69" t="str">
            <v>과학교육학부(화학교육)</v>
          </cell>
          <cell r="B69">
            <v>0</v>
          </cell>
          <cell r="C69">
            <v>11</v>
          </cell>
          <cell r="D69">
            <v>11</v>
          </cell>
        </row>
        <row r="70">
          <cell r="A70" t="str">
            <v>수학교육과</v>
          </cell>
          <cell r="B70" t="str">
            <v>자연</v>
          </cell>
          <cell r="C70">
            <v>7</v>
          </cell>
          <cell r="D70">
            <v>7</v>
          </cell>
        </row>
        <row r="71">
          <cell r="A71" t="str">
            <v>체육교육과</v>
          </cell>
          <cell r="B71" t="str">
            <v>예체능</v>
          </cell>
          <cell r="C71">
            <v>0</v>
          </cell>
          <cell r="D71">
            <v>0</v>
          </cell>
        </row>
        <row r="72">
          <cell r="A72" t="str">
            <v>사범대학</v>
          </cell>
          <cell r="B72">
            <v>0</v>
          </cell>
          <cell r="C72">
            <v>0</v>
          </cell>
          <cell r="D72">
            <v>0</v>
          </cell>
        </row>
        <row r="73">
          <cell r="A73" t="str">
            <v>사회복지학과</v>
          </cell>
          <cell r="B73" t="str">
            <v>인문</v>
          </cell>
          <cell r="C73">
            <v>11</v>
          </cell>
          <cell r="D73">
            <v>10</v>
          </cell>
        </row>
        <row r="74">
          <cell r="A74" t="str">
            <v>사회학과</v>
          </cell>
          <cell r="B74" t="str">
            <v>인문</v>
          </cell>
          <cell r="C74">
            <v>11</v>
          </cell>
          <cell r="D74">
            <v>10</v>
          </cell>
        </row>
        <row r="75">
          <cell r="A75" t="str">
            <v>신문방송학과</v>
          </cell>
          <cell r="B75" t="str">
            <v>인문</v>
          </cell>
          <cell r="C75">
            <v>11</v>
          </cell>
          <cell r="D75">
            <v>10</v>
          </cell>
        </row>
        <row r="76">
          <cell r="A76" t="str">
            <v>심리학과</v>
          </cell>
          <cell r="B76" t="str">
            <v>인문</v>
          </cell>
          <cell r="C76">
            <v>10</v>
          </cell>
          <cell r="D76">
            <v>9</v>
          </cell>
        </row>
        <row r="77">
          <cell r="A77" t="str">
            <v>정치외교학과</v>
          </cell>
          <cell r="B77" t="str">
            <v>인문</v>
          </cell>
          <cell r="C77">
            <v>11</v>
          </cell>
          <cell r="D77">
            <v>10</v>
          </cell>
        </row>
        <row r="78">
          <cell r="A78" t="str">
            <v>행정학과</v>
          </cell>
          <cell r="B78" t="str">
            <v>인문</v>
          </cell>
          <cell r="C78">
            <v>0</v>
          </cell>
          <cell r="D78">
            <v>8</v>
          </cell>
        </row>
        <row r="79">
          <cell r="A79" t="str">
            <v>사회과학대학</v>
          </cell>
          <cell r="B79">
            <v>0</v>
          </cell>
          <cell r="C79">
            <v>0</v>
          </cell>
          <cell r="D79">
            <v>0</v>
          </cell>
        </row>
        <row r="80">
          <cell r="A80" t="str">
            <v>경영학부</v>
          </cell>
          <cell r="B80" t="str">
            <v>인문</v>
          </cell>
          <cell r="C80">
            <v>10</v>
          </cell>
          <cell r="D80">
            <v>10</v>
          </cell>
        </row>
        <row r="81">
          <cell r="A81" t="str">
            <v>경제학부</v>
          </cell>
          <cell r="B81" t="str">
            <v>인문</v>
          </cell>
          <cell r="C81">
            <v>11</v>
          </cell>
          <cell r="D81">
            <v>10</v>
          </cell>
        </row>
        <row r="82">
          <cell r="A82" t="str">
            <v>무역학과</v>
          </cell>
          <cell r="B82" t="str">
            <v>인문</v>
          </cell>
          <cell r="C82">
            <v>11</v>
          </cell>
          <cell r="D82">
            <v>10</v>
          </cell>
        </row>
        <row r="83">
          <cell r="A83" t="str">
            <v>상과대학</v>
          </cell>
          <cell r="B83">
            <v>0</v>
          </cell>
          <cell r="C83">
            <v>0</v>
          </cell>
          <cell r="D83">
            <v>0</v>
          </cell>
        </row>
        <row r="84">
          <cell r="A84" t="str">
            <v>아동학과</v>
          </cell>
          <cell r="B84" t="str">
            <v>인문</v>
          </cell>
          <cell r="C84">
            <v>13</v>
          </cell>
          <cell r="D84">
            <v>12</v>
          </cell>
        </row>
        <row r="85">
          <cell r="A85" t="str">
            <v>식품영양학과</v>
          </cell>
          <cell r="B85" t="str">
            <v>자연</v>
          </cell>
          <cell r="C85">
            <v>12</v>
          </cell>
          <cell r="D85">
            <v>13</v>
          </cell>
        </row>
        <row r="86">
          <cell r="A86" t="str">
            <v>의류학과</v>
          </cell>
          <cell r="B86" t="str">
            <v>자연</v>
          </cell>
          <cell r="C86">
            <v>12</v>
          </cell>
          <cell r="D86">
            <v>12</v>
          </cell>
        </row>
        <row r="87">
          <cell r="A87" t="str">
            <v>주거환경학과</v>
          </cell>
          <cell r="B87" t="str">
            <v>자연</v>
          </cell>
          <cell r="C87">
            <v>12</v>
          </cell>
          <cell r="D87">
            <v>12</v>
          </cell>
        </row>
        <row r="88">
          <cell r="A88" t="str">
            <v>생활과학대학</v>
          </cell>
          <cell r="B88">
            <v>0</v>
          </cell>
          <cell r="C88">
            <v>49</v>
          </cell>
          <cell r="D88">
            <v>0</v>
          </cell>
        </row>
        <row r="89">
          <cell r="A89" t="str">
            <v>수의예과</v>
          </cell>
          <cell r="B89" t="str">
            <v>자연</v>
          </cell>
          <cell r="C89">
            <v>0</v>
          </cell>
          <cell r="D89">
            <v>7</v>
          </cell>
        </row>
        <row r="90">
          <cell r="A90" t="str">
            <v>수의과대학</v>
          </cell>
          <cell r="B90">
            <v>0</v>
          </cell>
          <cell r="C90">
            <v>0</v>
          </cell>
          <cell r="D90">
            <v>0</v>
          </cell>
        </row>
        <row r="91">
          <cell r="A91" t="str">
            <v>무용학과</v>
          </cell>
          <cell r="B91" t="str">
            <v>예체능</v>
          </cell>
          <cell r="C91">
            <v>0</v>
          </cell>
          <cell r="D91">
            <v>0</v>
          </cell>
        </row>
        <row r="92">
          <cell r="A92" t="str">
            <v>(발레·컨템포러리재즈)</v>
          </cell>
          <cell r="B92">
            <v>0</v>
          </cell>
          <cell r="C92">
            <v>0</v>
          </cell>
          <cell r="D92">
            <v>0</v>
          </cell>
        </row>
        <row r="93">
          <cell r="A93" t="str">
            <v>(한국무용)</v>
          </cell>
          <cell r="B93">
            <v>0</v>
          </cell>
          <cell r="C93">
            <v>0</v>
          </cell>
          <cell r="D93">
            <v>0</v>
          </cell>
        </row>
        <row r="94">
          <cell r="A94" t="str">
            <v>(현대무용)</v>
          </cell>
          <cell r="B94">
            <v>0</v>
          </cell>
          <cell r="C94">
            <v>0</v>
          </cell>
          <cell r="D94">
            <v>0</v>
          </cell>
        </row>
        <row r="95">
          <cell r="A95" t="str">
            <v>미술학과</v>
          </cell>
          <cell r="B95" t="str">
            <v>예체능</v>
          </cell>
          <cell r="C95">
            <v>0</v>
          </cell>
          <cell r="D95">
            <v>0</v>
          </cell>
        </row>
        <row r="96">
          <cell r="A96" t="str">
            <v>(한국화)</v>
          </cell>
          <cell r="B96">
            <v>0</v>
          </cell>
          <cell r="C96">
            <v>0</v>
          </cell>
          <cell r="D96">
            <v>0</v>
          </cell>
        </row>
        <row r="97">
          <cell r="A97" t="str">
            <v>(서양화)</v>
          </cell>
          <cell r="B97">
            <v>0</v>
          </cell>
          <cell r="C97">
            <v>0</v>
          </cell>
          <cell r="D97">
            <v>0</v>
          </cell>
        </row>
        <row r="98">
          <cell r="A98" t="str">
            <v>(조소)</v>
          </cell>
          <cell r="B98">
            <v>0</v>
          </cell>
          <cell r="C98">
            <v>0</v>
          </cell>
          <cell r="D98">
            <v>0</v>
          </cell>
        </row>
        <row r="99">
          <cell r="A99" t="str">
            <v>(가구조형디자인)</v>
          </cell>
          <cell r="B99">
            <v>0</v>
          </cell>
          <cell r="C99">
            <v>0</v>
          </cell>
          <cell r="D99">
            <v>0</v>
          </cell>
        </row>
        <row r="100">
          <cell r="A100" t="str">
            <v>산업디자인학과</v>
          </cell>
          <cell r="B100" t="str">
            <v>예체능</v>
          </cell>
          <cell r="C100">
            <v>0</v>
          </cell>
          <cell r="D100">
            <v>0</v>
          </cell>
        </row>
        <row r="101">
          <cell r="A101" t="str">
            <v>(제품디자인)</v>
          </cell>
          <cell r="B101">
            <v>0</v>
          </cell>
          <cell r="C101">
            <v>0</v>
          </cell>
          <cell r="D101">
            <v>9</v>
          </cell>
        </row>
        <row r="102">
          <cell r="A102" t="str">
            <v>(시각영상디자인)</v>
          </cell>
          <cell r="B102">
            <v>0</v>
          </cell>
          <cell r="C102">
            <v>0</v>
          </cell>
          <cell r="D102">
            <v>9</v>
          </cell>
        </row>
        <row r="103">
          <cell r="A103" t="str">
            <v>음악과</v>
          </cell>
          <cell r="B103" t="str">
            <v>예체능</v>
          </cell>
          <cell r="C103">
            <v>0</v>
          </cell>
          <cell r="D103">
            <v>0</v>
          </cell>
        </row>
        <row r="104">
          <cell r="A104" t="str">
            <v>(작곡)</v>
          </cell>
          <cell r="B104">
            <v>0</v>
          </cell>
          <cell r="C104">
            <v>0</v>
          </cell>
          <cell r="D104">
            <v>0</v>
          </cell>
        </row>
        <row r="105">
          <cell r="A105" t="str">
            <v>(성악)</v>
          </cell>
          <cell r="B105">
            <v>0</v>
          </cell>
          <cell r="C105">
            <v>0</v>
          </cell>
          <cell r="D105">
            <v>0</v>
          </cell>
        </row>
        <row r="106">
          <cell r="A106" t="str">
            <v>(피아노)</v>
          </cell>
          <cell r="B106">
            <v>0</v>
          </cell>
          <cell r="C106">
            <v>0</v>
          </cell>
          <cell r="D106">
            <v>0</v>
          </cell>
        </row>
        <row r="107">
          <cell r="A107" t="str">
            <v>(관악)</v>
          </cell>
          <cell r="B107">
            <v>0</v>
          </cell>
          <cell r="C107">
            <v>0</v>
          </cell>
          <cell r="D107">
            <v>0</v>
          </cell>
        </row>
        <row r="108">
          <cell r="A108" t="str">
            <v>(현악)</v>
          </cell>
          <cell r="B108">
            <v>0</v>
          </cell>
          <cell r="C108">
            <v>0</v>
          </cell>
          <cell r="D108">
            <v>0</v>
          </cell>
        </row>
        <row r="109">
          <cell r="A109" t="str">
            <v>한국음악학과</v>
          </cell>
          <cell r="B109" t="str">
            <v>예체능</v>
          </cell>
          <cell r="C109">
            <v>0</v>
          </cell>
          <cell r="D109">
            <v>0</v>
          </cell>
        </row>
        <row r="110">
          <cell r="A110" t="str">
            <v>(작곡.이론)</v>
          </cell>
          <cell r="B110">
            <v>0</v>
          </cell>
          <cell r="C110">
            <v>0</v>
          </cell>
          <cell r="D110">
            <v>0</v>
          </cell>
        </row>
        <row r="111">
          <cell r="A111" t="str">
            <v>(성악,타악)</v>
          </cell>
          <cell r="B111">
            <v>0</v>
          </cell>
          <cell r="C111">
            <v>0</v>
          </cell>
          <cell r="D111">
            <v>0</v>
          </cell>
        </row>
        <row r="112">
          <cell r="A112" t="str">
            <v>(관악)</v>
          </cell>
          <cell r="B112">
            <v>0</v>
          </cell>
          <cell r="C112">
            <v>0</v>
          </cell>
          <cell r="D112">
            <v>0</v>
          </cell>
        </row>
        <row r="113">
          <cell r="A113" t="str">
            <v>(현악)</v>
          </cell>
          <cell r="B113">
            <v>0</v>
          </cell>
          <cell r="C113">
            <v>0</v>
          </cell>
          <cell r="D113">
            <v>0</v>
          </cell>
        </row>
        <row r="114">
          <cell r="A114" t="str">
            <v>예술대학</v>
          </cell>
          <cell r="B114">
            <v>0</v>
          </cell>
          <cell r="C114">
            <v>0</v>
          </cell>
          <cell r="D114">
            <v>0</v>
          </cell>
        </row>
        <row r="115">
          <cell r="A115" t="str">
            <v>의예과</v>
          </cell>
          <cell r="B115" t="str">
            <v>자연</v>
          </cell>
          <cell r="C115">
            <v>0</v>
          </cell>
          <cell r="D115">
            <v>5</v>
          </cell>
        </row>
        <row r="116">
          <cell r="A116" t="str">
            <v>의과대학</v>
          </cell>
          <cell r="B116">
            <v>0</v>
          </cell>
          <cell r="C116">
            <v>0</v>
          </cell>
          <cell r="D116">
            <v>0</v>
          </cell>
        </row>
        <row r="117">
          <cell r="A117" t="str">
            <v>고고문화인류학과</v>
          </cell>
          <cell r="B117" t="str">
            <v>인문</v>
          </cell>
          <cell r="C117">
            <v>13</v>
          </cell>
          <cell r="D117">
            <v>12</v>
          </cell>
        </row>
        <row r="118">
          <cell r="A118" t="str">
            <v>국어국문학과</v>
          </cell>
          <cell r="B118" t="str">
            <v>인문</v>
          </cell>
          <cell r="C118">
            <v>0</v>
          </cell>
          <cell r="D118">
            <v>10</v>
          </cell>
        </row>
        <row r="119">
          <cell r="A119" t="str">
            <v>독어독문학과</v>
          </cell>
          <cell r="B119" t="str">
            <v>인문</v>
          </cell>
          <cell r="C119">
            <v>12</v>
          </cell>
          <cell r="D119">
            <v>12</v>
          </cell>
        </row>
        <row r="120">
          <cell r="A120" t="str">
            <v>문헌정보학과</v>
          </cell>
          <cell r="B120" t="str">
            <v>인문</v>
          </cell>
          <cell r="C120">
            <v>10</v>
          </cell>
          <cell r="D120">
            <v>10</v>
          </cell>
        </row>
        <row r="121">
          <cell r="A121" t="str">
            <v>사학과</v>
          </cell>
          <cell r="B121" t="str">
            <v>인문</v>
          </cell>
          <cell r="C121">
            <v>13</v>
          </cell>
          <cell r="D121">
            <v>11</v>
          </cell>
        </row>
        <row r="122">
          <cell r="A122" t="str">
            <v>스페인.중남미학과</v>
          </cell>
          <cell r="B122" t="str">
            <v>인문</v>
          </cell>
          <cell r="C122">
            <v>10</v>
          </cell>
          <cell r="D122">
            <v>10</v>
          </cell>
        </row>
        <row r="123">
          <cell r="A123" t="str">
            <v>영어영문학과</v>
          </cell>
          <cell r="B123" t="str">
            <v>인문</v>
          </cell>
          <cell r="C123">
            <v>10</v>
          </cell>
          <cell r="D123">
            <v>10</v>
          </cell>
        </row>
        <row r="124">
          <cell r="A124" t="str">
            <v>일어일문학과</v>
          </cell>
          <cell r="B124" t="str">
            <v>인문</v>
          </cell>
          <cell r="C124">
            <v>12</v>
          </cell>
          <cell r="D124">
            <v>11</v>
          </cell>
        </row>
        <row r="125">
          <cell r="A125" t="str">
            <v>중어중문학과</v>
          </cell>
          <cell r="B125" t="str">
            <v>인문</v>
          </cell>
          <cell r="C125">
            <v>12</v>
          </cell>
          <cell r="D125">
            <v>11</v>
          </cell>
        </row>
        <row r="126">
          <cell r="A126" t="str">
            <v>철학과</v>
          </cell>
          <cell r="B126" t="str">
            <v>인문</v>
          </cell>
          <cell r="C126">
            <v>13</v>
          </cell>
          <cell r="D126">
            <v>11</v>
          </cell>
        </row>
        <row r="127">
          <cell r="A127" t="str">
            <v>프랑스학과</v>
          </cell>
          <cell r="B127" t="str">
            <v>인문</v>
          </cell>
          <cell r="C127">
            <v>12</v>
          </cell>
          <cell r="D127">
            <v>11</v>
          </cell>
        </row>
        <row r="128">
          <cell r="A128" t="str">
            <v>인문대학</v>
          </cell>
          <cell r="B128">
            <v>0</v>
          </cell>
          <cell r="C128">
            <v>0</v>
          </cell>
          <cell r="D128">
            <v>0</v>
          </cell>
        </row>
        <row r="129">
          <cell r="A129" t="str">
            <v>과학학과</v>
          </cell>
          <cell r="B129" t="str">
            <v>자연</v>
          </cell>
          <cell r="C129">
            <v>13</v>
          </cell>
          <cell r="D129">
            <v>12</v>
          </cell>
        </row>
        <row r="130">
          <cell r="A130" t="str">
            <v>물리학과</v>
          </cell>
          <cell r="B130" t="str">
            <v>자연</v>
          </cell>
          <cell r="C130">
            <v>14</v>
          </cell>
          <cell r="D130">
            <v>14</v>
          </cell>
        </row>
        <row r="131">
          <cell r="A131" t="str">
            <v>반도체과학기술학과</v>
          </cell>
          <cell r="B131" t="str">
            <v>자연</v>
          </cell>
          <cell r="C131">
            <v>13</v>
          </cell>
          <cell r="D131">
            <v>13</v>
          </cell>
        </row>
        <row r="132">
          <cell r="A132" t="str">
            <v>분자생물학과</v>
          </cell>
          <cell r="B132" t="str">
            <v>자연</v>
          </cell>
          <cell r="C132">
            <v>13</v>
          </cell>
          <cell r="D132">
            <v>12</v>
          </cell>
        </row>
        <row r="133">
          <cell r="A133" t="str">
            <v>생명과학과</v>
          </cell>
          <cell r="B133" t="str">
            <v>자연</v>
          </cell>
          <cell r="C133">
            <v>13</v>
          </cell>
          <cell r="D133">
            <v>12</v>
          </cell>
        </row>
        <row r="134">
          <cell r="A134" t="str">
            <v>수학과</v>
          </cell>
          <cell r="B134" t="str">
            <v>자연</v>
          </cell>
          <cell r="C134">
            <v>13</v>
          </cell>
          <cell r="D134">
            <v>12</v>
          </cell>
        </row>
        <row r="135">
          <cell r="A135" t="str">
            <v>지구환경과학과</v>
          </cell>
          <cell r="B135" t="str">
            <v>자연</v>
          </cell>
          <cell r="C135">
            <v>14</v>
          </cell>
          <cell r="D135">
            <v>14</v>
          </cell>
        </row>
        <row r="136">
          <cell r="A136" t="str">
            <v>통계학과</v>
          </cell>
          <cell r="B136" t="str">
            <v>자연</v>
          </cell>
          <cell r="C136">
            <v>13</v>
          </cell>
          <cell r="D136">
            <v>12</v>
          </cell>
        </row>
        <row r="137">
          <cell r="A137" t="str">
            <v>화학과</v>
          </cell>
          <cell r="B137" t="str">
            <v>자연</v>
          </cell>
          <cell r="C137">
            <v>13</v>
          </cell>
          <cell r="D137">
            <v>12</v>
          </cell>
        </row>
        <row r="138">
          <cell r="A138" t="str">
            <v>스포츠과학과</v>
          </cell>
          <cell r="B138" t="str">
            <v>자연</v>
          </cell>
          <cell r="C138">
            <v>0</v>
          </cell>
          <cell r="D138">
            <v>0</v>
          </cell>
        </row>
        <row r="139">
          <cell r="A139" t="str">
            <v>자연과학대학</v>
          </cell>
          <cell r="B139">
            <v>0</v>
          </cell>
          <cell r="C139">
            <v>0</v>
          </cell>
          <cell r="D139">
            <v>0</v>
          </cell>
        </row>
        <row r="140">
          <cell r="A140" t="str">
            <v>치의예과</v>
          </cell>
          <cell r="B140" t="str">
            <v>자연</v>
          </cell>
          <cell r="C140">
            <v>0</v>
          </cell>
          <cell r="D140">
            <v>5</v>
          </cell>
        </row>
        <row r="141">
          <cell r="A141" t="str">
            <v>치과대학</v>
          </cell>
          <cell r="B141">
            <v>0</v>
          </cell>
          <cell r="C141">
            <v>0</v>
          </cell>
          <cell r="D141">
            <v>0</v>
          </cell>
        </row>
        <row r="142">
          <cell r="A142" t="str">
            <v>생명공학부</v>
          </cell>
          <cell r="B142" t="str">
            <v>자연</v>
          </cell>
          <cell r="C142">
            <v>14</v>
          </cell>
          <cell r="D142">
            <v>14</v>
          </cell>
        </row>
        <row r="143">
          <cell r="A143" t="str">
            <v>한약자원학과</v>
          </cell>
          <cell r="B143" t="str">
            <v>자연</v>
          </cell>
          <cell r="C143">
            <v>15</v>
          </cell>
          <cell r="D143">
            <v>16</v>
          </cell>
        </row>
        <row r="144">
          <cell r="A144" t="str">
            <v>생태조경디자인학과</v>
          </cell>
          <cell r="B144" t="str">
            <v>자연</v>
          </cell>
          <cell r="C144">
            <v>15</v>
          </cell>
          <cell r="D144">
            <v>15</v>
          </cell>
        </row>
        <row r="145">
          <cell r="A145" t="str">
            <v>환경생명자원대학</v>
          </cell>
          <cell r="B145">
            <v>0</v>
          </cell>
          <cell r="C145">
            <v>0</v>
          </cell>
          <cell r="D145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결검색기"/>
      <sheetName val="27수시검색"/>
      <sheetName val="REPORT"/>
      <sheetName val="일정과 면접"/>
      <sheetName val="개요"/>
      <sheetName val="크로스검증"/>
      <sheetName val="15개대 모집개괄"/>
      <sheetName val="2027학교장추천요약"/>
      <sheetName val="학생부종합"/>
      <sheetName val="논술개요"/>
      <sheetName val="자유전공"/>
      <sheetName val="25자연장판"/>
      <sheetName val="입결평균전형간비교"/>
      <sheetName val="기회포함전체"/>
      <sheetName val="전체전형방법"/>
      <sheetName val="등급등수추정"/>
      <sheetName val="내신석차 간단계산"/>
      <sheetName val="메디컬"/>
      <sheetName val="치대 약대한의 전형개요"/>
      <sheetName val="권장과목 이수검색"/>
      <sheetName val="자연 장판지"/>
      <sheetName val="인문장판지"/>
      <sheetName val="대학별등급별"/>
      <sheetName val="z 점수 참고표"/>
      <sheetName val="경희 산포도"/>
      <sheetName val="이화여 시립 동국 숭실"/>
      <sheetName val="서울시립"/>
      <sheetName val="등급대별 합격현황"/>
      <sheetName val="고교유형별 비중"/>
      <sheetName val="경기대 등급별 합격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91FF-7AB9-432D-AB14-E716E19D3E18}">
  <sheetPr>
    <tabColor theme="5" tint="-0.249977111117893"/>
  </sheetPr>
  <dimension ref="A2:AM2585"/>
  <sheetViews>
    <sheetView tabSelected="1" zoomScale="90" zoomScaleNormal="90" workbookViewId="0">
      <pane xSplit="11" ySplit="3" topLeftCell="L79" activePane="bottomRight" state="frozen"/>
      <selection activeCell="D1" sqref="D1"/>
      <selection pane="topRight" activeCell="K1" sqref="K1"/>
      <selection pane="bottomLeft" activeCell="D4" sqref="D4"/>
      <selection pane="bottomRight" activeCell="Q105" sqref="Q105"/>
    </sheetView>
  </sheetViews>
  <sheetFormatPr defaultRowHeight="16.5" outlineLevelCol="1" x14ac:dyDescent="0.3"/>
  <cols>
    <col min="1" max="1" width="17.25" style="3" hidden="1" customWidth="1" outlineLevel="1"/>
    <col min="2" max="2" width="4.75" style="3" hidden="1" customWidth="1" outlineLevel="1"/>
    <col min="3" max="3" width="18.125" style="3" hidden="1" customWidth="1" outlineLevel="1"/>
    <col min="4" max="4" width="2.25" style="3" customWidth="1" collapsed="1"/>
    <col min="5" max="5" width="6.625" style="3" hidden="1" customWidth="1" outlineLevel="1"/>
    <col min="6" max="6" width="8.75" style="3" hidden="1" customWidth="1" outlineLevel="1"/>
    <col min="7" max="7" width="1.5" style="3" customWidth="1" collapsed="1"/>
    <col min="8" max="8" width="14" style="11" customWidth="1"/>
    <col min="9" max="10" width="7.5" style="11" customWidth="1"/>
    <col min="11" max="11" width="16" style="11" customWidth="1"/>
    <col min="12" max="12" width="7.625" style="11" customWidth="1"/>
    <col min="13" max="13" width="10" style="11" customWidth="1"/>
    <col min="14" max="14" width="36.25" style="10" customWidth="1"/>
    <col min="15" max="15" width="9" style="11" customWidth="1"/>
    <col min="16" max="16" width="5.625" style="11" customWidth="1"/>
    <col min="17" max="17" width="40.625" style="43" customWidth="1"/>
    <col min="18" max="18" width="40.625" style="10" customWidth="1"/>
    <col min="19" max="19" width="13.125" style="10" customWidth="1"/>
    <col min="20" max="30" width="9" style="11"/>
  </cols>
  <sheetData>
    <row r="2" spans="1:39" ht="16.5" customHeight="1" x14ac:dyDescent="0.3">
      <c r="A2" s="1" t="s">
        <v>0</v>
      </c>
      <c r="B2" s="2" t="s">
        <v>1</v>
      </c>
      <c r="C2" s="2" t="s">
        <v>2</v>
      </c>
      <c r="E2" s="4" t="s">
        <v>3</v>
      </c>
      <c r="F2" s="5" t="s">
        <v>4</v>
      </c>
      <c r="H2" s="6" t="s">
        <v>5</v>
      </c>
      <c r="I2" s="7" t="s">
        <v>6</v>
      </c>
      <c r="J2" s="8" t="s">
        <v>7</v>
      </c>
      <c r="K2" s="7" t="s">
        <v>8</v>
      </c>
      <c r="L2" s="7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9" t="s">
        <v>15</v>
      </c>
    </row>
    <row r="3" spans="1:39" s="18" customFormat="1" ht="30" customHeight="1" x14ac:dyDescent="0.3">
      <c r="A3" s="12"/>
      <c r="B3" s="12"/>
      <c r="C3" s="12"/>
      <c r="D3" s="3"/>
      <c r="E3" s="13"/>
      <c r="F3" s="5"/>
      <c r="G3" s="3"/>
      <c r="H3" s="14"/>
      <c r="I3" s="15"/>
      <c r="J3" s="15"/>
      <c r="K3" s="15"/>
      <c r="L3" s="15"/>
      <c r="M3" s="15"/>
      <c r="N3" s="15"/>
      <c r="O3" s="15"/>
      <c r="P3" s="15"/>
      <c r="Q3" s="16"/>
      <c r="R3" s="17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9" ht="30" customHeight="1" x14ac:dyDescent="0.3">
      <c r="A4" s="19" t="str">
        <f t="shared" ref="A4:A67" si="0">I4&amp;H4</f>
        <v>2025서울대</v>
      </c>
      <c r="B4" s="19">
        <f>COUNTIFS($A$4:A4,A4)</f>
        <v>1</v>
      </c>
      <c r="C4" s="19" t="str">
        <f t="shared" ref="C4:C67" si="1">A4&amp;B4</f>
        <v>2025서울대1</v>
      </c>
      <c r="E4" s="19" t="s">
        <v>16</v>
      </c>
      <c r="F4" s="19" t="s">
        <v>17</v>
      </c>
      <c r="H4" s="20" t="s">
        <v>18</v>
      </c>
      <c r="I4" s="20">
        <v>2025</v>
      </c>
      <c r="J4" s="20" t="s">
        <v>19</v>
      </c>
      <c r="K4" s="20" t="s">
        <v>20</v>
      </c>
      <c r="L4" s="21" t="s">
        <v>21</v>
      </c>
      <c r="M4" s="21" t="s">
        <v>22</v>
      </c>
      <c r="N4" s="22" t="s">
        <v>23</v>
      </c>
      <c r="O4" s="23" t="s">
        <v>22</v>
      </c>
      <c r="P4" s="23" t="s">
        <v>22</v>
      </c>
      <c r="Q4" s="24"/>
      <c r="R4" s="25"/>
    </row>
    <row r="5" spans="1:39" ht="144" x14ac:dyDescent="0.3">
      <c r="A5" s="26" t="str">
        <f t="shared" si="0"/>
        <v>2025서울대</v>
      </c>
      <c r="B5" s="26">
        <f>COUNTIFS($A$4:A5,A5)</f>
        <v>2</v>
      </c>
      <c r="C5" s="26" t="str">
        <f t="shared" si="1"/>
        <v>2025서울대2</v>
      </c>
      <c r="E5" s="26" t="s">
        <v>16</v>
      </c>
      <c r="F5" s="26" t="s">
        <v>17</v>
      </c>
      <c r="H5" s="27" t="s">
        <v>18</v>
      </c>
      <c r="I5" s="27">
        <v>2025</v>
      </c>
      <c r="J5" s="27" t="s">
        <v>19</v>
      </c>
      <c r="K5" s="28" t="s">
        <v>20</v>
      </c>
      <c r="L5" s="28" t="s">
        <v>24</v>
      </c>
      <c r="M5" s="28" t="s">
        <v>25</v>
      </c>
      <c r="N5" s="29" t="s">
        <v>26</v>
      </c>
      <c r="O5" s="28" t="s">
        <v>27</v>
      </c>
      <c r="P5" s="28" t="s">
        <v>28</v>
      </c>
      <c r="Q5" s="30"/>
      <c r="R5" s="31" t="s">
        <v>29</v>
      </c>
    </row>
    <row r="6" spans="1:39" ht="30" customHeight="1" x14ac:dyDescent="0.3">
      <c r="A6" s="26" t="str">
        <f t="shared" si="0"/>
        <v>2025서울대</v>
      </c>
      <c r="B6" s="26">
        <f>COUNTIFS($A$4:A6,A6)</f>
        <v>3</v>
      </c>
      <c r="C6" s="26" t="str">
        <f t="shared" si="1"/>
        <v>2025서울대3</v>
      </c>
      <c r="E6" s="26" t="s">
        <v>16</v>
      </c>
      <c r="F6" s="26" t="s">
        <v>17</v>
      </c>
      <c r="H6" s="27" t="s">
        <v>18</v>
      </c>
      <c r="I6" s="27">
        <v>2025</v>
      </c>
      <c r="J6" s="27" t="s">
        <v>19</v>
      </c>
      <c r="K6" s="28" t="s">
        <v>20</v>
      </c>
      <c r="L6" s="28" t="s">
        <v>24</v>
      </c>
      <c r="M6" s="28" t="s">
        <v>30</v>
      </c>
      <c r="N6" s="29" t="s">
        <v>31</v>
      </c>
      <c r="O6" s="28" t="s">
        <v>27</v>
      </c>
      <c r="P6" s="28" t="s">
        <v>28</v>
      </c>
      <c r="Q6" s="30"/>
      <c r="R6" s="30"/>
    </row>
    <row r="7" spans="1:39" ht="30" customHeight="1" x14ac:dyDescent="0.3">
      <c r="A7" s="26" t="str">
        <f t="shared" si="0"/>
        <v>2025서울대</v>
      </c>
      <c r="B7" s="26">
        <f>COUNTIFS($A$4:A7,A7)</f>
        <v>4</v>
      </c>
      <c r="C7" s="26" t="str">
        <f t="shared" si="1"/>
        <v>2025서울대4</v>
      </c>
      <c r="E7" s="26" t="s">
        <v>16</v>
      </c>
      <c r="F7" s="26" t="s">
        <v>17</v>
      </c>
      <c r="H7" s="20" t="s">
        <v>18</v>
      </c>
      <c r="I7" s="20">
        <v>2025</v>
      </c>
      <c r="J7" s="20" t="s">
        <v>19</v>
      </c>
      <c r="K7" s="20" t="s">
        <v>32</v>
      </c>
      <c r="L7" s="21" t="s">
        <v>21</v>
      </c>
      <c r="M7" s="21" t="s">
        <v>22</v>
      </c>
      <c r="N7" s="22" t="s">
        <v>33</v>
      </c>
      <c r="O7" s="23" t="s">
        <v>22</v>
      </c>
      <c r="P7" s="23" t="s">
        <v>22</v>
      </c>
      <c r="Q7" s="24"/>
      <c r="R7" s="25"/>
    </row>
    <row r="8" spans="1:39" ht="30" customHeight="1" x14ac:dyDescent="0.3">
      <c r="A8" s="26" t="str">
        <f t="shared" si="0"/>
        <v>2025서울대</v>
      </c>
      <c r="B8" s="26">
        <f>COUNTIFS($A$4:A8,A8)</f>
        <v>5</v>
      </c>
      <c r="C8" s="26" t="str">
        <f t="shared" si="1"/>
        <v>2025서울대5</v>
      </c>
      <c r="E8" s="26" t="s">
        <v>16</v>
      </c>
      <c r="F8" s="26" t="s">
        <v>17</v>
      </c>
      <c r="H8" s="27" t="s">
        <v>18</v>
      </c>
      <c r="I8" s="27">
        <v>2025</v>
      </c>
      <c r="J8" s="27" t="s">
        <v>19</v>
      </c>
      <c r="K8" s="28" t="s">
        <v>32</v>
      </c>
      <c r="L8" s="28" t="s">
        <v>24</v>
      </c>
      <c r="M8" s="28" t="s">
        <v>22</v>
      </c>
      <c r="N8" s="29" t="s">
        <v>33</v>
      </c>
      <c r="O8" s="28" t="s">
        <v>22</v>
      </c>
      <c r="P8" s="28" t="s">
        <v>22</v>
      </c>
      <c r="Q8" s="30"/>
      <c r="R8" s="30"/>
    </row>
    <row r="9" spans="1:39" ht="30" customHeight="1" x14ac:dyDescent="0.3">
      <c r="A9" s="26" t="str">
        <f t="shared" si="0"/>
        <v>2026서울대</v>
      </c>
      <c r="B9" s="26">
        <f>COUNTIFS($A$4:A9,A9)</f>
        <v>1</v>
      </c>
      <c r="C9" s="26" t="str">
        <f t="shared" si="1"/>
        <v>2026서울대1</v>
      </c>
      <c r="E9" s="26" t="s">
        <v>16</v>
      </c>
      <c r="F9" s="26" t="s">
        <v>17</v>
      </c>
      <c r="H9" s="27" t="s">
        <v>18</v>
      </c>
      <c r="I9" s="27">
        <v>2026</v>
      </c>
      <c r="J9" s="27" t="s">
        <v>19</v>
      </c>
      <c r="K9" s="28" t="s">
        <v>20</v>
      </c>
      <c r="L9" s="28" t="s">
        <v>21</v>
      </c>
      <c r="M9" s="28" t="s">
        <v>22</v>
      </c>
      <c r="N9" s="29" t="s">
        <v>34</v>
      </c>
      <c r="O9" s="28" t="s">
        <v>22</v>
      </c>
      <c r="P9" s="28" t="s">
        <v>22</v>
      </c>
      <c r="Q9" s="30"/>
      <c r="R9" s="30"/>
    </row>
    <row r="10" spans="1:39" s="11" customFormat="1" ht="144" x14ac:dyDescent="0.3">
      <c r="A10" s="26" t="str">
        <f t="shared" si="0"/>
        <v>2026서울대</v>
      </c>
      <c r="B10" s="26">
        <f>COUNTIFS($A$4:A10,A10)</f>
        <v>2</v>
      </c>
      <c r="C10" s="26" t="str">
        <f t="shared" si="1"/>
        <v>2026서울대2</v>
      </c>
      <c r="D10" s="3"/>
      <c r="E10" s="26" t="s">
        <v>16</v>
      </c>
      <c r="F10" s="26" t="s">
        <v>17</v>
      </c>
      <c r="G10" s="3"/>
      <c r="H10" s="27" t="s">
        <v>18</v>
      </c>
      <c r="I10" s="27">
        <v>2026</v>
      </c>
      <c r="J10" s="27" t="s">
        <v>19</v>
      </c>
      <c r="K10" s="28" t="s">
        <v>20</v>
      </c>
      <c r="L10" s="28" t="s">
        <v>24</v>
      </c>
      <c r="M10" s="28" t="s">
        <v>25</v>
      </c>
      <c r="N10" s="29" t="s">
        <v>35</v>
      </c>
      <c r="O10" s="28" t="s">
        <v>27</v>
      </c>
      <c r="P10" s="28" t="s">
        <v>28</v>
      </c>
      <c r="Q10" s="30"/>
      <c r="R10" s="31" t="s">
        <v>29</v>
      </c>
      <c r="S10" s="10"/>
      <c r="AE10"/>
      <c r="AF10"/>
      <c r="AG10"/>
      <c r="AH10"/>
      <c r="AI10"/>
      <c r="AJ10"/>
      <c r="AK10"/>
      <c r="AL10"/>
      <c r="AM10"/>
    </row>
    <row r="11" spans="1:39" s="11" customFormat="1" ht="30" customHeight="1" x14ac:dyDescent="0.3">
      <c r="A11" s="26" t="str">
        <f t="shared" si="0"/>
        <v>2026서울대</v>
      </c>
      <c r="B11" s="26">
        <f>COUNTIFS($A$4:A11,A11)</f>
        <v>3</v>
      </c>
      <c r="C11" s="26" t="str">
        <f t="shared" si="1"/>
        <v>2026서울대3</v>
      </c>
      <c r="D11" s="3"/>
      <c r="E11" s="26" t="s">
        <v>16</v>
      </c>
      <c r="F11" s="26" t="s">
        <v>17</v>
      </c>
      <c r="G11" s="3"/>
      <c r="H11" s="27" t="s">
        <v>18</v>
      </c>
      <c r="I11" s="27">
        <v>2026</v>
      </c>
      <c r="J11" s="27" t="s">
        <v>19</v>
      </c>
      <c r="K11" s="28" t="s">
        <v>20</v>
      </c>
      <c r="L11" s="28" t="s">
        <v>24</v>
      </c>
      <c r="M11" s="28" t="s">
        <v>30</v>
      </c>
      <c r="N11" s="29" t="s">
        <v>36</v>
      </c>
      <c r="O11" s="28" t="s">
        <v>27</v>
      </c>
      <c r="P11" s="28" t="s">
        <v>28</v>
      </c>
      <c r="Q11" s="30"/>
      <c r="R11" s="30"/>
      <c r="S11" s="10"/>
      <c r="AE11"/>
      <c r="AF11"/>
      <c r="AG11"/>
      <c r="AH11"/>
      <c r="AI11"/>
      <c r="AJ11"/>
      <c r="AK11"/>
      <c r="AL11"/>
      <c r="AM11"/>
    </row>
    <row r="12" spans="1:39" s="11" customFormat="1" ht="30" customHeight="1" x14ac:dyDescent="0.3">
      <c r="A12" s="26" t="str">
        <f t="shared" si="0"/>
        <v>2026서울대</v>
      </c>
      <c r="B12" s="26">
        <f>COUNTIFS($A$4:A12,A12)</f>
        <v>4</v>
      </c>
      <c r="C12" s="26" t="str">
        <f t="shared" si="1"/>
        <v>2026서울대4</v>
      </c>
      <c r="D12" s="3"/>
      <c r="E12" s="26" t="s">
        <v>16</v>
      </c>
      <c r="F12" s="26" t="s">
        <v>17</v>
      </c>
      <c r="G12" s="3"/>
      <c r="H12" s="27" t="s">
        <v>18</v>
      </c>
      <c r="I12" s="27">
        <v>2026</v>
      </c>
      <c r="J12" s="27" t="s">
        <v>19</v>
      </c>
      <c r="K12" s="28" t="s">
        <v>32</v>
      </c>
      <c r="L12" s="28" t="s">
        <v>21</v>
      </c>
      <c r="M12" s="28" t="s">
        <v>22</v>
      </c>
      <c r="N12" s="29" t="s">
        <v>33</v>
      </c>
      <c r="O12" s="23" t="s">
        <v>22</v>
      </c>
      <c r="P12" s="23" t="s">
        <v>22</v>
      </c>
      <c r="Q12" s="30"/>
      <c r="R12" s="32"/>
      <c r="S12" s="10"/>
      <c r="AE12"/>
      <c r="AF12"/>
      <c r="AG12"/>
      <c r="AH12"/>
      <c r="AI12"/>
      <c r="AJ12"/>
      <c r="AK12"/>
      <c r="AL12"/>
      <c r="AM12"/>
    </row>
    <row r="13" spans="1:39" s="11" customFormat="1" ht="30" customHeight="1" x14ac:dyDescent="0.3">
      <c r="A13" s="26" t="str">
        <f t="shared" si="0"/>
        <v>2026서울대</v>
      </c>
      <c r="B13" s="26">
        <f>COUNTIFS($A$4:A13,A13)</f>
        <v>5</v>
      </c>
      <c r="C13" s="26" t="str">
        <f t="shared" si="1"/>
        <v>2026서울대5</v>
      </c>
      <c r="D13" s="3"/>
      <c r="E13" s="26" t="s">
        <v>16</v>
      </c>
      <c r="F13" s="26" t="s">
        <v>17</v>
      </c>
      <c r="G13" s="3"/>
      <c r="H13" s="27" t="s">
        <v>18</v>
      </c>
      <c r="I13" s="27">
        <v>2026</v>
      </c>
      <c r="J13" s="27" t="s">
        <v>19</v>
      </c>
      <c r="K13" s="28" t="s">
        <v>32</v>
      </c>
      <c r="L13" s="28" t="s">
        <v>24</v>
      </c>
      <c r="M13" s="28" t="s">
        <v>22</v>
      </c>
      <c r="N13" s="29" t="s">
        <v>33</v>
      </c>
      <c r="O13" s="28" t="s">
        <v>22</v>
      </c>
      <c r="P13" s="28" t="s">
        <v>22</v>
      </c>
      <c r="Q13" s="30"/>
      <c r="R13" s="30"/>
      <c r="S13" s="10"/>
      <c r="AE13"/>
      <c r="AF13"/>
      <c r="AG13"/>
      <c r="AH13"/>
      <c r="AI13"/>
      <c r="AJ13"/>
      <c r="AK13"/>
      <c r="AL13"/>
      <c r="AM13"/>
    </row>
    <row r="14" spans="1:39" s="11" customFormat="1" ht="30" customHeight="1" x14ac:dyDescent="0.3">
      <c r="A14" s="26" t="str">
        <f t="shared" si="0"/>
        <v>2027서울대</v>
      </c>
      <c r="B14" s="26">
        <f>COUNTIFS($A$4:A14,A14)</f>
        <v>1</v>
      </c>
      <c r="C14" s="26" t="str">
        <f t="shared" si="1"/>
        <v>2027서울대1</v>
      </c>
      <c r="D14" s="3"/>
      <c r="E14" s="26" t="s">
        <v>16</v>
      </c>
      <c r="F14" s="26" t="s">
        <v>17</v>
      </c>
      <c r="G14" s="3"/>
      <c r="H14" s="28" t="s">
        <v>18</v>
      </c>
      <c r="I14" s="28">
        <v>2027</v>
      </c>
      <c r="J14" s="28" t="s">
        <v>19</v>
      </c>
      <c r="K14" s="28" t="s">
        <v>20</v>
      </c>
      <c r="L14" s="28" t="s">
        <v>21</v>
      </c>
      <c r="M14" s="28" t="s">
        <v>22</v>
      </c>
      <c r="N14" s="29" t="s">
        <v>34</v>
      </c>
      <c r="O14" s="28" t="s">
        <v>22</v>
      </c>
      <c r="P14" s="28" t="s">
        <v>22</v>
      </c>
      <c r="Q14" s="30"/>
      <c r="R14" s="30"/>
      <c r="S14" s="10"/>
      <c r="AD14"/>
      <c r="AE14"/>
      <c r="AF14"/>
      <c r="AG14"/>
      <c r="AH14"/>
      <c r="AI14"/>
      <c r="AJ14"/>
      <c r="AK14"/>
      <c r="AL14"/>
    </row>
    <row r="15" spans="1:39" s="11" customFormat="1" ht="144" x14ac:dyDescent="0.3">
      <c r="A15" s="26" t="str">
        <f t="shared" si="0"/>
        <v>2027서울대</v>
      </c>
      <c r="B15" s="26">
        <f>COUNTIFS($A$4:A15,A15)</f>
        <v>2</v>
      </c>
      <c r="C15" s="26" t="str">
        <f t="shared" si="1"/>
        <v>2027서울대2</v>
      </c>
      <c r="D15" s="3"/>
      <c r="E15" s="26" t="s">
        <v>16</v>
      </c>
      <c r="F15" s="26" t="s">
        <v>17</v>
      </c>
      <c r="G15" s="3"/>
      <c r="H15" s="28" t="s">
        <v>18</v>
      </c>
      <c r="I15" s="28">
        <v>2027</v>
      </c>
      <c r="J15" s="28" t="s">
        <v>19</v>
      </c>
      <c r="K15" s="28" t="s">
        <v>20</v>
      </c>
      <c r="L15" s="28" t="s">
        <v>24</v>
      </c>
      <c r="M15" s="28" t="s">
        <v>25</v>
      </c>
      <c r="N15" s="29" t="s">
        <v>35</v>
      </c>
      <c r="O15" s="28" t="s">
        <v>27</v>
      </c>
      <c r="P15" s="28" t="s">
        <v>28</v>
      </c>
      <c r="Q15" s="30"/>
      <c r="R15" s="31" t="s">
        <v>29</v>
      </c>
      <c r="S15" s="10"/>
      <c r="AE15"/>
      <c r="AF15"/>
      <c r="AG15"/>
      <c r="AH15"/>
      <c r="AI15"/>
      <c r="AJ15"/>
      <c r="AK15"/>
      <c r="AL15"/>
      <c r="AM15"/>
    </row>
    <row r="16" spans="1:39" s="11" customFormat="1" ht="30" customHeight="1" x14ac:dyDescent="0.3">
      <c r="A16" s="26" t="str">
        <f t="shared" si="0"/>
        <v>2027서울대</v>
      </c>
      <c r="B16" s="26">
        <f>COUNTIFS($A$4:A16,A16)</f>
        <v>3</v>
      </c>
      <c r="C16" s="26" t="str">
        <f t="shared" si="1"/>
        <v>2027서울대3</v>
      </c>
      <c r="D16" s="3"/>
      <c r="E16" s="26" t="s">
        <v>16</v>
      </c>
      <c r="F16" s="26" t="s">
        <v>17</v>
      </c>
      <c r="G16" s="3"/>
      <c r="H16" s="28" t="s">
        <v>18</v>
      </c>
      <c r="I16" s="28">
        <v>2027</v>
      </c>
      <c r="J16" s="28" t="s">
        <v>19</v>
      </c>
      <c r="K16" s="28" t="s">
        <v>20</v>
      </c>
      <c r="L16" s="28" t="s">
        <v>24</v>
      </c>
      <c r="M16" s="28" t="s">
        <v>30</v>
      </c>
      <c r="N16" s="29" t="s">
        <v>36</v>
      </c>
      <c r="O16" s="28" t="s">
        <v>27</v>
      </c>
      <c r="P16" s="28" t="s">
        <v>28</v>
      </c>
      <c r="Q16" s="30"/>
      <c r="R16" s="30"/>
      <c r="S16" s="10"/>
      <c r="AE16"/>
      <c r="AF16"/>
      <c r="AG16"/>
      <c r="AH16"/>
      <c r="AI16"/>
      <c r="AJ16"/>
      <c r="AK16"/>
      <c r="AL16"/>
      <c r="AM16"/>
    </row>
    <row r="17" spans="1:39" s="10" customFormat="1" ht="30" customHeight="1" x14ac:dyDescent="0.3">
      <c r="A17" s="26" t="str">
        <f t="shared" si="0"/>
        <v>2027서울대</v>
      </c>
      <c r="B17" s="26">
        <f>COUNTIFS($A$4:A17,A17)</f>
        <v>4</v>
      </c>
      <c r="C17" s="26" t="str">
        <f t="shared" si="1"/>
        <v>2027서울대4</v>
      </c>
      <c r="D17" s="3"/>
      <c r="E17" s="26" t="s">
        <v>16</v>
      </c>
      <c r="F17" s="26" t="s">
        <v>17</v>
      </c>
      <c r="G17" s="3"/>
      <c r="H17" s="27" t="s">
        <v>18</v>
      </c>
      <c r="I17" s="27">
        <v>2027</v>
      </c>
      <c r="J17" s="27" t="s">
        <v>19</v>
      </c>
      <c r="K17" s="28" t="s">
        <v>32</v>
      </c>
      <c r="L17" s="28" t="s">
        <v>21</v>
      </c>
      <c r="M17" s="28" t="s">
        <v>22</v>
      </c>
      <c r="N17" s="29" t="s">
        <v>33</v>
      </c>
      <c r="O17" s="23" t="s">
        <v>22</v>
      </c>
      <c r="P17" s="23" t="s">
        <v>22</v>
      </c>
      <c r="Q17" s="30"/>
      <c r="R17" s="32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/>
      <c r="AF17"/>
      <c r="AG17"/>
      <c r="AH17"/>
      <c r="AI17"/>
      <c r="AJ17"/>
      <c r="AK17"/>
      <c r="AL17"/>
      <c r="AM17"/>
    </row>
    <row r="18" spans="1:39" s="10" customFormat="1" ht="30" customHeight="1" x14ac:dyDescent="0.3">
      <c r="A18" s="26" t="str">
        <f t="shared" si="0"/>
        <v>2027서울대</v>
      </c>
      <c r="B18" s="26">
        <f>COUNTIFS($A$4:A18,A18)</f>
        <v>5</v>
      </c>
      <c r="C18" s="26" t="str">
        <f t="shared" si="1"/>
        <v>2027서울대5</v>
      </c>
      <c r="D18" s="3"/>
      <c r="E18" s="26" t="s">
        <v>16</v>
      </c>
      <c r="F18" s="26" t="s">
        <v>17</v>
      </c>
      <c r="G18" s="3"/>
      <c r="H18" s="27" t="s">
        <v>18</v>
      </c>
      <c r="I18" s="27">
        <v>2027</v>
      </c>
      <c r="J18" s="27" t="s">
        <v>19</v>
      </c>
      <c r="K18" s="28" t="s">
        <v>32</v>
      </c>
      <c r="L18" s="28" t="s">
        <v>24</v>
      </c>
      <c r="M18" s="28" t="s">
        <v>22</v>
      </c>
      <c r="N18" s="29" t="s">
        <v>33</v>
      </c>
      <c r="O18" s="28" t="s">
        <v>22</v>
      </c>
      <c r="P18" s="28" t="s">
        <v>22</v>
      </c>
      <c r="Q18" s="30"/>
      <c r="R18" s="32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/>
      <c r="AF18"/>
      <c r="AG18"/>
      <c r="AH18"/>
      <c r="AI18"/>
      <c r="AJ18"/>
      <c r="AK18"/>
      <c r="AL18"/>
      <c r="AM18"/>
    </row>
    <row r="19" spans="1:39" s="10" customFormat="1" ht="30" customHeight="1" x14ac:dyDescent="0.3">
      <c r="A19" s="26" t="str">
        <f t="shared" si="0"/>
        <v>2025연세대</v>
      </c>
      <c r="B19" s="26">
        <f>COUNTIFS($A$4:A19,A19)</f>
        <v>1</v>
      </c>
      <c r="C19" s="26" t="str">
        <f t="shared" si="1"/>
        <v>2025연세대1</v>
      </c>
      <c r="D19" s="3"/>
      <c r="E19" s="26" t="s">
        <v>16</v>
      </c>
      <c r="F19" s="26" t="s">
        <v>17</v>
      </c>
      <c r="G19" s="3"/>
      <c r="H19" s="27" t="s">
        <v>37</v>
      </c>
      <c r="I19" s="27">
        <v>2025</v>
      </c>
      <c r="J19" s="27" t="s">
        <v>38</v>
      </c>
      <c r="K19" s="28" t="s">
        <v>39</v>
      </c>
      <c r="L19" s="28" t="s">
        <v>21</v>
      </c>
      <c r="M19" s="28" t="s">
        <v>22</v>
      </c>
      <c r="N19" s="29" t="s">
        <v>40</v>
      </c>
      <c r="O19" s="28" t="s">
        <v>22</v>
      </c>
      <c r="P19" s="28" t="s">
        <v>22</v>
      </c>
      <c r="Q19" s="30"/>
      <c r="R19" s="30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/>
      <c r="AF19"/>
      <c r="AG19"/>
      <c r="AH19"/>
      <c r="AI19"/>
      <c r="AJ19"/>
      <c r="AK19"/>
      <c r="AL19"/>
      <c r="AM19"/>
    </row>
    <row r="20" spans="1:39" s="10" customFormat="1" ht="30" customHeight="1" x14ac:dyDescent="0.3">
      <c r="A20" s="26" t="str">
        <f t="shared" si="0"/>
        <v>2025연세대</v>
      </c>
      <c r="B20" s="26">
        <f>COUNTIFS($A$4:A20,A20)</f>
        <v>2</v>
      </c>
      <c r="C20" s="26" t="str">
        <f t="shared" si="1"/>
        <v>2025연세대2</v>
      </c>
      <c r="D20" s="3"/>
      <c r="E20" s="26" t="s">
        <v>16</v>
      </c>
      <c r="F20" s="26" t="s">
        <v>17</v>
      </c>
      <c r="G20" s="3"/>
      <c r="H20" s="27" t="s">
        <v>37</v>
      </c>
      <c r="I20" s="27">
        <v>2025</v>
      </c>
      <c r="J20" s="27" t="s">
        <v>38</v>
      </c>
      <c r="K20" s="28" t="s">
        <v>39</v>
      </c>
      <c r="L20" s="28" t="s">
        <v>24</v>
      </c>
      <c r="M20" s="28" t="s">
        <v>22</v>
      </c>
      <c r="N20" s="29" t="s">
        <v>41</v>
      </c>
      <c r="O20" s="28" t="s">
        <v>27</v>
      </c>
      <c r="P20" s="28" t="s">
        <v>28</v>
      </c>
      <c r="Q20" s="30"/>
      <c r="R20" s="30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/>
      <c r="AF20"/>
      <c r="AG20"/>
      <c r="AH20"/>
      <c r="AI20"/>
      <c r="AJ20"/>
      <c r="AK20"/>
      <c r="AL20"/>
      <c r="AM20"/>
    </row>
    <row r="21" spans="1:39" s="10" customFormat="1" ht="36" x14ac:dyDescent="0.3">
      <c r="A21" s="26" t="str">
        <f t="shared" si="0"/>
        <v>2025연세대</v>
      </c>
      <c r="B21" s="26">
        <f>COUNTIFS($A$4:A21,A21)</f>
        <v>3</v>
      </c>
      <c r="C21" s="26" t="str">
        <f t="shared" si="1"/>
        <v>2025연세대3</v>
      </c>
      <c r="D21" s="3"/>
      <c r="E21" s="26" t="s">
        <v>16</v>
      </c>
      <c r="F21" s="26" t="s">
        <v>17</v>
      </c>
      <c r="G21" s="3"/>
      <c r="H21" s="28" t="s">
        <v>37</v>
      </c>
      <c r="I21" s="28">
        <v>2025</v>
      </c>
      <c r="J21" s="28" t="s">
        <v>38</v>
      </c>
      <c r="K21" s="28" t="s">
        <v>39</v>
      </c>
      <c r="L21" s="28" t="s">
        <v>24</v>
      </c>
      <c r="M21" s="28" t="s">
        <v>42</v>
      </c>
      <c r="N21" s="29" t="s">
        <v>43</v>
      </c>
      <c r="O21" s="28" t="s">
        <v>27</v>
      </c>
      <c r="P21" s="28" t="s">
        <v>28</v>
      </c>
      <c r="Q21" s="30"/>
      <c r="R21" s="32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/>
      <c r="AF21"/>
      <c r="AG21"/>
      <c r="AH21"/>
      <c r="AI21"/>
      <c r="AJ21"/>
      <c r="AK21"/>
      <c r="AL21"/>
      <c r="AM21"/>
    </row>
    <row r="22" spans="1:39" s="10" customFormat="1" ht="30" customHeight="1" x14ac:dyDescent="0.3">
      <c r="A22" s="26" t="str">
        <f t="shared" si="0"/>
        <v>2025연세대</v>
      </c>
      <c r="B22" s="26">
        <f>COUNTIFS($A$4:A22,A22)</f>
        <v>4</v>
      </c>
      <c r="C22" s="26" t="str">
        <f t="shared" si="1"/>
        <v>2025연세대4</v>
      </c>
      <c r="D22" s="3"/>
      <c r="E22" s="26" t="s">
        <v>16</v>
      </c>
      <c r="F22" s="26" t="s">
        <v>17</v>
      </c>
      <c r="G22" s="3"/>
      <c r="H22" s="27" t="s">
        <v>37</v>
      </c>
      <c r="I22" s="27">
        <v>2025</v>
      </c>
      <c r="J22" s="27" t="s">
        <v>38</v>
      </c>
      <c r="K22" s="28" t="s">
        <v>39</v>
      </c>
      <c r="L22" s="28" t="s">
        <v>44</v>
      </c>
      <c r="M22" s="28" t="s">
        <v>22</v>
      </c>
      <c r="N22" s="29" t="s">
        <v>45</v>
      </c>
      <c r="O22" s="28" t="s">
        <v>22</v>
      </c>
      <c r="P22" s="28" t="s">
        <v>22</v>
      </c>
      <c r="Q22" s="30"/>
      <c r="R22" s="31" t="s">
        <v>46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/>
      <c r="AF22"/>
      <c r="AG22"/>
      <c r="AH22"/>
      <c r="AI22"/>
      <c r="AJ22"/>
      <c r="AK22"/>
      <c r="AL22"/>
      <c r="AM22"/>
    </row>
    <row r="23" spans="1:39" s="10" customFormat="1" ht="30" customHeight="1" x14ac:dyDescent="0.3">
      <c r="A23" s="26" t="str">
        <f t="shared" si="0"/>
        <v>2025연세대</v>
      </c>
      <c r="B23" s="26">
        <f>COUNTIFS($A$4:A23,A23)</f>
        <v>5</v>
      </c>
      <c r="C23" s="26" t="str">
        <f t="shared" si="1"/>
        <v>2025연세대5</v>
      </c>
      <c r="D23" s="3"/>
      <c r="E23" s="26" t="s">
        <v>16</v>
      </c>
      <c r="F23" s="26" t="s">
        <v>17</v>
      </c>
      <c r="G23" s="3"/>
      <c r="H23" s="27" t="s">
        <v>37</v>
      </c>
      <c r="I23" s="27">
        <v>2025</v>
      </c>
      <c r="J23" s="27" t="s">
        <v>19</v>
      </c>
      <c r="K23" s="28" t="s">
        <v>47</v>
      </c>
      <c r="L23" s="28" t="s">
        <v>21</v>
      </c>
      <c r="M23" s="28" t="s">
        <v>22</v>
      </c>
      <c r="N23" s="29" t="s">
        <v>40</v>
      </c>
      <c r="O23" s="28" t="s">
        <v>22</v>
      </c>
      <c r="P23" s="28" t="s">
        <v>22</v>
      </c>
      <c r="Q23" s="30"/>
      <c r="R23" s="30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/>
      <c r="AF23"/>
      <c r="AG23"/>
      <c r="AH23"/>
      <c r="AI23"/>
      <c r="AJ23"/>
      <c r="AK23"/>
      <c r="AL23"/>
      <c r="AM23"/>
    </row>
    <row r="24" spans="1:39" s="10" customFormat="1" ht="30" customHeight="1" x14ac:dyDescent="0.3">
      <c r="A24" s="26" t="str">
        <f t="shared" si="0"/>
        <v>2025연세대</v>
      </c>
      <c r="B24" s="26">
        <f>COUNTIFS($A$4:A24,A24)</f>
        <v>6</v>
      </c>
      <c r="C24" s="26" t="str">
        <f t="shared" si="1"/>
        <v>2025연세대6</v>
      </c>
      <c r="D24" s="3"/>
      <c r="E24" s="26" t="s">
        <v>16</v>
      </c>
      <c r="F24" s="26" t="s">
        <v>17</v>
      </c>
      <c r="G24" s="3"/>
      <c r="H24" s="27" t="s">
        <v>37</v>
      </c>
      <c r="I24" s="27">
        <v>2025</v>
      </c>
      <c r="J24" s="27" t="s">
        <v>19</v>
      </c>
      <c r="K24" s="28" t="s">
        <v>47</v>
      </c>
      <c r="L24" s="28" t="s">
        <v>24</v>
      </c>
      <c r="M24" s="28" t="s">
        <v>22</v>
      </c>
      <c r="N24" s="29" t="s">
        <v>41</v>
      </c>
      <c r="O24" s="28" t="s">
        <v>27</v>
      </c>
      <c r="P24" s="28" t="s">
        <v>28</v>
      </c>
      <c r="Q24" s="30"/>
      <c r="R24" s="32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/>
      <c r="AF24"/>
      <c r="AG24"/>
      <c r="AH24"/>
      <c r="AI24"/>
      <c r="AJ24"/>
      <c r="AK24"/>
      <c r="AL24"/>
      <c r="AM24"/>
    </row>
    <row r="25" spans="1:39" s="10" customFormat="1" ht="36" x14ac:dyDescent="0.3">
      <c r="A25" s="26" t="str">
        <f t="shared" si="0"/>
        <v>2025연세대</v>
      </c>
      <c r="B25" s="26">
        <f>COUNTIFS($A$4:A25,A25)</f>
        <v>7</v>
      </c>
      <c r="C25" s="26" t="str">
        <f t="shared" si="1"/>
        <v>2025연세대7</v>
      </c>
      <c r="D25" s="3"/>
      <c r="E25" s="26" t="s">
        <v>16</v>
      </c>
      <c r="F25" s="26" t="s">
        <v>17</v>
      </c>
      <c r="G25" s="3"/>
      <c r="H25" s="27" t="s">
        <v>37</v>
      </c>
      <c r="I25" s="27">
        <v>2025</v>
      </c>
      <c r="J25" s="27" t="s">
        <v>19</v>
      </c>
      <c r="K25" s="28" t="s">
        <v>47</v>
      </c>
      <c r="L25" s="28" t="s">
        <v>24</v>
      </c>
      <c r="M25" s="28" t="s">
        <v>42</v>
      </c>
      <c r="N25" s="29" t="s">
        <v>43</v>
      </c>
      <c r="O25" s="28" t="s">
        <v>27</v>
      </c>
      <c r="P25" s="28" t="s">
        <v>28</v>
      </c>
      <c r="Q25" s="30"/>
      <c r="R25" s="32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/>
      <c r="AF25"/>
      <c r="AG25"/>
      <c r="AH25"/>
      <c r="AI25"/>
      <c r="AJ25"/>
      <c r="AK25"/>
      <c r="AL25"/>
      <c r="AM25"/>
    </row>
    <row r="26" spans="1:39" s="10" customFormat="1" ht="30" customHeight="1" x14ac:dyDescent="0.3">
      <c r="A26" s="26" t="str">
        <f t="shared" si="0"/>
        <v>2025연세대</v>
      </c>
      <c r="B26" s="26">
        <f>COUNTIFS($A$4:A26,A26)</f>
        <v>8</v>
      </c>
      <c r="C26" s="26" t="str">
        <f t="shared" si="1"/>
        <v>2025연세대8</v>
      </c>
      <c r="D26" s="3"/>
      <c r="E26" s="26" t="s">
        <v>16</v>
      </c>
      <c r="F26" s="26" t="s">
        <v>17</v>
      </c>
      <c r="G26" s="3"/>
      <c r="H26" s="27" t="s">
        <v>37</v>
      </c>
      <c r="I26" s="27">
        <v>2025</v>
      </c>
      <c r="J26" s="27" t="s">
        <v>19</v>
      </c>
      <c r="K26" s="28" t="s">
        <v>47</v>
      </c>
      <c r="L26" s="28" t="s">
        <v>44</v>
      </c>
      <c r="M26" s="28" t="s">
        <v>22</v>
      </c>
      <c r="N26" s="29" t="s">
        <v>45</v>
      </c>
      <c r="O26" s="28" t="s">
        <v>22</v>
      </c>
      <c r="P26" s="28" t="s">
        <v>22</v>
      </c>
      <c r="Q26" s="30"/>
      <c r="R26" s="31" t="s">
        <v>46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/>
      <c r="AF26"/>
      <c r="AG26"/>
      <c r="AH26"/>
      <c r="AI26"/>
      <c r="AJ26"/>
      <c r="AK26"/>
      <c r="AL26"/>
      <c r="AM26"/>
    </row>
    <row r="27" spans="1:39" s="10" customFormat="1" ht="30" customHeight="1" x14ac:dyDescent="0.3">
      <c r="A27" s="26" t="str">
        <f t="shared" si="0"/>
        <v>2025연세대</v>
      </c>
      <c r="B27" s="26">
        <f>COUNTIFS($A$4:A27,A27)</f>
        <v>9</v>
      </c>
      <c r="C27" s="26" t="str">
        <f t="shared" si="1"/>
        <v>2025연세대9</v>
      </c>
      <c r="D27" s="3"/>
      <c r="E27" s="26" t="s">
        <v>16</v>
      </c>
      <c r="F27" s="26" t="s">
        <v>17</v>
      </c>
      <c r="G27" s="3"/>
      <c r="H27" s="28" t="s">
        <v>37</v>
      </c>
      <c r="I27" s="27">
        <v>2025</v>
      </c>
      <c r="J27" s="27" t="s">
        <v>19</v>
      </c>
      <c r="K27" s="28" t="s">
        <v>48</v>
      </c>
      <c r="L27" s="28" t="s">
        <v>21</v>
      </c>
      <c r="M27" s="28" t="s">
        <v>22</v>
      </c>
      <c r="N27" s="29" t="s">
        <v>49</v>
      </c>
      <c r="O27" s="28" t="s">
        <v>22</v>
      </c>
      <c r="P27" s="28" t="s">
        <v>22</v>
      </c>
      <c r="Q27" s="30"/>
      <c r="R27" s="30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/>
      <c r="AF27"/>
      <c r="AG27"/>
      <c r="AH27"/>
      <c r="AI27"/>
      <c r="AJ27"/>
      <c r="AK27"/>
      <c r="AL27"/>
      <c r="AM27"/>
    </row>
    <row r="28" spans="1:39" s="10" customFormat="1" ht="30" customHeight="1" x14ac:dyDescent="0.3">
      <c r="A28" s="26" t="str">
        <f t="shared" si="0"/>
        <v>2025연세대</v>
      </c>
      <c r="B28" s="26">
        <f>COUNTIFS($A$4:A28,A28)</f>
        <v>10</v>
      </c>
      <c r="C28" s="26" t="str">
        <f t="shared" si="1"/>
        <v>2025연세대10</v>
      </c>
      <c r="D28" s="3"/>
      <c r="E28" s="26" t="s">
        <v>16</v>
      </c>
      <c r="F28" s="26" t="s">
        <v>17</v>
      </c>
      <c r="G28" s="3"/>
      <c r="H28" s="28" t="s">
        <v>37</v>
      </c>
      <c r="I28" s="28">
        <v>2025</v>
      </c>
      <c r="J28" s="28" t="s">
        <v>50</v>
      </c>
      <c r="K28" s="28" t="s">
        <v>50</v>
      </c>
      <c r="L28" s="28" t="s">
        <v>21</v>
      </c>
      <c r="M28" s="28" t="s">
        <v>22</v>
      </c>
      <c r="N28" s="29" t="s">
        <v>33</v>
      </c>
      <c r="O28" s="28" t="s">
        <v>22</v>
      </c>
      <c r="P28" s="28" t="s">
        <v>22</v>
      </c>
      <c r="Q28" s="30"/>
      <c r="R28" s="30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/>
      <c r="AF28"/>
      <c r="AG28"/>
      <c r="AH28"/>
      <c r="AI28"/>
      <c r="AJ28"/>
      <c r="AK28"/>
      <c r="AL28"/>
      <c r="AM28"/>
    </row>
    <row r="29" spans="1:39" s="10" customFormat="1" ht="30" customHeight="1" x14ac:dyDescent="0.3">
      <c r="A29" s="26" t="str">
        <f t="shared" si="0"/>
        <v>2025연세대</v>
      </c>
      <c r="B29" s="26">
        <f>COUNTIFS($A$4:A29,A29)</f>
        <v>11</v>
      </c>
      <c r="C29" s="26" t="str">
        <f t="shared" si="1"/>
        <v>2025연세대11</v>
      </c>
      <c r="D29" s="3"/>
      <c r="E29" s="26" t="s">
        <v>16</v>
      </c>
      <c r="F29" s="26" t="s">
        <v>17</v>
      </c>
      <c r="G29" s="3"/>
      <c r="H29" s="27" t="s">
        <v>37</v>
      </c>
      <c r="I29" s="27">
        <v>2025</v>
      </c>
      <c r="J29" s="27" t="s">
        <v>50</v>
      </c>
      <c r="K29" s="28" t="s">
        <v>50</v>
      </c>
      <c r="L29" s="28" t="s">
        <v>24</v>
      </c>
      <c r="M29" s="28" t="s">
        <v>22</v>
      </c>
      <c r="N29" s="29" t="s">
        <v>33</v>
      </c>
      <c r="O29" s="28" t="s">
        <v>22</v>
      </c>
      <c r="P29" s="28" t="s">
        <v>22</v>
      </c>
      <c r="Q29" s="30"/>
      <c r="R29" s="30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/>
      <c r="AF29"/>
      <c r="AG29"/>
      <c r="AH29"/>
      <c r="AI29"/>
      <c r="AJ29"/>
      <c r="AK29"/>
      <c r="AL29"/>
      <c r="AM29"/>
    </row>
    <row r="30" spans="1:39" s="10" customFormat="1" ht="30" customHeight="1" x14ac:dyDescent="0.3">
      <c r="A30" s="26" t="str">
        <f t="shared" si="0"/>
        <v>2026연세대</v>
      </c>
      <c r="B30" s="26">
        <f>COUNTIFS($A$4:A30,A30)</f>
        <v>1</v>
      </c>
      <c r="C30" s="26" t="str">
        <f t="shared" si="1"/>
        <v>2026연세대1</v>
      </c>
      <c r="D30" s="3"/>
      <c r="E30" s="26" t="s">
        <v>16</v>
      </c>
      <c r="F30" s="26" t="s">
        <v>17</v>
      </c>
      <c r="G30" s="3"/>
      <c r="H30" s="27" t="s">
        <v>37</v>
      </c>
      <c r="I30" s="27">
        <v>2026</v>
      </c>
      <c r="J30" s="27" t="s">
        <v>38</v>
      </c>
      <c r="K30" s="28" t="s">
        <v>39</v>
      </c>
      <c r="L30" s="28" t="s">
        <v>21</v>
      </c>
      <c r="M30" s="28" t="s">
        <v>22</v>
      </c>
      <c r="N30" s="29" t="s">
        <v>40</v>
      </c>
      <c r="O30" s="28" t="s">
        <v>22</v>
      </c>
      <c r="P30" s="28" t="s">
        <v>22</v>
      </c>
      <c r="Q30" s="30"/>
      <c r="R30" s="30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/>
      <c r="AF30"/>
      <c r="AG30"/>
      <c r="AH30"/>
      <c r="AI30"/>
      <c r="AJ30"/>
      <c r="AK30"/>
      <c r="AL30"/>
      <c r="AM30"/>
    </row>
    <row r="31" spans="1:39" s="10" customFormat="1" ht="30" customHeight="1" x14ac:dyDescent="0.3">
      <c r="A31" s="26" t="str">
        <f t="shared" si="0"/>
        <v>2026연세대</v>
      </c>
      <c r="B31" s="26">
        <f>COUNTIFS($A$4:A31,A31)</f>
        <v>2</v>
      </c>
      <c r="C31" s="26" t="str">
        <f t="shared" si="1"/>
        <v>2026연세대2</v>
      </c>
      <c r="D31" s="3"/>
      <c r="E31" s="26" t="s">
        <v>16</v>
      </c>
      <c r="F31" s="26" t="s">
        <v>17</v>
      </c>
      <c r="G31" s="3"/>
      <c r="H31" s="27" t="s">
        <v>37</v>
      </c>
      <c r="I31" s="27">
        <v>2026</v>
      </c>
      <c r="J31" s="27" t="s">
        <v>38</v>
      </c>
      <c r="K31" s="28" t="s">
        <v>39</v>
      </c>
      <c r="L31" s="28" t="s">
        <v>24</v>
      </c>
      <c r="M31" s="28" t="s">
        <v>22</v>
      </c>
      <c r="N31" s="29" t="s">
        <v>41</v>
      </c>
      <c r="O31" s="28" t="s">
        <v>27</v>
      </c>
      <c r="P31" s="28" t="s">
        <v>28</v>
      </c>
      <c r="Q31" s="30"/>
      <c r="R31" s="32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/>
      <c r="AF31"/>
      <c r="AG31"/>
      <c r="AH31"/>
      <c r="AI31"/>
      <c r="AJ31"/>
      <c r="AK31"/>
      <c r="AL31"/>
      <c r="AM31"/>
    </row>
    <row r="32" spans="1:39" s="10" customFormat="1" ht="36" x14ac:dyDescent="0.3">
      <c r="A32" s="26" t="str">
        <f t="shared" si="0"/>
        <v>2026연세대</v>
      </c>
      <c r="B32" s="26">
        <f>COUNTIFS($A$4:A32,A32)</f>
        <v>3</v>
      </c>
      <c r="C32" s="26" t="str">
        <f t="shared" si="1"/>
        <v>2026연세대3</v>
      </c>
      <c r="D32" s="3"/>
      <c r="E32" s="26" t="s">
        <v>16</v>
      </c>
      <c r="F32" s="26" t="s">
        <v>17</v>
      </c>
      <c r="G32" s="3"/>
      <c r="H32" s="27" t="s">
        <v>37</v>
      </c>
      <c r="I32" s="27">
        <v>2026</v>
      </c>
      <c r="J32" s="27" t="s">
        <v>38</v>
      </c>
      <c r="K32" s="28" t="s">
        <v>39</v>
      </c>
      <c r="L32" s="28" t="s">
        <v>24</v>
      </c>
      <c r="M32" s="28" t="s">
        <v>42</v>
      </c>
      <c r="N32" s="29" t="s">
        <v>43</v>
      </c>
      <c r="O32" s="28" t="s">
        <v>27</v>
      </c>
      <c r="P32" s="28" t="s">
        <v>28</v>
      </c>
      <c r="Q32" s="30"/>
      <c r="R32" s="30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/>
      <c r="AF32"/>
      <c r="AG32"/>
      <c r="AH32"/>
      <c r="AI32"/>
      <c r="AJ32"/>
      <c r="AK32"/>
      <c r="AL32"/>
      <c r="AM32"/>
    </row>
    <row r="33" spans="1:39" s="10" customFormat="1" ht="30" customHeight="1" x14ac:dyDescent="0.3">
      <c r="A33" s="26" t="str">
        <f t="shared" si="0"/>
        <v>2026연세대</v>
      </c>
      <c r="B33" s="26">
        <f>COUNTIFS($A$4:A33,A33)</f>
        <v>4</v>
      </c>
      <c r="C33" s="26" t="str">
        <f t="shared" si="1"/>
        <v>2026연세대4</v>
      </c>
      <c r="D33" s="3"/>
      <c r="E33" s="26" t="s">
        <v>16</v>
      </c>
      <c r="F33" s="26" t="s">
        <v>17</v>
      </c>
      <c r="G33" s="3"/>
      <c r="H33" s="27" t="s">
        <v>37</v>
      </c>
      <c r="I33" s="27">
        <v>2026</v>
      </c>
      <c r="J33" s="27" t="s">
        <v>38</v>
      </c>
      <c r="K33" s="28" t="s">
        <v>39</v>
      </c>
      <c r="L33" s="28" t="s">
        <v>44</v>
      </c>
      <c r="M33" s="28" t="s">
        <v>22</v>
      </c>
      <c r="N33" s="29" t="s">
        <v>45</v>
      </c>
      <c r="O33" s="28" t="s">
        <v>22</v>
      </c>
      <c r="P33" s="28" t="s">
        <v>22</v>
      </c>
      <c r="Q33" s="30"/>
      <c r="R33" s="31" t="s">
        <v>46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/>
      <c r="AF33"/>
      <c r="AG33"/>
      <c r="AH33"/>
      <c r="AI33"/>
      <c r="AJ33"/>
      <c r="AK33"/>
      <c r="AL33"/>
      <c r="AM33"/>
    </row>
    <row r="34" spans="1:39" s="11" customFormat="1" ht="30" customHeight="1" x14ac:dyDescent="0.3">
      <c r="A34" s="26" t="str">
        <f t="shared" si="0"/>
        <v>2026연세대</v>
      </c>
      <c r="B34" s="26">
        <f>COUNTIFS($A$4:A34,A34)</f>
        <v>5</v>
      </c>
      <c r="C34" s="26" t="str">
        <f t="shared" si="1"/>
        <v>2026연세대5</v>
      </c>
      <c r="D34" s="3"/>
      <c r="E34" s="26" t="s">
        <v>16</v>
      </c>
      <c r="F34" s="26" t="s">
        <v>17</v>
      </c>
      <c r="G34" s="3"/>
      <c r="H34" s="28" t="s">
        <v>37</v>
      </c>
      <c r="I34" s="27">
        <v>2026</v>
      </c>
      <c r="J34" s="27" t="s">
        <v>19</v>
      </c>
      <c r="K34" s="28" t="s">
        <v>47</v>
      </c>
      <c r="L34" s="28" t="s">
        <v>21</v>
      </c>
      <c r="M34" s="28" t="s">
        <v>22</v>
      </c>
      <c r="N34" s="29" t="s">
        <v>40</v>
      </c>
      <c r="O34" s="28" t="s">
        <v>22</v>
      </c>
      <c r="P34" s="28" t="s">
        <v>22</v>
      </c>
      <c r="Q34" s="30"/>
      <c r="R34" s="30"/>
      <c r="S34" s="10"/>
      <c r="AE34"/>
      <c r="AF34"/>
      <c r="AG34"/>
      <c r="AH34"/>
      <c r="AI34"/>
      <c r="AJ34"/>
      <c r="AK34"/>
      <c r="AL34"/>
      <c r="AM34"/>
    </row>
    <row r="35" spans="1:39" s="11" customFormat="1" ht="30" customHeight="1" x14ac:dyDescent="0.3">
      <c r="A35" s="26" t="str">
        <f t="shared" si="0"/>
        <v>2026연세대</v>
      </c>
      <c r="B35" s="26">
        <f>COUNTIFS($A$4:A35,A35)</f>
        <v>6</v>
      </c>
      <c r="C35" s="26" t="str">
        <f t="shared" si="1"/>
        <v>2026연세대6</v>
      </c>
      <c r="D35" s="3"/>
      <c r="E35" s="26" t="s">
        <v>16</v>
      </c>
      <c r="F35" s="26" t="s">
        <v>17</v>
      </c>
      <c r="G35" s="3"/>
      <c r="H35" s="27" t="s">
        <v>37</v>
      </c>
      <c r="I35" s="27">
        <v>2026</v>
      </c>
      <c r="J35" s="27" t="s">
        <v>19</v>
      </c>
      <c r="K35" s="28" t="s">
        <v>47</v>
      </c>
      <c r="L35" s="28" t="s">
        <v>24</v>
      </c>
      <c r="M35" s="28" t="s">
        <v>22</v>
      </c>
      <c r="N35" s="29" t="s">
        <v>41</v>
      </c>
      <c r="O35" s="28" t="s">
        <v>27</v>
      </c>
      <c r="P35" s="28" t="s">
        <v>28</v>
      </c>
      <c r="Q35" s="30"/>
      <c r="R35" s="30"/>
      <c r="S35" s="10"/>
      <c r="AE35"/>
      <c r="AF35"/>
      <c r="AG35"/>
      <c r="AH35"/>
      <c r="AI35"/>
      <c r="AJ35"/>
      <c r="AK35"/>
      <c r="AL35"/>
      <c r="AM35"/>
    </row>
    <row r="36" spans="1:39" s="11" customFormat="1" ht="36" x14ac:dyDescent="0.3">
      <c r="A36" s="26" t="str">
        <f t="shared" si="0"/>
        <v>2026연세대</v>
      </c>
      <c r="B36" s="26">
        <f>COUNTIFS($A$4:A36,A36)</f>
        <v>7</v>
      </c>
      <c r="C36" s="26" t="str">
        <f t="shared" si="1"/>
        <v>2026연세대7</v>
      </c>
      <c r="D36" s="3"/>
      <c r="E36" s="26" t="s">
        <v>16</v>
      </c>
      <c r="F36" s="26" t="s">
        <v>17</v>
      </c>
      <c r="G36" s="3"/>
      <c r="H36" s="27" t="s">
        <v>37</v>
      </c>
      <c r="I36" s="27">
        <v>2026</v>
      </c>
      <c r="J36" s="27" t="s">
        <v>19</v>
      </c>
      <c r="K36" s="28" t="s">
        <v>47</v>
      </c>
      <c r="L36" s="28" t="s">
        <v>24</v>
      </c>
      <c r="M36" s="28" t="s">
        <v>42</v>
      </c>
      <c r="N36" s="29" t="s">
        <v>43</v>
      </c>
      <c r="O36" s="28" t="s">
        <v>27</v>
      </c>
      <c r="P36" s="28" t="s">
        <v>28</v>
      </c>
      <c r="Q36" s="30"/>
      <c r="R36" s="30"/>
      <c r="S36" s="10"/>
      <c r="AE36"/>
      <c r="AF36"/>
      <c r="AG36"/>
      <c r="AH36"/>
      <c r="AI36"/>
      <c r="AJ36"/>
      <c r="AK36"/>
      <c r="AL36"/>
      <c r="AM36"/>
    </row>
    <row r="37" spans="1:39" s="11" customFormat="1" ht="30" customHeight="1" x14ac:dyDescent="0.3">
      <c r="A37" s="26" t="str">
        <f t="shared" si="0"/>
        <v>2026연세대</v>
      </c>
      <c r="B37" s="26">
        <f>COUNTIFS($A$4:A37,A37)</f>
        <v>8</v>
      </c>
      <c r="C37" s="26" t="str">
        <f t="shared" si="1"/>
        <v>2026연세대8</v>
      </c>
      <c r="D37" s="3"/>
      <c r="E37" s="26" t="s">
        <v>16</v>
      </c>
      <c r="F37" s="26" t="s">
        <v>17</v>
      </c>
      <c r="G37" s="3"/>
      <c r="H37" s="27" t="s">
        <v>37</v>
      </c>
      <c r="I37" s="27">
        <v>2026</v>
      </c>
      <c r="J37" s="27" t="s">
        <v>19</v>
      </c>
      <c r="K37" s="28" t="s">
        <v>47</v>
      </c>
      <c r="L37" s="28" t="s">
        <v>44</v>
      </c>
      <c r="M37" s="28" t="s">
        <v>22</v>
      </c>
      <c r="N37" s="29" t="s">
        <v>45</v>
      </c>
      <c r="O37" s="28" t="s">
        <v>22</v>
      </c>
      <c r="P37" s="28" t="s">
        <v>22</v>
      </c>
      <c r="Q37" s="30"/>
      <c r="R37" s="31" t="s">
        <v>46</v>
      </c>
      <c r="S37" s="10"/>
      <c r="AE37"/>
      <c r="AF37"/>
      <c r="AG37"/>
      <c r="AH37"/>
      <c r="AI37"/>
      <c r="AJ37"/>
      <c r="AK37"/>
      <c r="AL37"/>
      <c r="AM37"/>
    </row>
    <row r="38" spans="1:39" s="11" customFormat="1" ht="30" customHeight="1" x14ac:dyDescent="0.3">
      <c r="A38" s="26" t="str">
        <f t="shared" si="0"/>
        <v>2026연세대</v>
      </c>
      <c r="B38" s="26">
        <f>COUNTIFS($A$4:A38,A38)</f>
        <v>9</v>
      </c>
      <c r="C38" s="26" t="str">
        <f t="shared" si="1"/>
        <v>2026연세대9</v>
      </c>
      <c r="D38" s="3"/>
      <c r="E38" s="26" t="s">
        <v>16</v>
      </c>
      <c r="F38" s="26" t="s">
        <v>17</v>
      </c>
      <c r="G38" s="3"/>
      <c r="H38" s="27" t="s">
        <v>37</v>
      </c>
      <c r="I38" s="27">
        <v>2026</v>
      </c>
      <c r="J38" s="27" t="s">
        <v>19</v>
      </c>
      <c r="K38" s="28" t="s">
        <v>48</v>
      </c>
      <c r="L38" s="28" t="s">
        <v>21</v>
      </c>
      <c r="M38" s="28" t="s">
        <v>22</v>
      </c>
      <c r="N38" s="29" t="s">
        <v>49</v>
      </c>
      <c r="O38" s="28" t="s">
        <v>22</v>
      </c>
      <c r="P38" s="28" t="s">
        <v>22</v>
      </c>
      <c r="Q38" s="30"/>
      <c r="R38" s="30"/>
      <c r="S38" s="10"/>
      <c r="AE38"/>
      <c r="AF38"/>
      <c r="AG38"/>
      <c r="AH38"/>
      <c r="AI38"/>
      <c r="AJ38"/>
      <c r="AK38"/>
      <c r="AL38"/>
      <c r="AM38"/>
    </row>
    <row r="39" spans="1:39" s="11" customFormat="1" ht="30" customHeight="1" x14ac:dyDescent="0.3">
      <c r="A39" s="26" t="str">
        <f t="shared" si="0"/>
        <v>2026연세대</v>
      </c>
      <c r="B39" s="26">
        <f>COUNTIFS($A$4:A39,A39)</f>
        <v>10</v>
      </c>
      <c r="C39" s="26" t="str">
        <f t="shared" si="1"/>
        <v>2026연세대10</v>
      </c>
      <c r="D39" s="3"/>
      <c r="E39" s="26" t="s">
        <v>16</v>
      </c>
      <c r="F39" s="26" t="s">
        <v>17</v>
      </c>
      <c r="G39" s="3"/>
      <c r="H39" s="27" t="s">
        <v>37</v>
      </c>
      <c r="I39" s="27">
        <v>2026</v>
      </c>
      <c r="J39" s="27" t="s">
        <v>50</v>
      </c>
      <c r="K39" s="28" t="s">
        <v>50</v>
      </c>
      <c r="L39" s="28" t="s">
        <v>21</v>
      </c>
      <c r="M39" s="28" t="s">
        <v>22</v>
      </c>
      <c r="N39" s="29" t="s">
        <v>33</v>
      </c>
      <c r="O39" s="28" t="s">
        <v>22</v>
      </c>
      <c r="P39" s="28" t="s">
        <v>22</v>
      </c>
      <c r="Q39" s="30"/>
      <c r="R39" s="30"/>
      <c r="S39" s="10"/>
      <c r="AE39"/>
      <c r="AF39"/>
      <c r="AG39"/>
      <c r="AH39"/>
      <c r="AI39"/>
      <c r="AJ39"/>
      <c r="AK39"/>
      <c r="AL39"/>
      <c r="AM39"/>
    </row>
    <row r="40" spans="1:39" s="11" customFormat="1" ht="30" customHeight="1" x14ac:dyDescent="0.3">
      <c r="A40" s="26" t="str">
        <f t="shared" si="0"/>
        <v>2026연세대</v>
      </c>
      <c r="B40" s="26">
        <f>COUNTIFS($A$4:A40,A40)</f>
        <v>11</v>
      </c>
      <c r="C40" s="26" t="str">
        <f t="shared" si="1"/>
        <v>2026연세대11</v>
      </c>
      <c r="D40" s="3"/>
      <c r="E40" s="26" t="s">
        <v>16</v>
      </c>
      <c r="F40" s="26" t="s">
        <v>17</v>
      </c>
      <c r="G40" s="3"/>
      <c r="H40" s="27" t="s">
        <v>37</v>
      </c>
      <c r="I40" s="27">
        <v>2026</v>
      </c>
      <c r="J40" s="27" t="s">
        <v>50</v>
      </c>
      <c r="K40" s="28" t="s">
        <v>50</v>
      </c>
      <c r="L40" s="28" t="s">
        <v>24</v>
      </c>
      <c r="M40" s="28" t="s">
        <v>22</v>
      </c>
      <c r="N40" s="29" t="s">
        <v>33</v>
      </c>
      <c r="O40" s="28" t="s">
        <v>22</v>
      </c>
      <c r="P40" s="28" t="s">
        <v>22</v>
      </c>
      <c r="Q40" s="30"/>
      <c r="R40" s="30"/>
      <c r="S40" s="10"/>
      <c r="AE40"/>
      <c r="AF40"/>
      <c r="AG40"/>
      <c r="AH40"/>
      <c r="AI40"/>
      <c r="AJ40"/>
      <c r="AK40"/>
      <c r="AL40"/>
      <c r="AM40"/>
    </row>
    <row r="41" spans="1:39" s="11" customFormat="1" ht="30" customHeight="1" x14ac:dyDescent="0.3">
      <c r="A41" s="26" t="str">
        <f t="shared" si="0"/>
        <v>2027연세대</v>
      </c>
      <c r="B41" s="26">
        <f>COUNTIFS($A$4:A41,A41)</f>
        <v>1</v>
      </c>
      <c r="C41" s="26" t="str">
        <f t="shared" si="1"/>
        <v>2027연세대1</v>
      </c>
      <c r="D41" s="3"/>
      <c r="E41" s="26" t="s">
        <v>16</v>
      </c>
      <c r="F41" s="26" t="s">
        <v>17</v>
      </c>
      <c r="G41" s="3"/>
      <c r="H41" s="28" t="s">
        <v>37</v>
      </c>
      <c r="I41" s="28">
        <v>2027</v>
      </c>
      <c r="J41" s="28" t="s">
        <v>38</v>
      </c>
      <c r="K41" s="28" t="s">
        <v>39</v>
      </c>
      <c r="L41" s="28" t="s">
        <v>21</v>
      </c>
      <c r="M41" s="28" t="s">
        <v>22</v>
      </c>
      <c r="N41" s="29" t="s">
        <v>40</v>
      </c>
      <c r="O41" s="28" t="s">
        <v>22</v>
      </c>
      <c r="P41" s="28" t="s">
        <v>22</v>
      </c>
      <c r="Q41" s="30"/>
      <c r="R41" s="30"/>
      <c r="S41" s="10"/>
      <c r="AE41"/>
      <c r="AF41"/>
      <c r="AG41"/>
      <c r="AH41"/>
      <c r="AI41"/>
      <c r="AJ41"/>
      <c r="AK41"/>
      <c r="AL41"/>
      <c r="AM41"/>
    </row>
    <row r="42" spans="1:39" s="11" customFormat="1" ht="30" customHeight="1" x14ac:dyDescent="0.3">
      <c r="A42" s="26" t="str">
        <f t="shared" si="0"/>
        <v>2027연세대</v>
      </c>
      <c r="B42" s="26">
        <f>COUNTIFS($A$4:A42,A42)</f>
        <v>2</v>
      </c>
      <c r="C42" s="26" t="str">
        <f t="shared" si="1"/>
        <v>2027연세대2</v>
      </c>
      <c r="D42" s="3"/>
      <c r="E42" s="26" t="s">
        <v>16</v>
      </c>
      <c r="F42" s="26" t="s">
        <v>17</v>
      </c>
      <c r="G42" s="3"/>
      <c r="H42" s="28" t="s">
        <v>37</v>
      </c>
      <c r="I42" s="28">
        <v>2027</v>
      </c>
      <c r="J42" s="28" t="s">
        <v>38</v>
      </c>
      <c r="K42" s="28" t="s">
        <v>39</v>
      </c>
      <c r="L42" s="28" t="s">
        <v>24</v>
      </c>
      <c r="M42" s="28" t="s">
        <v>22</v>
      </c>
      <c r="N42" s="29" t="s">
        <v>41</v>
      </c>
      <c r="O42" s="28" t="s">
        <v>27</v>
      </c>
      <c r="P42" s="28" t="s">
        <v>28</v>
      </c>
      <c r="Q42" s="30"/>
      <c r="R42" s="30"/>
      <c r="S42" s="10"/>
      <c r="AE42"/>
      <c r="AF42"/>
      <c r="AG42"/>
      <c r="AH42"/>
      <c r="AI42"/>
      <c r="AJ42"/>
      <c r="AK42"/>
      <c r="AL42"/>
      <c r="AM42"/>
    </row>
    <row r="43" spans="1:39" s="11" customFormat="1" ht="36" x14ac:dyDescent="0.3">
      <c r="A43" s="26" t="str">
        <f t="shared" si="0"/>
        <v>2027연세대</v>
      </c>
      <c r="B43" s="26">
        <f>COUNTIFS($A$4:A43,A43)</f>
        <v>3</v>
      </c>
      <c r="C43" s="26" t="str">
        <f t="shared" si="1"/>
        <v>2027연세대3</v>
      </c>
      <c r="D43" s="3"/>
      <c r="E43" s="26" t="s">
        <v>16</v>
      </c>
      <c r="F43" s="26" t="s">
        <v>17</v>
      </c>
      <c r="G43" s="3"/>
      <c r="H43" s="28" t="s">
        <v>37</v>
      </c>
      <c r="I43" s="28">
        <v>2027</v>
      </c>
      <c r="J43" s="28" t="s">
        <v>38</v>
      </c>
      <c r="K43" s="28" t="s">
        <v>39</v>
      </c>
      <c r="L43" s="28" t="s">
        <v>24</v>
      </c>
      <c r="M43" s="28" t="s">
        <v>42</v>
      </c>
      <c r="N43" s="29" t="s">
        <v>43</v>
      </c>
      <c r="O43" s="28" t="s">
        <v>27</v>
      </c>
      <c r="P43" s="28" t="s">
        <v>28</v>
      </c>
      <c r="Q43" s="30"/>
      <c r="R43" s="30"/>
      <c r="S43" s="10"/>
      <c r="AE43"/>
      <c r="AF43"/>
      <c r="AG43"/>
      <c r="AH43"/>
      <c r="AI43"/>
      <c r="AJ43"/>
      <c r="AK43"/>
      <c r="AL43"/>
      <c r="AM43"/>
    </row>
    <row r="44" spans="1:39" s="11" customFormat="1" ht="30" customHeight="1" x14ac:dyDescent="0.3">
      <c r="A44" s="26" t="str">
        <f t="shared" si="0"/>
        <v>2027연세대</v>
      </c>
      <c r="B44" s="26">
        <f>COUNTIFS($A$4:A44,A44)</f>
        <v>4</v>
      </c>
      <c r="C44" s="26" t="str">
        <f t="shared" si="1"/>
        <v>2027연세대4</v>
      </c>
      <c r="D44" s="3"/>
      <c r="E44" s="26" t="s">
        <v>16</v>
      </c>
      <c r="F44" s="26" t="s">
        <v>17</v>
      </c>
      <c r="G44" s="3"/>
      <c r="H44" s="28" t="s">
        <v>37</v>
      </c>
      <c r="I44" s="28">
        <v>2027</v>
      </c>
      <c r="J44" s="28" t="s">
        <v>38</v>
      </c>
      <c r="K44" s="28" t="s">
        <v>39</v>
      </c>
      <c r="L44" s="28" t="s">
        <v>44</v>
      </c>
      <c r="M44" s="28" t="s">
        <v>22</v>
      </c>
      <c r="N44" s="29" t="s">
        <v>45</v>
      </c>
      <c r="O44" s="28" t="s">
        <v>22</v>
      </c>
      <c r="P44" s="28" t="s">
        <v>22</v>
      </c>
      <c r="Q44" s="30"/>
      <c r="R44" s="31" t="s">
        <v>46</v>
      </c>
      <c r="S44" s="10"/>
      <c r="AE44"/>
      <c r="AF44"/>
      <c r="AG44"/>
      <c r="AH44"/>
      <c r="AI44"/>
      <c r="AJ44"/>
      <c r="AK44"/>
      <c r="AL44"/>
      <c r="AM44"/>
    </row>
    <row r="45" spans="1:39" s="11" customFormat="1" ht="30" customHeight="1" x14ac:dyDescent="0.3">
      <c r="A45" s="26" t="str">
        <f t="shared" si="0"/>
        <v>2027연세대</v>
      </c>
      <c r="B45" s="26">
        <f>COUNTIFS($A$4:A45,A45)</f>
        <v>5</v>
      </c>
      <c r="C45" s="26" t="str">
        <f t="shared" si="1"/>
        <v>2027연세대5</v>
      </c>
      <c r="D45" s="3"/>
      <c r="E45" s="26" t="s">
        <v>16</v>
      </c>
      <c r="F45" s="26" t="s">
        <v>17</v>
      </c>
      <c r="G45" s="3"/>
      <c r="H45" s="27" t="s">
        <v>37</v>
      </c>
      <c r="I45" s="27">
        <v>2027</v>
      </c>
      <c r="J45" s="27" t="s">
        <v>19</v>
      </c>
      <c r="K45" s="28" t="s">
        <v>47</v>
      </c>
      <c r="L45" s="28" t="s">
        <v>21</v>
      </c>
      <c r="M45" s="28" t="s">
        <v>22</v>
      </c>
      <c r="N45" s="29" t="s">
        <v>40</v>
      </c>
      <c r="O45" s="28" t="s">
        <v>22</v>
      </c>
      <c r="P45" s="28" t="s">
        <v>22</v>
      </c>
      <c r="Q45" s="30"/>
      <c r="R45" s="32"/>
      <c r="S45" s="10"/>
      <c r="AE45"/>
      <c r="AF45"/>
      <c r="AG45"/>
      <c r="AH45"/>
      <c r="AI45"/>
      <c r="AJ45"/>
      <c r="AK45"/>
      <c r="AL45"/>
      <c r="AM45"/>
    </row>
    <row r="46" spans="1:39" s="11" customFormat="1" ht="30" customHeight="1" x14ac:dyDescent="0.3">
      <c r="A46" s="26" t="str">
        <f t="shared" si="0"/>
        <v>2027연세대</v>
      </c>
      <c r="B46" s="26">
        <f>COUNTIFS($A$4:A46,A46)</f>
        <v>6</v>
      </c>
      <c r="C46" s="26" t="str">
        <f t="shared" si="1"/>
        <v>2027연세대6</v>
      </c>
      <c r="D46" s="3"/>
      <c r="E46" s="26" t="s">
        <v>16</v>
      </c>
      <c r="F46" s="26" t="s">
        <v>17</v>
      </c>
      <c r="G46" s="3"/>
      <c r="H46" s="27" t="s">
        <v>37</v>
      </c>
      <c r="I46" s="27">
        <v>2027</v>
      </c>
      <c r="J46" s="27" t="s">
        <v>19</v>
      </c>
      <c r="K46" s="28" t="s">
        <v>47</v>
      </c>
      <c r="L46" s="28" t="s">
        <v>24</v>
      </c>
      <c r="M46" s="28" t="s">
        <v>22</v>
      </c>
      <c r="N46" s="29" t="s">
        <v>41</v>
      </c>
      <c r="O46" s="28" t="s">
        <v>27</v>
      </c>
      <c r="P46" s="28" t="s">
        <v>28</v>
      </c>
      <c r="Q46" s="30"/>
      <c r="R46" s="32"/>
      <c r="S46" s="10"/>
      <c r="AE46"/>
      <c r="AF46"/>
      <c r="AG46"/>
      <c r="AH46"/>
      <c r="AI46"/>
      <c r="AJ46"/>
      <c r="AK46"/>
      <c r="AL46"/>
      <c r="AM46"/>
    </row>
    <row r="47" spans="1:39" s="11" customFormat="1" ht="36" x14ac:dyDescent="0.3">
      <c r="A47" s="26" t="str">
        <f t="shared" si="0"/>
        <v>2027연세대</v>
      </c>
      <c r="B47" s="26">
        <f>COUNTIFS($A$4:A47,A47)</f>
        <v>7</v>
      </c>
      <c r="C47" s="26" t="str">
        <f t="shared" si="1"/>
        <v>2027연세대7</v>
      </c>
      <c r="D47" s="3"/>
      <c r="E47" s="26" t="s">
        <v>16</v>
      </c>
      <c r="F47" s="26" t="s">
        <v>17</v>
      </c>
      <c r="G47" s="3"/>
      <c r="H47" s="27" t="s">
        <v>37</v>
      </c>
      <c r="I47" s="27">
        <v>2027</v>
      </c>
      <c r="J47" s="27" t="s">
        <v>19</v>
      </c>
      <c r="K47" s="28" t="s">
        <v>47</v>
      </c>
      <c r="L47" s="28" t="s">
        <v>24</v>
      </c>
      <c r="M47" s="28" t="s">
        <v>42</v>
      </c>
      <c r="N47" s="29" t="s">
        <v>43</v>
      </c>
      <c r="O47" s="28" t="s">
        <v>27</v>
      </c>
      <c r="P47" s="28" t="s">
        <v>28</v>
      </c>
      <c r="Q47" s="30"/>
      <c r="R47" s="32"/>
      <c r="S47" s="10"/>
      <c r="AE47"/>
      <c r="AF47"/>
      <c r="AG47"/>
      <c r="AH47"/>
      <c r="AI47"/>
      <c r="AJ47"/>
      <c r="AK47"/>
      <c r="AL47"/>
      <c r="AM47"/>
    </row>
    <row r="48" spans="1:39" s="11" customFormat="1" ht="30" customHeight="1" x14ac:dyDescent="0.3">
      <c r="A48" s="26" t="str">
        <f t="shared" si="0"/>
        <v>2027연세대</v>
      </c>
      <c r="B48" s="26">
        <f>COUNTIFS($A$4:A48,A48)</f>
        <v>8</v>
      </c>
      <c r="C48" s="26" t="str">
        <f t="shared" si="1"/>
        <v>2027연세대8</v>
      </c>
      <c r="D48" s="3"/>
      <c r="E48" s="26" t="s">
        <v>16</v>
      </c>
      <c r="F48" s="26" t="s">
        <v>17</v>
      </c>
      <c r="G48" s="3"/>
      <c r="H48" s="27" t="s">
        <v>37</v>
      </c>
      <c r="I48" s="27">
        <v>2027</v>
      </c>
      <c r="J48" s="27" t="s">
        <v>19</v>
      </c>
      <c r="K48" s="28" t="s">
        <v>47</v>
      </c>
      <c r="L48" s="28" t="s">
        <v>44</v>
      </c>
      <c r="M48" s="28" t="s">
        <v>22</v>
      </c>
      <c r="N48" s="29" t="s">
        <v>45</v>
      </c>
      <c r="O48" s="28" t="s">
        <v>22</v>
      </c>
      <c r="P48" s="28" t="s">
        <v>22</v>
      </c>
      <c r="Q48" s="30"/>
      <c r="R48" s="31" t="s">
        <v>46</v>
      </c>
      <c r="S48" s="10"/>
      <c r="AE48"/>
      <c r="AF48"/>
      <c r="AG48"/>
      <c r="AH48"/>
      <c r="AI48"/>
      <c r="AJ48"/>
      <c r="AK48"/>
      <c r="AL48"/>
      <c r="AM48"/>
    </row>
    <row r="49" spans="1:39" s="11" customFormat="1" ht="30" customHeight="1" x14ac:dyDescent="0.3">
      <c r="A49" s="26" t="str">
        <f t="shared" si="0"/>
        <v>2027연세대</v>
      </c>
      <c r="B49" s="26">
        <f>COUNTIFS($A$4:A49,A49)</f>
        <v>9</v>
      </c>
      <c r="C49" s="26" t="str">
        <f t="shared" si="1"/>
        <v>2027연세대9</v>
      </c>
      <c r="D49" s="3"/>
      <c r="E49" s="26" t="s">
        <v>16</v>
      </c>
      <c r="F49" s="26" t="s">
        <v>17</v>
      </c>
      <c r="G49" s="3"/>
      <c r="H49" s="27" t="s">
        <v>37</v>
      </c>
      <c r="I49" s="27">
        <v>2027</v>
      </c>
      <c r="J49" s="27" t="s">
        <v>19</v>
      </c>
      <c r="K49" s="28" t="s">
        <v>48</v>
      </c>
      <c r="L49" s="28" t="s">
        <v>21</v>
      </c>
      <c r="M49" s="28" t="s">
        <v>22</v>
      </c>
      <c r="N49" s="29" t="s">
        <v>49</v>
      </c>
      <c r="O49" s="28" t="s">
        <v>22</v>
      </c>
      <c r="P49" s="28" t="s">
        <v>22</v>
      </c>
      <c r="Q49" s="30"/>
      <c r="R49" s="30"/>
      <c r="S49" s="10"/>
      <c r="AE49"/>
      <c r="AF49"/>
      <c r="AG49"/>
      <c r="AH49"/>
      <c r="AI49"/>
      <c r="AJ49"/>
      <c r="AK49"/>
      <c r="AL49"/>
      <c r="AM49"/>
    </row>
    <row r="50" spans="1:39" s="11" customFormat="1" ht="30" customHeight="1" x14ac:dyDescent="0.3">
      <c r="A50" s="26" t="str">
        <f t="shared" si="0"/>
        <v>2027연세대</v>
      </c>
      <c r="B50" s="26">
        <f>COUNTIFS($A$4:A50,A50)</f>
        <v>10</v>
      </c>
      <c r="C50" s="26" t="str">
        <f t="shared" si="1"/>
        <v>2027연세대10</v>
      </c>
      <c r="D50" s="3"/>
      <c r="E50" s="26" t="s">
        <v>16</v>
      </c>
      <c r="F50" s="26" t="s">
        <v>17</v>
      </c>
      <c r="G50" s="3"/>
      <c r="H50" s="27" t="s">
        <v>37</v>
      </c>
      <c r="I50" s="27">
        <v>2027</v>
      </c>
      <c r="J50" s="27" t="s">
        <v>50</v>
      </c>
      <c r="K50" s="28" t="s">
        <v>50</v>
      </c>
      <c r="L50" s="28" t="s">
        <v>21</v>
      </c>
      <c r="M50" s="28" t="s">
        <v>22</v>
      </c>
      <c r="N50" s="29" t="s">
        <v>33</v>
      </c>
      <c r="O50" s="28" t="s">
        <v>22</v>
      </c>
      <c r="P50" s="28" t="s">
        <v>22</v>
      </c>
      <c r="Q50" s="30"/>
      <c r="R50" s="30"/>
      <c r="S50" s="10"/>
      <c r="AE50"/>
      <c r="AF50"/>
      <c r="AG50"/>
      <c r="AH50"/>
      <c r="AI50"/>
      <c r="AJ50"/>
      <c r="AK50"/>
      <c r="AL50"/>
      <c r="AM50"/>
    </row>
    <row r="51" spans="1:39" s="11" customFormat="1" ht="30" customHeight="1" x14ac:dyDescent="0.3">
      <c r="A51" s="26" t="str">
        <f t="shared" si="0"/>
        <v>2027연세대</v>
      </c>
      <c r="B51" s="26">
        <f>COUNTIFS($A$4:A51,A51)</f>
        <v>11</v>
      </c>
      <c r="C51" s="26" t="str">
        <f t="shared" si="1"/>
        <v>2027연세대11</v>
      </c>
      <c r="D51" s="3"/>
      <c r="E51" s="26" t="s">
        <v>16</v>
      </c>
      <c r="F51" s="26" t="s">
        <v>17</v>
      </c>
      <c r="G51" s="3"/>
      <c r="H51" s="28" t="s">
        <v>37</v>
      </c>
      <c r="I51" s="28">
        <v>2027</v>
      </c>
      <c r="J51" s="28" t="s">
        <v>50</v>
      </c>
      <c r="K51" s="28" t="s">
        <v>50</v>
      </c>
      <c r="L51" s="28" t="s">
        <v>24</v>
      </c>
      <c r="M51" s="28" t="s">
        <v>22</v>
      </c>
      <c r="N51" s="29" t="s">
        <v>33</v>
      </c>
      <c r="O51" s="28" t="s">
        <v>22</v>
      </c>
      <c r="P51" s="28" t="s">
        <v>22</v>
      </c>
      <c r="Q51" s="30"/>
      <c r="R51" s="30"/>
      <c r="S51" s="10"/>
      <c r="AE51"/>
      <c r="AF51"/>
      <c r="AG51"/>
      <c r="AH51"/>
      <c r="AI51"/>
      <c r="AJ51"/>
      <c r="AK51"/>
      <c r="AL51"/>
      <c r="AM51"/>
    </row>
    <row r="52" spans="1:39" s="11" customFormat="1" ht="30" customHeight="1" x14ac:dyDescent="0.3">
      <c r="A52" s="26" t="str">
        <f t="shared" si="0"/>
        <v>2025고려대</v>
      </c>
      <c r="B52" s="26">
        <f>COUNTIFS($A$4:A52,A52)</f>
        <v>1</v>
      </c>
      <c r="C52" s="26" t="str">
        <f t="shared" si="1"/>
        <v>2025고려대1</v>
      </c>
      <c r="D52" s="3"/>
      <c r="E52" s="26" t="s">
        <v>16</v>
      </c>
      <c r="F52" s="26" t="s">
        <v>17</v>
      </c>
      <c r="G52" s="3"/>
      <c r="H52" s="28" t="s">
        <v>51</v>
      </c>
      <c r="I52" s="28">
        <v>2025</v>
      </c>
      <c r="J52" s="28" t="s">
        <v>38</v>
      </c>
      <c r="K52" s="28" t="s">
        <v>52</v>
      </c>
      <c r="L52" s="28" t="s">
        <v>21</v>
      </c>
      <c r="M52" s="28" t="s">
        <v>22</v>
      </c>
      <c r="N52" s="29" t="s">
        <v>53</v>
      </c>
      <c r="O52" s="28" t="s">
        <v>33</v>
      </c>
      <c r="P52" s="28" t="s">
        <v>33</v>
      </c>
      <c r="Q52" s="30"/>
      <c r="R52" s="30"/>
      <c r="S52" s="10"/>
      <c r="AE52"/>
      <c r="AF52"/>
      <c r="AG52"/>
      <c r="AH52"/>
      <c r="AI52"/>
      <c r="AJ52"/>
      <c r="AK52"/>
      <c r="AL52"/>
      <c r="AM52"/>
    </row>
    <row r="53" spans="1:39" s="11" customFormat="1" ht="24" x14ac:dyDescent="0.3">
      <c r="A53" s="26" t="str">
        <f t="shared" si="0"/>
        <v>2025고려대</v>
      </c>
      <c r="B53" s="26">
        <f>COUNTIFS($A$4:A53,A53)</f>
        <v>2</v>
      </c>
      <c r="C53" s="26" t="str">
        <f t="shared" si="1"/>
        <v>2025고려대2</v>
      </c>
      <c r="D53" s="3"/>
      <c r="E53" s="26" t="s">
        <v>16</v>
      </c>
      <c r="F53" s="26" t="s">
        <v>17</v>
      </c>
      <c r="G53" s="3"/>
      <c r="H53" s="28" t="s">
        <v>51</v>
      </c>
      <c r="I53" s="28">
        <v>2025</v>
      </c>
      <c r="J53" s="28" t="s">
        <v>38</v>
      </c>
      <c r="K53" s="28" t="s">
        <v>52</v>
      </c>
      <c r="L53" s="28" t="s">
        <v>24</v>
      </c>
      <c r="M53" s="28" t="s">
        <v>22</v>
      </c>
      <c r="N53" s="29" t="s">
        <v>54</v>
      </c>
      <c r="O53" s="28" t="s">
        <v>33</v>
      </c>
      <c r="P53" s="28" t="s">
        <v>55</v>
      </c>
      <c r="Q53" s="32"/>
      <c r="R53" s="30"/>
      <c r="S53" s="10"/>
      <c r="AE53"/>
      <c r="AF53"/>
      <c r="AG53"/>
      <c r="AH53"/>
      <c r="AI53"/>
      <c r="AJ53"/>
      <c r="AK53"/>
      <c r="AL53"/>
      <c r="AM53"/>
    </row>
    <row r="54" spans="1:39" s="11" customFormat="1" ht="36" x14ac:dyDescent="0.3">
      <c r="A54" s="26" t="str">
        <f t="shared" si="0"/>
        <v>2025고려대</v>
      </c>
      <c r="B54" s="26">
        <f>COUNTIFS($A$4:A54,A54)</f>
        <v>3</v>
      </c>
      <c r="C54" s="26" t="str">
        <f t="shared" si="1"/>
        <v>2025고려대3</v>
      </c>
      <c r="D54" s="3"/>
      <c r="E54" s="26" t="s">
        <v>16</v>
      </c>
      <c r="F54" s="26" t="s">
        <v>17</v>
      </c>
      <c r="G54" s="3"/>
      <c r="H54" s="28" t="s">
        <v>51</v>
      </c>
      <c r="I54" s="28">
        <v>2025</v>
      </c>
      <c r="J54" s="28" t="s">
        <v>38</v>
      </c>
      <c r="K54" s="28" t="s">
        <v>52</v>
      </c>
      <c r="L54" s="28" t="s">
        <v>24</v>
      </c>
      <c r="M54" s="28" t="s">
        <v>42</v>
      </c>
      <c r="N54" s="29" t="s">
        <v>56</v>
      </c>
      <c r="O54" s="28" t="s">
        <v>33</v>
      </c>
      <c r="P54" s="28" t="s">
        <v>55</v>
      </c>
      <c r="Q54" s="32"/>
      <c r="R54" s="30"/>
      <c r="S54" s="10"/>
      <c r="AE54"/>
      <c r="AF54"/>
      <c r="AG54"/>
      <c r="AH54"/>
      <c r="AI54"/>
      <c r="AJ54"/>
      <c r="AK54"/>
      <c r="AL54"/>
      <c r="AM54"/>
    </row>
    <row r="55" spans="1:39" s="11" customFormat="1" ht="30" customHeight="1" x14ac:dyDescent="0.3">
      <c r="A55" s="26" t="str">
        <f t="shared" si="0"/>
        <v>2025고려대</v>
      </c>
      <c r="B55" s="26">
        <f>COUNTIFS($A$4:A55,A55)</f>
        <v>4</v>
      </c>
      <c r="C55" s="26" t="str">
        <f t="shared" si="1"/>
        <v>2025고려대4</v>
      </c>
      <c r="D55" s="3"/>
      <c r="E55" s="26" t="s">
        <v>16</v>
      </c>
      <c r="F55" s="26" t="s">
        <v>17</v>
      </c>
      <c r="G55" s="3"/>
      <c r="H55" s="28" t="s">
        <v>51</v>
      </c>
      <c r="I55" s="28">
        <v>2025</v>
      </c>
      <c r="J55" s="28" t="s">
        <v>19</v>
      </c>
      <c r="K55" s="28" t="s">
        <v>57</v>
      </c>
      <c r="L55" s="28" t="s">
        <v>21</v>
      </c>
      <c r="M55" s="28" t="s">
        <v>22</v>
      </c>
      <c r="N55" s="29" t="s">
        <v>58</v>
      </c>
      <c r="O55" s="28" t="s">
        <v>33</v>
      </c>
      <c r="P55" s="28" t="s">
        <v>33</v>
      </c>
      <c r="Q55" s="32"/>
      <c r="R55" s="30"/>
      <c r="S55" s="10"/>
      <c r="AE55"/>
      <c r="AF55"/>
      <c r="AG55"/>
      <c r="AH55"/>
      <c r="AI55"/>
      <c r="AJ55"/>
      <c r="AK55"/>
      <c r="AL55"/>
      <c r="AM55"/>
    </row>
    <row r="56" spans="1:39" s="11" customFormat="1" ht="72" x14ac:dyDescent="0.3">
      <c r="A56" s="26" t="str">
        <f t="shared" si="0"/>
        <v>2025고려대</v>
      </c>
      <c r="B56" s="26">
        <f>COUNTIFS($A$4:A56,A56)</f>
        <v>5</v>
      </c>
      <c r="C56" s="26" t="str">
        <f t="shared" si="1"/>
        <v>2025고려대5</v>
      </c>
      <c r="D56" s="3"/>
      <c r="E56" s="26" t="s">
        <v>16</v>
      </c>
      <c r="F56" s="26" t="s">
        <v>17</v>
      </c>
      <c r="G56" s="3"/>
      <c r="H56" s="28" t="s">
        <v>51</v>
      </c>
      <c r="I56" s="28">
        <v>2025</v>
      </c>
      <c r="J56" s="28" t="s">
        <v>19</v>
      </c>
      <c r="K56" s="28" t="s">
        <v>57</v>
      </c>
      <c r="L56" s="28" t="s">
        <v>24</v>
      </c>
      <c r="M56" s="28" t="s">
        <v>22</v>
      </c>
      <c r="N56" s="29" t="s">
        <v>59</v>
      </c>
      <c r="O56" s="28" t="s">
        <v>33</v>
      </c>
      <c r="P56" s="28" t="s">
        <v>55</v>
      </c>
      <c r="Q56" s="32"/>
      <c r="R56" s="30"/>
      <c r="S56" s="10"/>
      <c r="AE56"/>
      <c r="AF56"/>
      <c r="AG56"/>
      <c r="AH56"/>
      <c r="AI56"/>
      <c r="AJ56"/>
      <c r="AK56"/>
      <c r="AL56"/>
      <c r="AM56"/>
    </row>
    <row r="57" spans="1:39" s="11" customFormat="1" ht="36" x14ac:dyDescent="0.3">
      <c r="A57" s="26" t="str">
        <f t="shared" si="0"/>
        <v>2025고려대</v>
      </c>
      <c r="B57" s="26">
        <f>COUNTIFS($A$4:A57,A57)</f>
        <v>6</v>
      </c>
      <c r="C57" s="26" t="str">
        <f t="shared" si="1"/>
        <v>2025고려대6</v>
      </c>
      <c r="D57" s="3"/>
      <c r="E57" s="26" t="s">
        <v>16</v>
      </c>
      <c r="F57" s="26" t="s">
        <v>17</v>
      </c>
      <c r="G57" s="3"/>
      <c r="H57" s="28" t="s">
        <v>51</v>
      </c>
      <c r="I57" s="28">
        <v>2025</v>
      </c>
      <c r="J57" s="28" t="s">
        <v>19</v>
      </c>
      <c r="K57" s="28" t="s">
        <v>57</v>
      </c>
      <c r="L57" s="28" t="s">
        <v>24</v>
      </c>
      <c r="M57" s="28" t="s">
        <v>42</v>
      </c>
      <c r="N57" s="29" t="s">
        <v>56</v>
      </c>
      <c r="O57" s="28" t="s">
        <v>33</v>
      </c>
      <c r="P57" s="28" t="s">
        <v>55</v>
      </c>
      <c r="Q57" s="32"/>
      <c r="R57" s="30"/>
      <c r="S57" s="10"/>
      <c r="AE57"/>
      <c r="AF57"/>
      <c r="AG57"/>
      <c r="AH57"/>
      <c r="AI57"/>
      <c r="AJ57"/>
      <c r="AK57"/>
      <c r="AL57"/>
      <c r="AM57"/>
    </row>
    <row r="58" spans="1:39" s="11" customFormat="1" ht="30" customHeight="1" x14ac:dyDescent="0.3">
      <c r="A58" s="26" t="str">
        <f t="shared" si="0"/>
        <v>2025고려대</v>
      </c>
      <c r="B58" s="26">
        <f>COUNTIFS($A$4:A58,A58)</f>
        <v>7</v>
      </c>
      <c r="C58" s="26" t="str">
        <f t="shared" si="1"/>
        <v>2025고려대7</v>
      </c>
      <c r="D58" s="3"/>
      <c r="E58" s="26" t="s">
        <v>16</v>
      </c>
      <c r="F58" s="26" t="s">
        <v>17</v>
      </c>
      <c r="G58" s="3"/>
      <c r="H58" s="28" t="s">
        <v>51</v>
      </c>
      <c r="I58" s="28">
        <v>2025</v>
      </c>
      <c r="J58" s="28" t="s">
        <v>19</v>
      </c>
      <c r="K58" s="28" t="s">
        <v>60</v>
      </c>
      <c r="L58" s="28" t="s">
        <v>21</v>
      </c>
      <c r="M58" s="28" t="s">
        <v>22</v>
      </c>
      <c r="N58" s="29" t="s">
        <v>33</v>
      </c>
      <c r="O58" s="28" t="s">
        <v>33</v>
      </c>
      <c r="P58" s="28" t="s">
        <v>33</v>
      </c>
      <c r="Q58" s="32"/>
      <c r="R58" s="30"/>
      <c r="S58" s="10"/>
      <c r="AE58"/>
      <c r="AF58"/>
      <c r="AG58"/>
      <c r="AH58"/>
      <c r="AI58"/>
      <c r="AJ58"/>
      <c r="AK58"/>
      <c r="AL58"/>
      <c r="AM58"/>
    </row>
    <row r="59" spans="1:39" s="11" customFormat="1" ht="30" customHeight="1" x14ac:dyDescent="0.3">
      <c r="A59" s="26" t="str">
        <f t="shared" si="0"/>
        <v>2025고려대</v>
      </c>
      <c r="B59" s="26">
        <f>COUNTIFS($A$4:A59,A59)</f>
        <v>8</v>
      </c>
      <c r="C59" s="26" t="str">
        <f t="shared" si="1"/>
        <v>2025고려대8</v>
      </c>
      <c r="D59" s="3"/>
      <c r="E59" s="26" t="s">
        <v>16</v>
      </c>
      <c r="F59" s="26" t="s">
        <v>17</v>
      </c>
      <c r="G59" s="3"/>
      <c r="H59" s="28" t="s">
        <v>51</v>
      </c>
      <c r="I59" s="28">
        <v>2025</v>
      </c>
      <c r="J59" s="28" t="s">
        <v>19</v>
      </c>
      <c r="K59" s="28" t="s">
        <v>60</v>
      </c>
      <c r="L59" s="28" t="s">
        <v>24</v>
      </c>
      <c r="M59" s="28" t="s">
        <v>22</v>
      </c>
      <c r="N59" s="29" t="s">
        <v>33</v>
      </c>
      <c r="O59" s="28" t="s">
        <v>33</v>
      </c>
      <c r="P59" s="28" t="s">
        <v>33</v>
      </c>
      <c r="Q59" s="32"/>
      <c r="R59" s="30"/>
      <c r="S59" s="10"/>
      <c r="AE59"/>
      <c r="AF59"/>
      <c r="AG59"/>
      <c r="AH59"/>
      <c r="AI59"/>
      <c r="AJ59"/>
      <c r="AK59"/>
      <c r="AL59"/>
      <c r="AM59"/>
    </row>
    <row r="60" spans="1:39" s="11" customFormat="1" ht="24" x14ac:dyDescent="0.3">
      <c r="A60" s="26" t="str">
        <f t="shared" si="0"/>
        <v>2025고려대</v>
      </c>
      <c r="B60" s="26">
        <f>COUNTIFS($A$4:A60,A60)</f>
        <v>9</v>
      </c>
      <c r="C60" s="26" t="str">
        <f t="shared" si="1"/>
        <v>2025고려대9</v>
      </c>
      <c r="D60" s="3"/>
      <c r="E60" s="26" t="s">
        <v>16</v>
      </c>
      <c r="F60" s="26" t="s">
        <v>17</v>
      </c>
      <c r="G60" s="3"/>
      <c r="H60" s="28" t="s">
        <v>51</v>
      </c>
      <c r="I60" s="28">
        <v>2025</v>
      </c>
      <c r="J60" s="28" t="s">
        <v>19</v>
      </c>
      <c r="K60" s="28" t="s">
        <v>61</v>
      </c>
      <c r="L60" s="28" t="s">
        <v>24</v>
      </c>
      <c r="M60" s="28" t="s">
        <v>22</v>
      </c>
      <c r="N60" s="29" t="s">
        <v>62</v>
      </c>
      <c r="O60" s="28" t="s">
        <v>33</v>
      </c>
      <c r="P60" s="28" t="s">
        <v>55</v>
      </c>
      <c r="Q60" s="32"/>
      <c r="R60" s="30"/>
      <c r="S60" s="10"/>
      <c r="AE60"/>
      <c r="AF60"/>
      <c r="AG60"/>
      <c r="AH60"/>
      <c r="AI60"/>
      <c r="AJ60"/>
      <c r="AK60"/>
      <c r="AL60"/>
      <c r="AM60"/>
    </row>
    <row r="61" spans="1:39" s="11" customFormat="1" ht="60" x14ac:dyDescent="0.3">
      <c r="A61" s="26" t="str">
        <f t="shared" si="0"/>
        <v>2025고려대</v>
      </c>
      <c r="B61" s="26">
        <f>COUNTIFS($A$4:A61,A61)</f>
        <v>10</v>
      </c>
      <c r="C61" s="26" t="str">
        <f t="shared" si="1"/>
        <v>2025고려대10</v>
      </c>
      <c r="D61" s="3"/>
      <c r="E61" s="26" t="s">
        <v>16</v>
      </c>
      <c r="F61" s="26" t="s">
        <v>17</v>
      </c>
      <c r="G61" s="3"/>
      <c r="H61" s="28" t="s">
        <v>51</v>
      </c>
      <c r="I61" s="28">
        <v>2025</v>
      </c>
      <c r="J61" s="28" t="s">
        <v>50</v>
      </c>
      <c r="K61" s="28" t="s">
        <v>50</v>
      </c>
      <c r="L61" s="28" t="s">
        <v>21</v>
      </c>
      <c r="M61" s="28" t="s">
        <v>22</v>
      </c>
      <c r="N61" s="29" t="s">
        <v>63</v>
      </c>
      <c r="O61" s="28" t="s">
        <v>33</v>
      </c>
      <c r="P61" s="28" t="s">
        <v>33</v>
      </c>
      <c r="Q61" s="32"/>
      <c r="R61" s="30"/>
      <c r="S61" s="10"/>
      <c r="AE61"/>
      <c r="AF61"/>
      <c r="AG61"/>
      <c r="AH61"/>
      <c r="AI61"/>
      <c r="AJ61"/>
      <c r="AK61"/>
      <c r="AL61"/>
      <c r="AM61"/>
    </row>
    <row r="62" spans="1:39" s="11" customFormat="1" ht="30" customHeight="1" x14ac:dyDescent="0.3">
      <c r="A62" s="26" t="str">
        <f t="shared" si="0"/>
        <v>2025고려대</v>
      </c>
      <c r="B62" s="26">
        <f>COUNTIFS($A$4:A62,A62)</f>
        <v>11</v>
      </c>
      <c r="C62" s="26" t="str">
        <f t="shared" si="1"/>
        <v>2025고려대11</v>
      </c>
      <c r="D62" s="3"/>
      <c r="E62" s="26" t="s">
        <v>16</v>
      </c>
      <c r="F62" s="26" t="s">
        <v>17</v>
      </c>
      <c r="G62" s="3"/>
      <c r="H62" s="28" t="s">
        <v>51</v>
      </c>
      <c r="I62" s="28">
        <v>2025</v>
      </c>
      <c r="J62" s="28" t="s">
        <v>50</v>
      </c>
      <c r="K62" s="28" t="s">
        <v>50</v>
      </c>
      <c r="L62" s="28" t="s">
        <v>24</v>
      </c>
      <c r="M62" s="28" t="s">
        <v>22</v>
      </c>
      <c r="N62" s="29" t="s">
        <v>64</v>
      </c>
      <c r="O62" s="28" t="s">
        <v>33</v>
      </c>
      <c r="P62" s="28" t="s">
        <v>55</v>
      </c>
      <c r="Q62" s="32"/>
      <c r="R62" s="30"/>
      <c r="S62" s="10"/>
      <c r="AE62"/>
      <c r="AF62"/>
      <c r="AG62"/>
      <c r="AH62"/>
      <c r="AI62"/>
      <c r="AJ62"/>
      <c r="AK62"/>
      <c r="AL62"/>
      <c r="AM62"/>
    </row>
    <row r="63" spans="1:39" s="11" customFormat="1" ht="30" customHeight="1" x14ac:dyDescent="0.3">
      <c r="A63" s="26" t="str">
        <f t="shared" si="0"/>
        <v>2026고려대</v>
      </c>
      <c r="B63" s="26">
        <f>COUNTIFS($A$4:A63,A63)</f>
        <v>1</v>
      </c>
      <c r="C63" s="26" t="str">
        <f t="shared" si="1"/>
        <v>2026고려대1</v>
      </c>
      <c r="D63" s="3"/>
      <c r="E63" s="26" t="s">
        <v>16</v>
      </c>
      <c r="F63" s="26" t="s">
        <v>17</v>
      </c>
      <c r="G63" s="3"/>
      <c r="H63" s="28" t="s">
        <v>51</v>
      </c>
      <c r="I63" s="28">
        <v>2026</v>
      </c>
      <c r="J63" s="28" t="s">
        <v>38</v>
      </c>
      <c r="K63" s="28" t="s">
        <v>52</v>
      </c>
      <c r="L63" s="28" t="s">
        <v>21</v>
      </c>
      <c r="M63" s="28" t="s">
        <v>22</v>
      </c>
      <c r="N63" s="29" t="s">
        <v>65</v>
      </c>
      <c r="O63" s="28" t="s">
        <v>33</v>
      </c>
      <c r="P63" s="28" t="s">
        <v>33</v>
      </c>
      <c r="Q63" s="32" t="s">
        <v>66</v>
      </c>
      <c r="R63" s="30"/>
      <c r="S63" s="10"/>
      <c r="AE63"/>
      <c r="AF63"/>
      <c r="AG63"/>
      <c r="AH63"/>
      <c r="AI63"/>
      <c r="AJ63"/>
      <c r="AK63"/>
      <c r="AL63"/>
      <c r="AM63"/>
    </row>
    <row r="64" spans="1:39" s="11" customFormat="1" ht="30" customHeight="1" x14ac:dyDescent="0.3">
      <c r="A64" s="26" t="str">
        <f t="shared" si="0"/>
        <v>2026고려대</v>
      </c>
      <c r="B64" s="26">
        <f>COUNTIFS($A$4:A64,A64)</f>
        <v>2</v>
      </c>
      <c r="C64" s="26" t="str">
        <f t="shared" si="1"/>
        <v>2026고려대2</v>
      </c>
      <c r="D64" s="3"/>
      <c r="E64" s="26" t="s">
        <v>16</v>
      </c>
      <c r="F64" s="26" t="s">
        <v>17</v>
      </c>
      <c r="G64" s="3"/>
      <c r="H64" s="28" t="s">
        <v>51</v>
      </c>
      <c r="I64" s="28">
        <v>2026</v>
      </c>
      <c r="J64" s="28" t="s">
        <v>38</v>
      </c>
      <c r="K64" s="28" t="s">
        <v>52</v>
      </c>
      <c r="L64" s="28" t="s">
        <v>24</v>
      </c>
      <c r="M64" s="28" t="s">
        <v>22</v>
      </c>
      <c r="N64" s="29" t="s">
        <v>65</v>
      </c>
      <c r="O64" s="28" t="s">
        <v>33</v>
      </c>
      <c r="P64" s="28" t="s">
        <v>33</v>
      </c>
      <c r="Q64" s="30" t="s">
        <v>67</v>
      </c>
      <c r="R64" s="30"/>
      <c r="S64" s="10"/>
      <c r="AE64"/>
      <c r="AF64"/>
      <c r="AG64"/>
      <c r="AH64"/>
      <c r="AI64"/>
      <c r="AJ64"/>
      <c r="AK64"/>
      <c r="AL64"/>
      <c r="AM64"/>
    </row>
    <row r="65" spans="1:39" s="11" customFormat="1" ht="30" customHeight="1" x14ac:dyDescent="0.3">
      <c r="A65" s="26" t="str">
        <f t="shared" si="0"/>
        <v>2026고려대</v>
      </c>
      <c r="B65" s="26">
        <f>COUNTIFS($A$4:A65,A65)</f>
        <v>3</v>
      </c>
      <c r="C65" s="26" t="str">
        <f t="shared" si="1"/>
        <v>2026고려대3</v>
      </c>
      <c r="D65" s="3"/>
      <c r="E65" s="26" t="s">
        <v>16</v>
      </c>
      <c r="F65" s="26" t="s">
        <v>17</v>
      </c>
      <c r="G65" s="3"/>
      <c r="H65" s="28" t="s">
        <v>51</v>
      </c>
      <c r="I65" s="28">
        <v>2026</v>
      </c>
      <c r="J65" s="28" t="s">
        <v>38</v>
      </c>
      <c r="K65" s="28" t="s">
        <v>52</v>
      </c>
      <c r="L65" s="28" t="s">
        <v>24</v>
      </c>
      <c r="M65" s="28" t="s">
        <v>42</v>
      </c>
      <c r="N65" s="29" t="s">
        <v>68</v>
      </c>
      <c r="O65" s="28" t="s">
        <v>33</v>
      </c>
      <c r="P65" s="28" t="s">
        <v>33</v>
      </c>
      <c r="Q65" s="30" t="s">
        <v>67</v>
      </c>
      <c r="R65" s="30"/>
      <c r="S65" s="10"/>
      <c r="AE65"/>
      <c r="AF65"/>
      <c r="AG65"/>
      <c r="AH65"/>
      <c r="AI65"/>
      <c r="AJ65"/>
      <c r="AK65"/>
      <c r="AL65"/>
      <c r="AM65"/>
    </row>
    <row r="66" spans="1:39" s="11" customFormat="1" ht="30" customHeight="1" x14ac:dyDescent="0.3">
      <c r="A66" s="26" t="str">
        <f t="shared" si="0"/>
        <v>2026고려대</v>
      </c>
      <c r="B66" s="26">
        <f>COUNTIFS($A$4:A66,A66)</f>
        <v>4</v>
      </c>
      <c r="C66" s="26" t="str">
        <f t="shared" si="1"/>
        <v>2026고려대4</v>
      </c>
      <c r="D66" s="3"/>
      <c r="E66" s="26" t="s">
        <v>16</v>
      </c>
      <c r="F66" s="26" t="s">
        <v>17</v>
      </c>
      <c r="G66" s="3"/>
      <c r="H66" s="28" t="s">
        <v>51</v>
      </c>
      <c r="I66" s="28">
        <v>2026</v>
      </c>
      <c r="J66" s="28" t="s">
        <v>19</v>
      </c>
      <c r="K66" s="28" t="s">
        <v>57</v>
      </c>
      <c r="L66" s="28" t="s">
        <v>21</v>
      </c>
      <c r="M66" s="28" t="s">
        <v>22</v>
      </c>
      <c r="N66" s="29" t="s">
        <v>58</v>
      </c>
      <c r="O66" s="28" t="s">
        <v>33</v>
      </c>
      <c r="P66" s="28" t="s">
        <v>33</v>
      </c>
      <c r="Q66" s="32"/>
      <c r="R66" s="30"/>
      <c r="S66" s="10"/>
      <c r="AE66"/>
      <c r="AF66"/>
      <c r="AG66"/>
      <c r="AH66"/>
      <c r="AI66"/>
      <c r="AJ66"/>
      <c r="AK66"/>
      <c r="AL66"/>
      <c r="AM66"/>
    </row>
    <row r="67" spans="1:39" s="11" customFormat="1" ht="30" customHeight="1" x14ac:dyDescent="0.3">
      <c r="A67" s="26" t="str">
        <f t="shared" si="0"/>
        <v>2026고려대</v>
      </c>
      <c r="B67" s="26">
        <f>COUNTIFS($A$4:A67,A67)</f>
        <v>5</v>
      </c>
      <c r="C67" s="26" t="str">
        <f t="shared" si="1"/>
        <v>2026고려대5</v>
      </c>
      <c r="D67" s="3"/>
      <c r="E67" s="26" t="s">
        <v>16</v>
      </c>
      <c r="F67" s="26" t="s">
        <v>17</v>
      </c>
      <c r="G67" s="3"/>
      <c r="H67" s="28" t="s">
        <v>51</v>
      </c>
      <c r="I67" s="28">
        <v>2026</v>
      </c>
      <c r="J67" s="28" t="s">
        <v>19</v>
      </c>
      <c r="K67" s="28" t="s">
        <v>57</v>
      </c>
      <c r="L67" s="28" t="s">
        <v>24</v>
      </c>
      <c r="M67" s="28" t="s">
        <v>22</v>
      </c>
      <c r="N67" s="29" t="s">
        <v>58</v>
      </c>
      <c r="O67" s="28" t="s">
        <v>33</v>
      </c>
      <c r="P67" s="28" t="s">
        <v>33</v>
      </c>
      <c r="Q67" s="30" t="s">
        <v>69</v>
      </c>
      <c r="R67" s="30"/>
      <c r="S67" s="10"/>
      <c r="AE67"/>
      <c r="AF67"/>
      <c r="AG67"/>
      <c r="AH67"/>
      <c r="AI67"/>
      <c r="AJ67"/>
      <c r="AK67"/>
      <c r="AL67"/>
      <c r="AM67"/>
    </row>
    <row r="68" spans="1:39" s="11" customFormat="1" ht="30" customHeight="1" x14ac:dyDescent="0.3">
      <c r="A68" s="26" t="str">
        <f t="shared" ref="A68:A131" si="2">I68&amp;H68</f>
        <v>2026고려대</v>
      </c>
      <c r="B68" s="26">
        <f>COUNTIFS($A$4:A68,A68)</f>
        <v>6</v>
      </c>
      <c r="C68" s="26" t="str">
        <f t="shared" ref="C68:C131" si="3">A68&amp;B68</f>
        <v>2026고려대6</v>
      </c>
      <c r="D68" s="3"/>
      <c r="E68" s="26" t="s">
        <v>16</v>
      </c>
      <c r="F68" s="26" t="s">
        <v>17</v>
      </c>
      <c r="G68" s="3"/>
      <c r="H68" s="28" t="s">
        <v>51</v>
      </c>
      <c r="I68" s="28">
        <v>2026</v>
      </c>
      <c r="J68" s="28" t="s">
        <v>19</v>
      </c>
      <c r="K68" s="28" t="s">
        <v>57</v>
      </c>
      <c r="L68" s="28" t="s">
        <v>24</v>
      </c>
      <c r="M68" s="28" t="s">
        <v>42</v>
      </c>
      <c r="N68" s="29" t="s">
        <v>70</v>
      </c>
      <c r="O68" s="28" t="s">
        <v>33</v>
      </c>
      <c r="P68" s="28" t="s">
        <v>33</v>
      </c>
      <c r="Q68" s="32" t="s">
        <v>71</v>
      </c>
      <c r="R68" s="30"/>
      <c r="S68" s="10"/>
      <c r="AE68"/>
      <c r="AF68"/>
      <c r="AG68"/>
      <c r="AH68"/>
      <c r="AI68"/>
      <c r="AJ68"/>
      <c r="AK68"/>
      <c r="AL68"/>
      <c r="AM68"/>
    </row>
    <row r="69" spans="1:39" s="11" customFormat="1" ht="30" customHeight="1" x14ac:dyDescent="0.3">
      <c r="A69" s="26" t="str">
        <f t="shared" si="2"/>
        <v>2026고려대</v>
      </c>
      <c r="B69" s="26">
        <f>COUNTIFS($A$4:A69,A69)</f>
        <v>7</v>
      </c>
      <c r="C69" s="26" t="str">
        <f t="shared" si="3"/>
        <v>2026고려대7</v>
      </c>
      <c r="D69" s="3"/>
      <c r="E69" s="26" t="s">
        <v>16</v>
      </c>
      <c r="F69" s="26" t="s">
        <v>17</v>
      </c>
      <c r="G69" s="3"/>
      <c r="H69" s="28" t="s">
        <v>51</v>
      </c>
      <c r="I69" s="28">
        <v>2026</v>
      </c>
      <c r="J69" s="28" t="s">
        <v>19</v>
      </c>
      <c r="K69" s="28" t="s">
        <v>60</v>
      </c>
      <c r="L69" s="28" t="s">
        <v>21</v>
      </c>
      <c r="M69" s="28" t="s">
        <v>22</v>
      </c>
      <c r="N69" s="29" t="s">
        <v>33</v>
      </c>
      <c r="O69" s="28" t="s">
        <v>33</v>
      </c>
      <c r="P69" s="28" t="s">
        <v>33</v>
      </c>
      <c r="Q69" s="32"/>
      <c r="R69" s="30"/>
      <c r="S69" s="10"/>
      <c r="AE69"/>
      <c r="AF69"/>
      <c r="AG69"/>
      <c r="AH69"/>
      <c r="AI69"/>
      <c r="AJ69"/>
      <c r="AK69"/>
      <c r="AL69"/>
      <c r="AM69"/>
    </row>
    <row r="70" spans="1:39" s="11" customFormat="1" ht="30" customHeight="1" x14ac:dyDescent="0.3">
      <c r="A70" s="26" t="str">
        <f t="shared" si="2"/>
        <v>2026고려대</v>
      </c>
      <c r="B70" s="26">
        <f>COUNTIFS($A$4:A70,A70)</f>
        <v>8</v>
      </c>
      <c r="C70" s="26" t="str">
        <f t="shared" si="3"/>
        <v>2026고려대8</v>
      </c>
      <c r="D70" s="3"/>
      <c r="E70" s="26" t="s">
        <v>16</v>
      </c>
      <c r="F70" s="26" t="s">
        <v>17</v>
      </c>
      <c r="G70" s="3"/>
      <c r="H70" s="28" t="s">
        <v>51</v>
      </c>
      <c r="I70" s="28">
        <v>2026</v>
      </c>
      <c r="J70" s="28" t="s">
        <v>19</v>
      </c>
      <c r="K70" s="28" t="s">
        <v>60</v>
      </c>
      <c r="L70" s="28" t="s">
        <v>24</v>
      </c>
      <c r="M70" s="28" t="s">
        <v>22</v>
      </c>
      <c r="N70" s="29" t="s">
        <v>33</v>
      </c>
      <c r="O70" s="28" t="s">
        <v>33</v>
      </c>
      <c r="P70" s="28" t="s">
        <v>33</v>
      </c>
      <c r="Q70" s="32"/>
      <c r="R70" s="30"/>
      <c r="S70" s="10"/>
      <c r="AE70"/>
      <c r="AF70"/>
      <c r="AG70"/>
      <c r="AH70"/>
      <c r="AI70"/>
      <c r="AJ70"/>
      <c r="AK70"/>
      <c r="AL70"/>
      <c r="AM70"/>
    </row>
    <row r="71" spans="1:39" s="11" customFormat="1" ht="30" customHeight="1" x14ac:dyDescent="0.3">
      <c r="A71" s="26" t="str">
        <f t="shared" si="2"/>
        <v>2026고려대</v>
      </c>
      <c r="B71" s="26">
        <f>COUNTIFS($A$4:A71,A71)</f>
        <v>9</v>
      </c>
      <c r="C71" s="26" t="str">
        <f t="shared" si="3"/>
        <v>2026고려대9</v>
      </c>
      <c r="D71" s="3"/>
      <c r="E71" s="26" t="s">
        <v>16</v>
      </c>
      <c r="F71" s="26" t="s">
        <v>17</v>
      </c>
      <c r="G71" s="3"/>
      <c r="H71" s="28" t="s">
        <v>51</v>
      </c>
      <c r="I71" s="28">
        <v>2026</v>
      </c>
      <c r="J71" s="28" t="s">
        <v>19</v>
      </c>
      <c r="K71" s="28" t="s">
        <v>61</v>
      </c>
      <c r="L71" s="28" t="s">
        <v>24</v>
      </c>
      <c r="M71" s="28" t="s">
        <v>22</v>
      </c>
      <c r="N71" s="29" t="s">
        <v>33</v>
      </c>
      <c r="O71" s="28" t="s">
        <v>33</v>
      </c>
      <c r="P71" s="28" t="s">
        <v>33</v>
      </c>
      <c r="Q71" s="32" t="s">
        <v>72</v>
      </c>
      <c r="R71" s="30"/>
      <c r="S71" s="10"/>
      <c r="AE71"/>
      <c r="AF71"/>
      <c r="AG71"/>
      <c r="AH71"/>
      <c r="AI71"/>
      <c r="AJ71"/>
      <c r="AK71"/>
      <c r="AL71"/>
      <c r="AM71"/>
    </row>
    <row r="72" spans="1:39" s="11" customFormat="1" ht="30" customHeight="1" x14ac:dyDescent="0.3">
      <c r="A72" s="26" t="str">
        <f t="shared" si="2"/>
        <v>2026고려대</v>
      </c>
      <c r="B72" s="26">
        <f>COUNTIFS($A$4:A72,A72)</f>
        <v>10</v>
      </c>
      <c r="C72" s="26" t="str">
        <f t="shared" si="3"/>
        <v>2026고려대10</v>
      </c>
      <c r="D72" s="3"/>
      <c r="E72" s="26" t="s">
        <v>16</v>
      </c>
      <c r="F72" s="26" t="s">
        <v>17</v>
      </c>
      <c r="G72" s="3"/>
      <c r="H72" s="33" t="s">
        <v>51</v>
      </c>
      <c r="I72" s="33">
        <v>2026</v>
      </c>
      <c r="J72" s="33" t="s">
        <v>50</v>
      </c>
      <c r="K72" s="33" t="s">
        <v>50</v>
      </c>
      <c r="L72" s="33" t="s">
        <v>21</v>
      </c>
      <c r="M72" s="33" t="s">
        <v>22</v>
      </c>
      <c r="N72" s="34" t="s">
        <v>58</v>
      </c>
      <c r="O72" s="33" t="s">
        <v>33</v>
      </c>
      <c r="P72" s="33" t="s">
        <v>33</v>
      </c>
      <c r="Q72" s="35"/>
      <c r="R72" s="36"/>
      <c r="S72" s="10"/>
      <c r="AE72"/>
      <c r="AF72"/>
      <c r="AG72"/>
      <c r="AH72"/>
      <c r="AI72"/>
      <c r="AJ72"/>
      <c r="AK72"/>
      <c r="AL72"/>
      <c r="AM72"/>
    </row>
    <row r="73" spans="1:39" s="11" customFormat="1" ht="30" customHeight="1" x14ac:dyDescent="0.3">
      <c r="A73" s="26" t="str">
        <f t="shared" si="2"/>
        <v>2026고려대</v>
      </c>
      <c r="B73" s="26">
        <f>COUNTIFS($A$4:A73,A73)</f>
        <v>11</v>
      </c>
      <c r="C73" s="26" t="str">
        <f t="shared" si="3"/>
        <v>2026고려대11</v>
      </c>
      <c r="D73" s="3"/>
      <c r="E73" s="26" t="s">
        <v>16</v>
      </c>
      <c r="F73" s="26" t="s">
        <v>17</v>
      </c>
      <c r="G73" s="3"/>
      <c r="H73" s="28" t="s">
        <v>51</v>
      </c>
      <c r="I73" s="28">
        <v>2026</v>
      </c>
      <c r="J73" s="28" t="s">
        <v>50</v>
      </c>
      <c r="K73" s="28" t="s">
        <v>50</v>
      </c>
      <c r="L73" s="28" t="s">
        <v>24</v>
      </c>
      <c r="M73" s="28" t="s">
        <v>22</v>
      </c>
      <c r="N73" s="34" t="s">
        <v>58</v>
      </c>
      <c r="O73" s="28" t="s">
        <v>33</v>
      </c>
      <c r="P73" s="28" t="s">
        <v>33</v>
      </c>
      <c r="Q73" s="32" t="s">
        <v>71</v>
      </c>
      <c r="R73" s="30"/>
      <c r="S73" s="10"/>
      <c r="AE73"/>
      <c r="AF73"/>
      <c r="AG73"/>
      <c r="AH73"/>
      <c r="AI73"/>
      <c r="AJ73"/>
      <c r="AK73"/>
      <c r="AL73"/>
      <c r="AM73"/>
    </row>
    <row r="74" spans="1:39" ht="30" customHeight="1" x14ac:dyDescent="0.3">
      <c r="A74" s="26" t="str">
        <f t="shared" si="2"/>
        <v>2027고려대</v>
      </c>
      <c r="B74" s="26">
        <f>COUNTIFS($A$4:A74,A74)</f>
        <v>1</v>
      </c>
      <c r="C74" s="26" t="str">
        <f t="shared" si="3"/>
        <v>2027고려대1</v>
      </c>
      <c r="E74" s="26" t="s">
        <v>16</v>
      </c>
      <c r="F74" s="26" t="s">
        <v>17</v>
      </c>
      <c r="H74" s="20" t="s">
        <v>51</v>
      </c>
      <c r="I74" s="20">
        <v>2027</v>
      </c>
      <c r="J74" s="20" t="s">
        <v>38</v>
      </c>
      <c r="K74" s="20" t="s">
        <v>52</v>
      </c>
      <c r="L74" s="21" t="s">
        <v>21</v>
      </c>
      <c r="M74" s="21" t="s">
        <v>22</v>
      </c>
      <c r="N74" s="37" t="s">
        <v>65</v>
      </c>
      <c r="O74" s="23" t="s">
        <v>33</v>
      </c>
      <c r="P74" s="23" t="s">
        <v>33</v>
      </c>
      <c r="Q74" s="25"/>
      <c r="R74" s="25"/>
    </row>
    <row r="75" spans="1:39" ht="30" customHeight="1" x14ac:dyDescent="0.3">
      <c r="A75" s="26" t="str">
        <f t="shared" si="2"/>
        <v>2027고려대</v>
      </c>
      <c r="B75" s="26">
        <f>COUNTIFS($A$4:A75,A75)</f>
        <v>2</v>
      </c>
      <c r="C75" s="26" t="str">
        <f t="shared" si="3"/>
        <v>2027고려대2</v>
      </c>
      <c r="E75" s="26" t="s">
        <v>16</v>
      </c>
      <c r="F75" s="26" t="s">
        <v>17</v>
      </c>
      <c r="H75" s="27" t="s">
        <v>51</v>
      </c>
      <c r="I75" s="27">
        <v>2027</v>
      </c>
      <c r="J75" s="27" t="s">
        <v>38</v>
      </c>
      <c r="K75" s="28" t="s">
        <v>52</v>
      </c>
      <c r="L75" s="28" t="s">
        <v>24</v>
      </c>
      <c r="M75" s="28" t="s">
        <v>22</v>
      </c>
      <c r="N75" s="29" t="s">
        <v>65</v>
      </c>
      <c r="O75" s="28" t="s">
        <v>33</v>
      </c>
      <c r="P75" s="28" t="s">
        <v>33</v>
      </c>
      <c r="Q75" s="30"/>
      <c r="R75" s="30"/>
    </row>
    <row r="76" spans="1:39" ht="30" customHeight="1" x14ac:dyDescent="0.3">
      <c r="A76" s="26" t="str">
        <f t="shared" si="2"/>
        <v>2027고려대</v>
      </c>
      <c r="B76" s="26">
        <f>COUNTIFS($A$4:A76,A76)</f>
        <v>3</v>
      </c>
      <c r="C76" s="26" t="str">
        <f t="shared" si="3"/>
        <v>2027고려대3</v>
      </c>
      <c r="E76" s="26" t="s">
        <v>16</v>
      </c>
      <c r="F76" s="26" t="s">
        <v>17</v>
      </c>
      <c r="H76" s="27" t="s">
        <v>51</v>
      </c>
      <c r="I76" s="27">
        <v>2027</v>
      </c>
      <c r="J76" s="27" t="s">
        <v>38</v>
      </c>
      <c r="K76" s="28" t="s">
        <v>52</v>
      </c>
      <c r="L76" s="28" t="s">
        <v>24</v>
      </c>
      <c r="M76" s="28" t="s">
        <v>42</v>
      </c>
      <c r="N76" s="29" t="s">
        <v>68</v>
      </c>
      <c r="O76" s="28" t="s">
        <v>33</v>
      </c>
      <c r="P76" s="28" t="s">
        <v>33</v>
      </c>
      <c r="Q76" s="30"/>
      <c r="R76" s="30"/>
    </row>
    <row r="77" spans="1:39" ht="30" customHeight="1" x14ac:dyDescent="0.3">
      <c r="A77" s="26" t="str">
        <f t="shared" si="2"/>
        <v>2027고려대</v>
      </c>
      <c r="B77" s="26">
        <f>COUNTIFS($A$4:A77,A77)</f>
        <v>4</v>
      </c>
      <c r="C77" s="26" t="str">
        <f t="shared" si="3"/>
        <v>2027고려대4</v>
      </c>
      <c r="E77" s="26" t="s">
        <v>16</v>
      </c>
      <c r="F77" s="26" t="s">
        <v>17</v>
      </c>
      <c r="H77" s="27" t="s">
        <v>51</v>
      </c>
      <c r="I77" s="27">
        <v>2027</v>
      </c>
      <c r="J77" s="27" t="s">
        <v>19</v>
      </c>
      <c r="K77" s="28" t="s">
        <v>57</v>
      </c>
      <c r="L77" s="28" t="s">
        <v>21</v>
      </c>
      <c r="M77" s="28" t="s">
        <v>22</v>
      </c>
      <c r="N77" s="29" t="s">
        <v>58</v>
      </c>
      <c r="O77" s="28" t="s">
        <v>33</v>
      </c>
      <c r="P77" s="28" t="s">
        <v>33</v>
      </c>
      <c r="Q77" s="30"/>
      <c r="R77" s="30"/>
    </row>
    <row r="78" spans="1:39" ht="30" customHeight="1" x14ac:dyDescent="0.3">
      <c r="A78" s="26" t="str">
        <f t="shared" si="2"/>
        <v>2027고려대</v>
      </c>
      <c r="B78" s="26">
        <f>COUNTIFS($A$4:A78,A78)</f>
        <v>5</v>
      </c>
      <c r="C78" s="26" t="str">
        <f t="shared" si="3"/>
        <v>2027고려대5</v>
      </c>
      <c r="E78" s="26" t="s">
        <v>16</v>
      </c>
      <c r="F78" s="26" t="s">
        <v>17</v>
      </c>
      <c r="H78" s="27" t="s">
        <v>51</v>
      </c>
      <c r="I78" s="27">
        <v>2027</v>
      </c>
      <c r="J78" s="27" t="s">
        <v>19</v>
      </c>
      <c r="K78" s="28" t="s">
        <v>57</v>
      </c>
      <c r="L78" s="28" t="s">
        <v>24</v>
      </c>
      <c r="M78" s="28" t="s">
        <v>22</v>
      </c>
      <c r="N78" s="29" t="s">
        <v>58</v>
      </c>
      <c r="O78" s="28" t="s">
        <v>33</v>
      </c>
      <c r="P78" s="28" t="s">
        <v>33</v>
      </c>
      <c r="Q78" s="30"/>
      <c r="R78" s="30"/>
    </row>
    <row r="79" spans="1:39" s="11" customFormat="1" ht="30" customHeight="1" x14ac:dyDescent="0.3">
      <c r="A79" s="26" t="str">
        <f t="shared" si="2"/>
        <v>2027고려대</v>
      </c>
      <c r="B79" s="26">
        <f>COUNTIFS($A$4:A79,A79)</f>
        <v>6</v>
      </c>
      <c r="C79" s="26" t="str">
        <f t="shared" si="3"/>
        <v>2027고려대6</v>
      </c>
      <c r="D79" s="3"/>
      <c r="E79" s="26" t="s">
        <v>16</v>
      </c>
      <c r="F79" s="26" t="s">
        <v>17</v>
      </c>
      <c r="G79" s="3"/>
      <c r="H79" s="27" t="s">
        <v>51</v>
      </c>
      <c r="I79" s="27">
        <v>2027</v>
      </c>
      <c r="J79" s="27" t="s">
        <v>19</v>
      </c>
      <c r="K79" s="28" t="s">
        <v>57</v>
      </c>
      <c r="L79" s="28" t="s">
        <v>24</v>
      </c>
      <c r="M79" s="28" t="s">
        <v>42</v>
      </c>
      <c r="N79" s="29" t="s">
        <v>70</v>
      </c>
      <c r="O79" s="28" t="s">
        <v>33</v>
      </c>
      <c r="P79" s="28" t="s">
        <v>33</v>
      </c>
      <c r="Q79" s="30"/>
      <c r="R79" s="30"/>
      <c r="S79" s="10"/>
      <c r="AE79"/>
      <c r="AF79"/>
      <c r="AG79"/>
      <c r="AH79"/>
      <c r="AI79"/>
      <c r="AJ79"/>
      <c r="AK79"/>
      <c r="AL79"/>
      <c r="AM79"/>
    </row>
    <row r="80" spans="1:39" s="11" customFormat="1" ht="30" customHeight="1" x14ac:dyDescent="0.3">
      <c r="A80" s="26" t="str">
        <f t="shared" si="2"/>
        <v>2027고려대</v>
      </c>
      <c r="B80" s="26">
        <f>COUNTIFS($A$4:A80,A80)</f>
        <v>7</v>
      </c>
      <c r="C80" s="26" t="str">
        <f t="shared" si="3"/>
        <v>2027고려대7</v>
      </c>
      <c r="D80" s="3"/>
      <c r="E80" s="26" t="s">
        <v>16</v>
      </c>
      <c r="F80" s="26" t="s">
        <v>17</v>
      </c>
      <c r="G80" s="3"/>
      <c r="H80" s="27" t="s">
        <v>51</v>
      </c>
      <c r="I80" s="27">
        <v>2027</v>
      </c>
      <c r="J80" s="27" t="s">
        <v>19</v>
      </c>
      <c r="K80" s="28" t="s">
        <v>60</v>
      </c>
      <c r="L80" s="28" t="s">
        <v>21</v>
      </c>
      <c r="M80" s="28" t="s">
        <v>22</v>
      </c>
      <c r="N80" s="29" t="s">
        <v>33</v>
      </c>
      <c r="O80" s="28" t="s">
        <v>33</v>
      </c>
      <c r="P80" s="28" t="s">
        <v>33</v>
      </c>
      <c r="Q80" s="30"/>
      <c r="R80" s="32"/>
      <c r="S80" s="10"/>
      <c r="AE80"/>
      <c r="AF80"/>
      <c r="AG80"/>
      <c r="AH80"/>
      <c r="AI80"/>
      <c r="AJ80"/>
      <c r="AK80"/>
      <c r="AL80"/>
      <c r="AM80"/>
    </row>
    <row r="81" spans="1:39" s="11" customFormat="1" ht="30" customHeight="1" x14ac:dyDescent="0.3">
      <c r="A81" s="26" t="str">
        <f t="shared" si="2"/>
        <v>2027고려대</v>
      </c>
      <c r="B81" s="26">
        <f>COUNTIFS($A$4:A81,A81)</f>
        <v>8</v>
      </c>
      <c r="C81" s="26" t="str">
        <f t="shared" si="3"/>
        <v>2027고려대8</v>
      </c>
      <c r="D81" s="3"/>
      <c r="E81" s="26" t="s">
        <v>16</v>
      </c>
      <c r="F81" s="26" t="s">
        <v>17</v>
      </c>
      <c r="G81" s="3"/>
      <c r="H81" s="27" t="s">
        <v>51</v>
      </c>
      <c r="I81" s="27">
        <v>2027</v>
      </c>
      <c r="J81" s="27" t="s">
        <v>19</v>
      </c>
      <c r="K81" s="28" t="s">
        <v>60</v>
      </c>
      <c r="L81" s="28" t="s">
        <v>24</v>
      </c>
      <c r="M81" s="28" t="s">
        <v>22</v>
      </c>
      <c r="N81" s="29" t="s">
        <v>33</v>
      </c>
      <c r="O81" s="28" t="s">
        <v>33</v>
      </c>
      <c r="P81" s="28" t="s">
        <v>33</v>
      </c>
      <c r="Q81" s="30"/>
      <c r="R81" s="30"/>
      <c r="S81" s="10"/>
      <c r="AE81"/>
      <c r="AF81"/>
      <c r="AG81"/>
      <c r="AH81"/>
      <c r="AI81"/>
      <c r="AJ81"/>
      <c r="AK81"/>
      <c r="AL81"/>
      <c r="AM81"/>
    </row>
    <row r="82" spans="1:39" s="11" customFormat="1" ht="30" customHeight="1" x14ac:dyDescent="0.3">
      <c r="A82" s="26" t="str">
        <f t="shared" si="2"/>
        <v>2027고려대</v>
      </c>
      <c r="B82" s="26">
        <f>COUNTIFS($A$4:A82,A82)</f>
        <v>9</v>
      </c>
      <c r="C82" s="26" t="str">
        <f t="shared" si="3"/>
        <v>2027고려대9</v>
      </c>
      <c r="D82" s="3"/>
      <c r="E82" s="26" t="s">
        <v>16</v>
      </c>
      <c r="F82" s="26" t="s">
        <v>17</v>
      </c>
      <c r="G82" s="3"/>
      <c r="H82" s="28" t="s">
        <v>51</v>
      </c>
      <c r="I82" s="28">
        <v>2027</v>
      </c>
      <c r="J82" s="28" t="s">
        <v>19</v>
      </c>
      <c r="K82" s="28" t="s">
        <v>61</v>
      </c>
      <c r="L82" s="28" t="s">
        <v>24</v>
      </c>
      <c r="M82" s="28" t="s">
        <v>22</v>
      </c>
      <c r="N82" s="29" t="s">
        <v>33</v>
      </c>
      <c r="O82" s="28" t="s">
        <v>33</v>
      </c>
      <c r="P82" s="28" t="s">
        <v>33</v>
      </c>
      <c r="Q82" s="30"/>
      <c r="R82" s="30"/>
      <c r="S82" s="10"/>
      <c r="AD82"/>
      <c r="AE82"/>
      <c r="AF82"/>
      <c r="AG82"/>
      <c r="AH82"/>
      <c r="AI82"/>
      <c r="AJ82"/>
      <c r="AK82"/>
      <c r="AL82"/>
    </row>
    <row r="83" spans="1:39" s="11" customFormat="1" ht="30" customHeight="1" x14ac:dyDescent="0.3">
      <c r="A83" s="26" t="str">
        <f t="shared" si="2"/>
        <v>2027고려대</v>
      </c>
      <c r="B83" s="26">
        <f>COUNTIFS($A$4:A83,A83)</f>
        <v>10</v>
      </c>
      <c r="C83" s="26" t="str">
        <f t="shared" si="3"/>
        <v>2027고려대10</v>
      </c>
      <c r="D83" s="3"/>
      <c r="E83" s="26" t="s">
        <v>16</v>
      </c>
      <c r="F83" s="26" t="s">
        <v>17</v>
      </c>
      <c r="G83" s="3"/>
      <c r="H83" s="28" t="s">
        <v>51</v>
      </c>
      <c r="I83" s="28">
        <v>2027</v>
      </c>
      <c r="J83" s="28" t="s">
        <v>50</v>
      </c>
      <c r="K83" s="28" t="s">
        <v>50</v>
      </c>
      <c r="L83" s="28" t="s">
        <v>21</v>
      </c>
      <c r="M83" s="28" t="s">
        <v>22</v>
      </c>
      <c r="N83" s="34" t="s">
        <v>58</v>
      </c>
      <c r="O83" s="28" t="s">
        <v>33</v>
      </c>
      <c r="P83" s="28" t="s">
        <v>33</v>
      </c>
      <c r="Q83" s="30"/>
      <c r="R83" s="30"/>
      <c r="S83" s="10"/>
      <c r="AE83"/>
      <c r="AF83"/>
      <c r="AG83"/>
      <c r="AH83"/>
      <c r="AI83"/>
      <c r="AJ83"/>
      <c r="AK83"/>
      <c r="AL83"/>
      <c r="AM83"/>
    </row>
    <row r="84" spans="1:39" s="10" customFormat="1" ht="30" customHeight="1" x14ac:dyDescent="0.3">
      <c r="A84" s="26" t="str">
        <f t="shared" si="2"/>
        <v>2027고려대</v>
      </c>
      <c r="B84" s="26">
        <f>COUNTIFS($A$4:A84,A84)</f>
        <v>11</v>
      </c>
      <c r="C84" s="26" t="str">
        <f t="shared" si="3"/>
        <v>2027고려대11</v>
      </c>
      <c r="D84" s="3"/>
      <c r="E84" s="26" t="s">
        <v>16</v>
      </c>
      <c r="F84" s="26" t="s">
        <v>17</v>
      </c>
      <c r="G84" s="3"/>
      <c r="H84" s="27" t="s">
        <v>51</v>
      </c>
      <c r="I84" s="27">
        <v>2027</v>
      </c>
      <c r="J84" s="27" t="s">
        <v>50</v>
      </c>
      <c r="K84" s="28" t="s">
        <v>50</v>
      </c>
      <c r="L84" s="28" t="s">
        <v>24</v>
      </c>
      <c r="M84" s="28" t="s">
        <v>22</v>
      </c>
      <c r="N84" s="29" t="s">
        <v>58</v>
      </c>
      <c r="O84" s="28" t="s">
        <v>33</v>
      </c>
      <c r="P84" s="28" t="s">
        <v>33</v>
      </c>
      <c r="Q84" s="30"/>
      <c r="R84" s="3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/>
      <c r="AF84"/>
      <c r="AG84"/>
      <c r="AH84"/>
      <c r="AI84"/>
      <c r="AJ84"/>
      <c r="AK84"/>
      <c r="AL84"/>
      <c r="AM84"/>
    </row>
    <row r="85" spans="1:39" s="10" customFormat="1" ht="30" customHeight="1" x14ac:dyDescent="0.3">
      <c r="A85" s="26" t="str">
        <f t="shared" si="2"/>
        <v>2025서강대</v>
      </c>
      <c r="B85" s="26">
        <f>COUNTIFS($A$4:A85,A85)</f>
        <v>1</v>
      </c>
      <c r="C85" s="26" t="str">
        <f t="shared" si="3"/>
        <v>2025서강대1</v>
      </c>
      <c r="D85" s="3"/>
      <c r="E85" s="26" t="s">
        <v>73</v>
      </c>
      <c r="F85" s="26" t="s">
        <v>17</v>
      </c>
      <c r="G85" s="3"/>
      <c r="H85" s="27" t="s">
        <v>74</v>
      </c>
      <c r="I85" s="27">
        <v>2025</v>
      </c>
      <c r="J85" s="27" t="s">
        <v>38</v>
      </c>
      <c r="K85" s="28" t="s">
        <v>20</v>
      </c>
      <c r="L85" s="28" t="s">
        <v>21</v>
      </c>
      <c r="M85" s="28" t="s">
        <v>22</v>
      </c>
      <c r="N85" s="29" t="s">
        <v>75</v>
      </c>
      <c r="O85" s="28" t="s">
        <v>33</v>
      </c>
      <c r="P85" s="28" t="s">
        <v>33</v>
      </c>
      <c r="Q85" s="30"/>
      <c r="R85" s="32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/>
      <c r="AF85"/>
      <c r="AG85"/>
      <c r="AH85"/>
      <c r="AI85"/>
      <c r="AJ85"/>
      <c r="AK85"/>
      <c r="AL85"/>
      <c r="AM85"/>
    </row>
    <row r="86" spans="1:39" s="10" customFormat="1" ht="30" customHeight="1" x14ac:dyDescent="0.3">
      <c r="A86" s="26" t="str">
        <f t="shared" si="2"/>
        <v>2025서강대</v>
      </c>
      <c r="B86" s="26">
        <f>COUNTIFS($A$4:A86,A86)</f>
        <v>2</v>
      </c>
      <c r="C86" s="26" t="str">
        <f t="shared" si="3"/>
        <v>2025서강대2</v>
      </c>
      <c r="D86" s="3"/>
      <c r="E86" s="26" t="s">
        <v>73</v>
      </c>
      <c r="F86" s="26" t="s">
        <v>17</v>
      </c>
      <c r="G86" s="3"/>
      <c r="H86" s="27" t="s">
        <v>74</v>
      </c>
      <c r="I86" s="27">
        <v>2025</v>
      </c>
      <c r="J86" s="27" t="s">
        <v>38</v>
      </c>
      <c r="K86" s="28" t="s">
        <v>20</v>
      </c>
      <c r="L86" s="28" t="s">
        <v>24</v>
      </c>
      <c r="M86" s="28" t="s">
        <v>22</v>
      </c>
      <c r="N86" s="29" t="s">
        <v>75</v>
      </c>
      <c r="O86" s="28" t="s">
        <v>33</v>
      </c>
      <c r="P86" s="28" t="s">
        <v>33</v>
      </c>
      <c r="Q86" s="30"/>
      <c r="R86" s="3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/>
      <c r="AF86"/>
      <c r="AG86"/>
      <c r="AH86"/>
      <c r="AI86"/>
      <c r="AJ86"/>
      <c r="AK86"/>
      <c r="AL86"/>
      <c r="AM86"/>
    </row>
    <row r="87" spans="1:39" s="10" customFormat="1" ht="30" customHeight="1" x14ac:dyDescent="0.3">
      <c r="A87" s="26" t="str">
        <f t="shared" si="2"/>
        <v>2025서강대</v>
      </c>
      <c r="B87" s="26">
        <f>COUNTIFS($A$4:A87,A87)</f>
        <v>3</v>
      </c>
      <c r="C87" s="26" t="str">
        <f t="shared" si="3"/>
        <v>2025서강대3</v>
      </c>
      <c r="D87" s="3"/>
      <c r="E87" s="26" t="s">
        <v>73</v>
      </c>
      <c r="F87" s="26" t="s">
        <v>17</v>
      </c>
      <c r="G87" s="3"/>
      <c r="H87" s="27" t="s">
        <v>74</v>
      </c>
      <c r="I87" s="27">
        <v>2025</v>
      </c>
      <c r="J87" s="27" t="s">
        <v>19</v>
      </c>
      <c r="K87" s="28" t="s">
        <v>76</v>
      </c>
      <c r="L87" s="28" t="s">
        <v>21</v>
      </c>
      <c r="M87" s="28" t="s">
        <v>22</v>
      </c>
      <c r="N87" s="29" t="s">
        <v>33</v>
      </c>
      <c r="O87" s="28" t="s">
        <v>33</v>
      </c>
      <c r="P87" s="28" t="s">
        <v>33</v>
      </c>
      <c r="Q87" s="30"/>
      <c r="R87" s="3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/>
      <c r="AF87"/>
      <c r="AG87"/>
      <c r="AH87"/>
      <c r="AI87"/>
      <c r="AJ87"/>
      <c r="AK87"/>
      <c r="AL87"/>
      <c r="AM87"/>
    </row>
    <row r="88" spans="1:39" s="10" customFormat="1" ht="30" customHeight="1" x14ac:dyDescent="0.3">
      <c r="A88" s="26" t="str">
        <f t="shared" si="2"/>
        <v>2025서강대</v>
      </c>
      <c r="B88" s="26">
        <f>COUNTIFS($A$4:A88,A88)</f>
        <v>4</v>
      </c>
      <c r="C88" s="26" t="str">
        <f t="shared" si="3"/>
        <v>2025서강대4</v>
      </c>
      <c r="D88" s="3"/>
      <c r="E88" s="26" t="s">
        <v>73</v>
      </c>
      <c r="F88" s="26" t="s">
        <v>17</v>
      </c>
      <c r="G88" s="3"/>
      <c r="H88" s="28" t="s">
        <v>74</v>
      </c>
      <c r="I88" s="28">
        <v>2025</v>
      </c>
      <c r="J88" s="28" t="s">
        <v>19</v>
      </c>
      <c r="K88" s="28" t="s">
        <v>76</v>
      </c>
      <c r="L88" s="28" t="s">
        <v>24</v>
      </c>
      <c r="M88" s="28" t="s">
        <v>22</v>
      </c>
      <c r="N88" s="29" t="s">
        <v>33</v>
      </c>
      <c r="O88" s="28" t="s">
        <v>33</v>
      </c>
      <c r="P88" s="28" t="s">
        <v>33</v>
      </c>
      <c r="Q88" s="30"/>
      <c r="R88" s="32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/>
      <c r="AF88"/>
      <c r="AG88"/>
      <c r="AH88"/>
      <c r="AI88"/>
      <c r="AJ88"/>
      <c r="AK88"/>
      <c r="AL88"/>
      <c r="AM88"/>
    </row>
    <row r="89" spans="1:39" s="10" customFormat="1" ht="30" customHeight="1" x14ac:dyDescent="0.3">
      <c r="A89" s="26" t="str">
        <f t="shared" si="2"/>
        <v>2025서강대</v>
      </c>
      <c r="B89" s="26">
        <f>COUNTIFS($A$4:A89,A89)</f>
        <v>5</v>
      </c>
      <c r="C89" s="26" t="str">
        <f t="shared" si="3"/>
        <v>2025서강대5</v>
      </c>
      <c r="D89" s="3"/>
      <c r="E89" s="26" t="s">
        <v>73</v>
      </c>
      <c r="F89" s="26" t="s">
        <v>17</v>
      </c>
      <c r="G89" s="3"/>
      <c r="H89" s="27" t="s">
        <v>74</v>
      </c>
      <c r="I89" s="27">
        <v>2025</v>
      </c>
      <c r="J89" s="27" t="s">
        <v>50</v>
      </c>
      <c r="K89" s="28" t="s">
        <v>50</v>
      </c>
      <c r="L89" s="28" t="s">
        <v>21</v>
      </c>
      <c r="M89" s="28" t="s">
        <v>22</v>
      </c>
      <c r="N89" s="29" t="s">
        <v>65</v>
      </c>
      <c r="O89" s="28" t="s">
        <v>33</v>
      </c>
      <c r="P89" s="28" t="s">
        <v>33</v>
      </c>
      <c r="Q89" s="30"/>
      <c r="R89" s="3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/>
      <c r="AF89"/>
      <c r="AG89"/>
      <c r="AH89"/>
      <c r="AI89"/>
      <c r="AJ89"/>
      <c r="AK89"/>
      <c r="AL89"/>
      <c r="AM89"/>
    </row>
    <row r="90" spans="1:39" s="10" customFormat="1" ht="30" customHeight="1" x14ac:dyDescent="0.3">
      <c r="A90" s="26" t="str">
        <f t="shared" si="2"/>
        <v>2025서강대</v>
      </c>
      <c r="B90" s="26">
        <f>COUNTIFS($A$4:A90,A90)</f>
        <v>6</v>
      </c>
      <c r="C90" s="26" t="str">
        <f t="shared" si="3"/>
        <v>2025서강대6</v>
      </c>
      <c r="D90" s="3"/>
      <c r="E90" s="26" t="s">
        <v>73</v>
      </c>
      <c r="F90" s="26" t="s">
        <v>17</v>
      </c>
      <c r="G90" s="3"/>
      <c r="H90" s="27" t="s">
        <v>74</v>
      </c>
      <c r="I90" s="27">
        <v>2025</v>
      </c>
      <c r="J90" s="27" t="s">
        <v>50</v>
      </c>
      <c r="K90" s="28" t="s">
        <v>50</v>
      </c>
      <c r="L90" s="28" t="s">
        <v>24</v>
      </c>
      <c r="M90" s="28" t="s">
        <v>22</v>
      </c>
      <c r="N90" s="29" t="s">
        <v>65</v>
      </c>
      <c r="O90" s="28" t="s">
        <v>33</v>
      </c>
      <c r="P90" s="28" t="s">
        <v>33</v>
      </c>
      <c r="Q90" s="30"/>
      <c r="R90" s="3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/>
      <c r="AF90"/>
      <c r="AG90"/>
      <c r="AH90"/>
      <c r="AI90"/>
      <c r="AJ90"/>
      <c r="AK90"/>
      <c r="AL90"/>
      <c r="AM90"/>
    </row>
    <row r="91" spans="1:39" s="10" customFormat="1" ht="30" customHeight="1" x14ac:dyDescent="0.3">
      <c r="A91" s="26" t="str">
        <f t="shared" si="2"/>
        <v>2026서강대</v>
      </c>
      <c r="B91" s="26">
        <f>COUNTIFS($A$4:A91,A91)</f>
        <v>1</v>
      </c>
      <c r="C91" s="26" t="str">
        <f t="shared" si="3"/>
        <v>2026서강대1</v>
      </c>
      <c r="D91" s="3"/>
      <c r="E91" s="26" t="s">
        <v>73</v>
      </c>
      <c r="F91" s="26" t="s">
        <v>17</v>
      </c>
      <c r="G91" s="3"/>
      <c r="H91" s="27" t="s">
        <v>74</v>
      </c>
      <c r="I91" s="27">
        <v>2026</v>
      </c>
      <c r="J91" s="27" t="s">
        <v>38</v>
      </c>
      <c r="K91" s="28" t="s">
        <v>20</v>
      </c>
      <c r="L91" s="28" t="s">
        <v>21</v>
      </c>
      <c r="M91" s="28" t="s">
        <v>22</v>
      </c>
      <c r="N91" s="29" t="s">
        <v>75</v>
      </c>
      <c r="O91" s="28" t="s">
        <v>33</v>
      </c>
      <c r="P91" s="28" t="s">
        <v>33</v>
      </c>
      <c r="Q91" s="30"/>
      <c r="R91" s="32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/>
      <c r="AF91"/>
      <c r="AG91"/>
      <c r="AH91"/>
      <c r="AI91"/>
      <c r="AJ91"/>
      <c r="AK91"/>
      <c r="AL91"/>
      <c r="AM91"/>
    </row>
    <row r="92" spans="1:39" s="10" customFormat="1" ht="30" customHeight="1" x14ac:dyDescent="0.3">
      <c r="A92" s="26" t="str">
        <f t="shared" si="2"/>
        <v>2026서강대</v>
      </c>
      <c r="B92" s="26">
        <f>COUNTIFS($A$4:A92,A92)</f>
        <v>2</v>
      </c>
      <c r="C92" s="26" t="str">
        <f t="shared" si="3"/>
        <v>2026서강대2</v>
      </c>
      <c r="D92" s="3"/>
      <c r="E92" s="26" t="s">
        <v>73</v>
      </c>
      <c r="F92" s="26" t="s">
        <v>17</v>
      </c>
      <c r="G92" s="3"/>
      <c r="H92" s="27" t="s">
        <v>74</v>
      </c>
      <c r="I92" s="27">
        <v>2026</v>
      </c>
      <c r="J92" s="27" t="s">
        <v>38</v>
      </c>
      <c r="K92" s="28" t="s">
        <v>20</v>
      </c>
      <c r="L92" s="28" t="s">
        <v>24</v>
      </c>
      <c r="M92" s="28" t="s">
        <v>22</v>
      </c>
      <c r="N92" s="29" t="s">
        <v>75</v>
      </c>
      <c r="O92" s="28" t="s">
        <v>33</v>
      </c>
      <c r="P92" s="28" t="s">
        <v>33</v>
      </c>
      <c r="Q92" s="30"/>
      <c r="R92" s="32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/>
      <c r="AF92"/>
      <c r="AG92"/>
      <c r="AH92"/>
      <c r="AI92"/>
      <c r="AJ92"/>
      <c r="AK92"/>
      <c r="AL92"/>
      <c r="AM92"/>
    </row>
    <row r="93" spans="1:39" s="10" customFormat="1" ht="30" customHeight="1" x14ac:dyDescent="0.3">
      <c r="A93" s="26" t="str">
        <f t="shared" si="2"/>
        <v>2026서강대</v>
      </c>
      <c r="B93" s="26">
        <f>COUNTIFS($A$4:A93,A93)</f>
        <v>3</v>
      </c>
      <c r="C93" s="26" t="str">
        <f t="shared" si="3"/>
        <v>2026서강대3</v>
      </c>
      <c r="D93" s="3"/>
      <c r="E93" s="26" t="s">
        <v>73</v>
      </c>
      <c r="F93" s="26" t="s">
        <v>17</v>
      </c>
      <c r="G93" s="3"/>
      <c r="H93" s="27" t="s">
        <v>74</v>
      </c>
      <c r="I93" s="27">
        <v>2026</v>
      </c>
      <c r="J93" s="27" t="s">
        <v>19</v>
      </c>
      <c r="K93" s="28" t="s">
        <v>76</v>
      </c>
      <c r="L93" s="28" t="s">
        <v>21</v>
      </c>
      <c r="M93" s="28" t="s">
        <v>22</v>
      </c>
      <c r="N93" s="29" t="s">
        <v>33</v>
      </c>
      <c r="O93" s="28" t="s">
        <v>33</v>
      </c>
      <c r="P93" s="28" t="s">
        <v>33</v>
      </c>
      <c r="Q93" s="30"/>
      <c r="R93" s="32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/>
      <c r="AF93"/>
      <c r="AG93"/>
      <c r="AH93"/>
      <c r="AI93"/>
      <c r="AJ93"/>
      <c r="AK93"/>
      <c r="AL93"/>
      <c r="AM93"/>
    </row>
    <row r="94" spans="1:39" s="10" customFormat="1" ht="30" customHeight="1" x14ac:dyDescent="0.3">
      <c r="A94" s="26" t="str">
        <f t="shared" si="2"/>
        <v>2026서강대</v>
      </c>
      <c r="B94" s="26">
        <f>COUNTIFS($A$4:A94,A94)</f>
        <v>4</v>
      </c>
      <c r="C94" s="26" t="str">
        <f t="shared" si="3"/>
        <v>2026서강대4</v>
      </c>
      <c r="D94" s="3"/>
      <c r="E94" s="26" t="s">
        <v>73</v>
      </c>
      <c r="F94" s="26" t="s">
        <v>17</v>
      </c>
      <c r="G94" s="3"/>
      <c r="H94" s="28" t="s">
        <v>74</v>
      </c>
      <c r="I94" s="27">
        <v>2026</v>
      </c>
      <c r="J94" s="27" t="s">
        <v>19</v>
      </c>
      <c r="K94" s="28" t="s">
        <v>76</v>
      </c>
      <c r="L94" s="28" t="s">
        <v>24</v>
      </c>
      <c r="M94" s="28" t="s">
        <v>22</v>
      </c>
      <c r="N94" s="29" t="s">
        <v>33</v>
      </c>
      <c r="O94" s="28" t="s">
        <v>33</v>
      </c>
      <c r="P94" s="28" t="s">
        <v>33</v>
      </c>
      <c r="Q94" s="30"/>
      <c r="R94" s="3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/>
      <c r="AF94"/>
      <c r="AG94"/>
      <c r="AH94"/>
      <c r="AI94"/>
      <c r="AJ94"/>
      <c r="AK94"/>
      <c r="AL94"/>
      <c r="AM94"/>
    </row>
    <row r="95" spans="1:39" s="10" customFormat="1" ht="30" customHeight="1" x14ac:dyDescent="0.3">
      <c r="A95" s="26" t="str">
        <f t="shared" si="2"/>
        <v>2026서강대</v>
      </c>
      <c r="B95" s="26">
        <f>COUNTIFS($A$4:A95,A95)</f>
        <v>5</v>
      </c>
      <c r="C95" s="26" t="str">
        <f t="shared" si="3"/>
        <v>2026서강대5</v>
      </c>
      <c r="D95" s="3"/>
      <c r="E95" s="26" t="s">
        <v>73</v>
      </c>
      <c r="F95" s="26" t="s">
        <v>17</v>
      </c>
      <c r="G95" s="3"/>
      <c r="H95" s="28" t="s">
        <v>74</v>
      </c>
      <c r="I95" s="28">
        <v>2026</v>
      </c>
      <c r="J95" s="28" t="s">
        <v>50</v>
      </c>
      <c r="K95" s="28" t="s">
        <v>50</v>
      </c>
      <c r="L95" s="28" t="s">
        <v>21</v>
      </c>
      <c r="M95" s="28" t="s">
        <v>22</v>
      </c>
      <c r="N95" s="29" t="s">
        <v>65</v>
      </c>
      <c r="O95" s="28" t="s">
        <v>33</v>
      </c>
      <c r="P95" s="28" t="s">
        <v>33</v>
      </c>
      <c r="Q95" s="30"/>
      <c r="R95" s="3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/>
      <c r="AF95"/>
      <c r="AG95"/>
      <c r="AH95"/>
      <c r="AI95"/>
      <c r="AJ95"/>
      <c r="AK95"/>
      <c r="AL95"/>
      <c r="AM95"/>
    </row>
    <row r="96" spans="1:39" s="10" customFormat="1" ht="30" customHeight="1" x14ac:dyDescent="0.3">
      <c r="A96" s="26" t="str">
        <f t="shared" si="2"/>
        <v>2026서강대</v>
      </c>
      <c r="B96" s="26">
        <f>COUNTIFS($A$4:A96,A96)</f>
        <v>6</v>
      </c>
      <c r="C96" s="26" t="str">
        <f t="shared" si="3"/>
        <v>2026서강대6</v>
      </c>
      <c r="D96" s="3"/>
      <c r="E96" s="26" t="s">
        <v>73</v>
      </c>
      <c r="F96" s="26" t="s">
        <v>17</v>
      </c>
      <c r="G96" s="3"/>
      <c r="H96" s="27" t="s">
        <v>74</v>
      </c>
      <c r="I96" s="27">
        <v>2026</v>
      </c>
      <c r="J96" s="27" t="s">
        <v>50</v>
      </c>
      <c r="K96" s="28" t="s">
        <v>50</v>
      </c>
      <c r="L96" s="28" t="s">
        <v>24</v>
      </c>
      <c r="M96" s="28" t="s">
        <v>22</v>
      </c>
      <c r="N96" s="29" t="s">
        <v>65</v>
      </c>
      <c r="O96" s="28" t="s">
        <v>33</v>
      </c>
      <c r="P96" s="28" t="s">
        <v>33</v>
      </c>
      <c r="Q96" s="30"/>
      <c r="R96" s="3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/>
      <c r="AF96"/>
      <c r="AG96"/>
      <c r="AH96"/>
      <c r="AI96"/>
      <c r="AJ96"/>
      <c r="AK96"/>
      <c r="AL96"/>
      <c r="AM96"/>
    </row>
    <row r="97" spans="1:39" s="10" customFormat="1" ht="30" customHeight="1" x14ac:dyDescent="0.3">
      <c r="A97" s="26" t="str">
        <f t="shared" si="2"/>
        <v>2027서강대</v>
      </c>
      <c r="B97" s="26">
        <f>COUNTIFS($A$4:A97,A97)</f>
        <v>1</v>
      </c>
      <c r="C97" s="26" t="str">
        <f t="shared" si="3"/>
        <v>2027서강대1</v>
      </c>
      <c r="D97" s="3"/>
      <c r="E97" s="26" t="s">
        <v>73</v>
      </c>
      <c r="F97" s="26" t="s">
        <v>17</v>
      </c>
      <c r="G97" s="3"/>
      <c r="H97" s="27" t="s">
        <v>74</v>
      </c>
      <c r="I97" s="27">
        <v>2027</v>
      </c>
      <c r="J97" s="27" t="s">
        <v>38</v>
      </c>
      <c r="K97" s="28" t="s">
        <v>20</v>
      </c>
      <c r="L97" s="28" t="s">
        <v>21</v>
      </c>
      <c r="M97" s="28" t="s">
        <v>22</v>
      </c>
      <c r="N97" s="29" t="s">
        <v>75</v>
      </c>
      <c r="O97" s="28" t="s">
        <v>33</v>
      </c>
      <c r="P97" s="28" t="s">
        <v>33</v>
      </c>
      <c r="Q97" s="30"/>
      <c r="R97" s="3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/>
      <c r="AF97"/>
      <c r="AG97"/>
      <c r="AH97"/>
      <c r="AI97"/>
      <c r="AJ97"/>
      <c r="AK97"/>
      <c r="AL97"/>
      <c r="AM97"/>
    </row>
    <row r="98" spans="1:39" s="10" customFormat="1" ht="30" customHeight="1" x14ac:dyDescent="0.3">
      <c r="A98" s="26" t="str">
        <f t="shared" si="2"/>
        <v>2027서강대</v>
      </c>
      <c r="B98" s="26">
        <f>COUNTIFS($A$4:A98,A98)</f>
        <v>2</v>
      </c>
      <c r="C98" s="26" t="str">
        <f t="shared" si="3"/>
        <v>2027서강대2</v>
      </c>
      <c r="D98" s="3"/>
      <c r="E98" s="26" t="s">
        <v>73</v>
      </c>
      <c r="F98" s="26" t="s">
        <v>17</v>
      </c>
      <c r="G98" s="3"/>
      <c r="H98" s="27" t="s">
        <v>74</v>
      </c>
      <c r="I98" s="27">
        <v>2027</v>
      </c>
      <c r="J98" s="27" t="s">
        <v>38</v>
      </c>
      <c r="K98" s="28" t="s">
        <v>20</v>
      </c>
      <c r="L98" s="28" t="s">
        <v>24</v>
      </c>
      <c r="M98" s="28" t="s">
        <v>22</v>
      </c>
      <c r="N98" s="29" t="s">
        <v>75</v>
      </c>
      <c r="O98" s="28" t="s">
        <v>33</v>
      </c>
      <c r="P98" s="28" t="s">
        <v>33</v>
      </c>
      <c r="Q98" s="30"/>
      <c r="R98" s="3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/>
      <c r="AF98"/>
      <c r="AG98"/>
      <c r="AH98"/>
      <c r="AI98"/>
      <c r="AJ98"/>
      <c r="AK98"/>
      <c r="AL98"/>
      <c r="AM98"/>
    </row>
    <row r="99" spans="1:39" s="10" customFormat="1" ht="30" customHeight="1" x14ac:dyDescent="0.3">
      <c r="A99" s="26" t="str">
        <f t="shared" si="2"/>
        <v>2027서강대</v>
      </c>
      <c r="B99" s="26">
        <f>COUNTIFS($A$4:A99,A99)</f>
        <v>3</v>
      </c>
      <c r="C99" s="26" t="str">
        <f t="shared" si="3"/>
        <v>2027서강대3</v>
      </c>
      <c r="D99" s="3"/>
      <c r="E99" s="26" t="s">
        <v>73</v>
      </c>
      <c r="F99" s="26" t="s">
        <v>17</v>
      </c>
      <c r="G99" s="3"/>
      <c r="H99" s="27" t="s">
        <v>74</v>
      </c>
      <c r="I99" s="27">
        <v>2027</v>
      </c>
      <c r="J99" s="27" t="s">
        <v>19</v>
      </c>
      <c r="K99" s="28" t="s">
        <v>77</v>
      </c>
      <c r="L99" s="28" t="s">
        <v>21</v>
      </c>
      <c r="M99" s="28" t="s">
        <v>22</v>
      </c>
      <c r="N99" s="29" t="s">
        <v>33</v>
      </c>
      <c r="O99" s="28" t="s">
        <v>33</v>
      </c>
      <c r="P99" s="28" t="s">
        <v>33</v>
      </c>
      <c r="Q99" s="30"/>
      <c r="R99" s="3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/>
      <c r="AF99"/>
      <c r="AG99"/>
      <c r="AH99"/>
      <c r="AI99"/>
      <c r="AJ99"/>
      <c r="AK99"/>
      <c r="AL99"/>
      <c r="AM99"/>
    </row>
    <row r="100" spans="1:39" s="10" customFormat="1" ht="30" customHeight="1" x14ac:dyDescent="0.3">
      <c r="A100" s="26" t="str">
        <f t="shared" si="2"/>
        <v>2027서강대</v>
      </c>
      <c r="B100" s="26">
        <f>COUNTIFS($A$4:A100,A100)</f>
        <v>4</v>
      </c>
      <c r="C100" s="26" t="str">
        <f t="shared" si="3"/>
        <v>2027서강대4</v>
      </c>
      <c r="D100" s="3"/>
      <c r="E100" s="26" t="s">
        <v>73</v>
      </c>
      <c r="F100" s="26" t="s">
        <v>17</v>
      </c>
      <c r="G100" s="3"/>
      <c r="H100" s="27" t="s">
        <v>74</v>
      </c>
      <c r="I100" s="27">
        <v>2027</v>
      </c>
      <c r="J100" s="27" t="s">
        <v>19</v>
      </c>
      <c r="K100" s="28" t="s">
        <v>77</v>
      </c>
      <c r="L100" s="28" t="s">
        <v>24</v>
      </c>
      <c r="M100" s="28" t="s">
        <v>22</v>
      </c>
      <c r="N100" s="29" t="s">
        <v>33</v>
      </c>
      <c r="O100" s="28" t="s">
        <v>33</v>
      </c>
      <c r="P100" s="28" t="s">
        <v>33</v>
      </c>
      <c r="Q100" s="30"/>
      <c r="R100" s="3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/>
      <c r="AF100"/>
      <c r="AG100"/>
      <c r="AH100"/>
      <c r="AI100"/>
      <c r="AJ100"/>
      <c r="AK100"/>
      <c r="AL100"/>
      <c r="AM100"/>
    </row>
    <row r="101" spans="1:39" s="11" customFormat="1" ht="30" customHeight="1" x14ac:dyDescent="0.3">
      <c r="A101" s="26" t="str">
        <f t="shared" si="2"/>
        <v>2027서강대</v>
      </c>
      <c r="B101" s="26">
        <f>COUNTIFS($A$4:A101,A101)</f>
        <v>5</v>
      </c>
      <c r="C101" s="26" t="str">
        <f t="shared" si="3"/>
        <v>2027서강대5</v>
      </c>
      <c r="D101" s="3"/>
      <c r="E101" s="26" t="s">
        <v>73</v>
      </c>
      <c r="F101" s="26" t="s">
        <v>17</v>
      </c>
      <c r="G101" s="3"/>
      <c r="H101" s="28" t="s">
        <v>74</v>
      </c>
      <c r="I101" s="27">
        <v>2027</v>
      </c>
      <c r="J101" s="27" t="s">
        <v>19</v>
      </c>
      <c r="K101" s="28" t="s">
        <v>78</v>
      </c>
      <c r="L101" s="28" t="s">
        <v>21</v>
      </c>
      <c r="M101" s="28" t="s">
        <v>22</v>
      </c>
      <c r="N101" s="29" t="s">
        <v>33</v>
      </c>
      <c r="O101" s="28" t="s">
        <v>33</v>
      </c>
      <c r="P101" s="28" t="s">
        <v>33</v>
      </c>
      <c r="Q101" s="30"/>
      <c r="R101" s="30"/>
      <c r="S101" s="10"/>
      <c r="AE101"/>
      <c r="AF101"/>
      <c r="AG101"/>
      <c r="AH101"/>
      <c r="AI101"/>
      <c r="AJ101"/>
      <c r="AK101"/>
      <c r="AL101"/>
      <c r="AM101"/>
    </row>
    <row r="102" spans="1:39" s="11" customFormat="1" ht="30" customHeight="1" x14ac:dyDescent="0.3">
      <c r="A102" s="26" t="str">
        <f t="shared" si="2"/>
        <v>2027서강대</v>
      </c>
      <c r="B102" s="26">
        <f>COUNTIFS($A$4:A102,A102)</f>
        <v>6</v>
      </c>
      <c r="C102" s="26" t="str">
        <f t="shared" si="3"/>
        <v>2027서강대6</v>
      </c>
      <c r="D102" s="3"/>
      <c r="E102" s="26" t="s">
        <v>73</v>
      </c>
      <c r="F102" s="26" t="s">
        <v>17</v>
      </c>
      <c r="G102" s="3"/>
      <c r="H102" s="27" t="s">
        <v>74</v>
      </c>
      <c r="I102" s="27">
        <v>2027</v>
      </c>
      <c r="J102" s="27" t="s">
        <v>19</v>
      </c>
      <c r="K102" s="28" t="s">
        <v>78</v>
      </c>
      <c r="L102" s="28" t="s">
        <v>24</v>
      </c>
      <c r="M102" s="28" t="s">
        <v>22</v>
      </c>
      <c r="N102" s="29" t="s">
        <v>33</v>
      </c>
      <c r="O102" s="28" t="s">
        <v>33</v>
      </c>
      <c r="P102" s="28" t="s">
        <v>33</v>
      </c>
      <c r="Q102" s="30"/>
      <c r="R102" s="30"/>
      <c r="S102" s="10"/>
      <c r="AE102"/>
      <c r="AF102"/>
      <c r="AG102"/>
      <c r="AH102"/>
      <c r="AI102"/>
      <c r="AJ102"/>
      <c r="AK102"/>
      <c r="AL102"/>
      <c r="AM102"/>
    </row>
    <row r="103" spans="1:39" s="11" customFormat="1" ht="30" customHeight="1" x14ac:dyDescent="0.3">
      <c r="A103" s="26" t="str">
        <f t="shared" si="2"/>
        <v>2027서강대</v>
      </c>
      <c r="B103" s="26">
        <f>COUNTIFS($A$4:A103,A103)</f>
        <v>7</v>
      </c>
      <c r="C103" s="26" t="str">
        <f t="shared" si="3"/>
        <v>2027서강대7</v>
      </c>
      <c r="D103" s="3"/>
      <c r="E103" s="26" t="s">
        <v>73</v>
      </c>
      <c r="F103" s="26" t="s">
        <v>17</v>
      </c>
      <c r="G103" s="3"/>
      <c r="H103" s="27" t="s">
        <v>74</v>
      </c>
      <c r="I103" s="27">
        <v>2027</v>
      </c>
      <c r="J103" s="27" t="s">
        <v>50</v>
      </c>
      <c r="K103" s="28" t="s">
        <v>50</v>
      </c>
      <c r="L103" s="28" t="s">
        <v>21</v>
      </c>
      <c r="M103" s="28" t="s">
        <v>22</v>
      </c>
      <c r="N103" s="29" t="s">
        <v>65</v>
      </c>
      <c r="O103" s="28" t="s">
        <v>33</v>
      </c>
      <c r="P103" s="28" t="s">
        <v>33</v>
      </c>
      <c r="Q103" s="30"/>
      <c r="R103" s="30"/>
      <c r="S103" s="10"/>
      <c r="AE103"/>
      <c r="AF103"/>
      <c r="AG103"/>
      <c r="AH103"/>
      <c r="AI103"/>
      <c r="AJ103"/>
      <c r="AK103"/>
      <c r="AL103"/>
      <c r="AM103"/>
    </row>
    <row r="104" spans="1:39" s="11" customFormat="1" ht="30" customHeight="1" x14ac:dyDescent="0.3">
      <c r="A104" s="26" t="str">
        <f t="shared" si="2"/>
        <v>2027서강대</v>
      </c>
      <c r="B104" s="26">
        <f>COUNTIFS($A$4:A104,A104)</f>
        <v>8</v>
      </c>
      <c r="C104" s="26" t="str">
        <f t="shared" si="3"/>
        <v>2027서강대8</v>
      </c>
      <c r="D104" s="3"/>
      <c r="E104" s="26" t="s">
        <v>73</v>
      </c>
      <c r="F104" s="26" t="s">
        <v>17</v>
      </c>
      <c r="G104" s="3"/>
      <c r="H104" s="27" t="s">
        <v>74</v>
      </c>
      <c r="I104" s="27">
        <v>2027</v>
      </c>
      <c r="J104" s="27" t="s">
        <v>50</v>
      </c>
      <c r="K104" s="28" t="s">
        <v>50</v>
      </c>
      <c r="L104" s="28" t="s">
        <v>24</v>
      </c>
      <c r="M104" s="28" t="s">
        <v>22</v>
      </c>
      <c r="N104" s="29" t="s">
        <v>65</v>
      </c>
      <c r="O104" s="28" t="s">
        <v>33</v>
      </c>
      <c r="P104" s="28" t="s">
        <v>33</v>
      </c>
      <c r="Q104" s="30"/>
      <c r="R104" s="30"/>
      <c r="S104" s="10"/>
      <c r="AE104"/>
      <c r="AF104"/>
      <c r="AG104"/>
      <c r="AH104"/>
      <c r="AI104"/>
      <c r="AJ104"/>
      <c r="AK104"/>
      <c r="AL104"/>
      <c r="AM104"/>
    </row>
    <row r="105" spans="1:39" s="11" customFormat="1" ht="60" x14ac:dyDescent="0.3">
      <c r="A105" s="26" t="str">
        <f t="shared" si="2"/>
        <v>2025성균관대</v>
      </c>
      <c r="B105" s="26">
        <f>COUNTIFS($A$4:A105,A105)</f>
        <v>1</v>
      </c>
      <c r="C105" s="26" t="str">
        <f t="shared" si="3"/>
        <v>2025성균관대1</v>
      </c>
      <c r="D105" s="3"/>
      <c r="E105" s="26" t="s">
        <v>73</v>
      </c>
      <c r="F105" s="26" t="s">
        <v>17</v>
      </c>
      <c r="G105" s="3"/>
      <c r="H105" s="27" t="s">
        <v>79</v>
      </c>
      <c r="I105" s="27">
        <v>2025</v>
      </c>
      <c r="J105" s="27" t="s">
        <v>38</v>
      </c>
      <c r="K105" s="28" t="s">
        <v>80</v>
      </c>
      <c r="L105" s="28" t="s">
        <v>21</v>
      </c>
      <c r="M105" s="28" t="s">
        <v>22</v>
      </c>
      <c r="N105" s="29" t="s">
        <v>81</v>
      </c>
      <c r="O105" s="28" t="s">
        <v>33</v>
      </c>
      <c r="P105" s="28" t="s">
        <v>33</v>
      </c>
      <c r="Q105" s="30"/>
      <c r="R105" s="30"/>
      <c r="S105" s="10"/>
      <c r="AE105"/>
      <c r="AF105"/>
      <c r="AG105"/>
      <c r="AH105"/>
      <c r="AI105"/>
      <c r="AJ105"/>
      <c r="AK105"/>
      <c r="AL105"/>
      <c r="AM105"/>
    </row>
    <row r="106" spans="1:39" s="11" customFormat="1" ht="60" x14ac:dyDescent="0.3">
      <c r="A106" s="26" t="str">
        <f t="shared" si="2"/>
        <v>2025성균관대</v>
      </c>
      <c r="B106" s="26">
        <f>COUNTIFS($A$4:A106,A106)</f>
        <v>2</v>
      </c>
      <c r="C106" s="26" t="str">
        <f t="shared" si="3"/>
        <v>2025성균관대2</v>
      </c>
      <c r="D106" s="3"/>
      <c r="E106" s="26" t="s">
        <v>73</v>
      </c>
      <c r="F106" s="26" t="s">
        <v>17</v>
      </c>
      <c r="G106" s="3"/>
      <c r="H106" s="28" t="s">
        <v>79</v>
      </c>
      <c r="I106" s="28">
        <v>2025</v>
      </c>
      <c r="J106" s="28" t="s">
        <v>38</v>
      </c>
      <c r="K106" s="28" t="s">
        <v>80</v>
      </c>
      <c r="L106" s="28" t="s">
        <v>24</v>
      </c>
      <c r="M106" s="28" t="s">
        <v>22</v>
      </c>
      <c r="N106" s="29" t="s">
        <v>82</v>
      </c>
      <c r="O106" s="28" t="s">
        <v>33</v>
      </c>
      <c r="P106" s="28" t="s">
        <v>33</v>
      </c>
      <c r="Q106" s="30"/>
      <c r="R106" s="30"/>
      <c r="S106" s="10"/>
      <c r="AE106"/>
      <c r="AF106"/>
      <c r="AG106"/>
      <c r="AH106"/>
      <c r="AI106"/>
      <c r="AJ106"/>
      <c r="AK106"/>
      <c r="AL106"/>
      <c r="AM106"/>
    </row>
    <row r="107" spans="1:39" s="11" customFormat="1" ht="30" customHeight="1" x14ac:dyDescent="0.3">
      <c r="A107" s="26" t="str">
        <f t="shared" si="2"/>
        <v>2025성균관대</v>
      </c>
      <c r="B107" s="26">
        <f>COUNTIFS($A$4:A107,A107)</f>
        <v>3</v>
      </c>
      <c r="C107" s="26" t="str">
        <f t="shared" si="3"/>
        <v>2025성균관대3</v>
      </c>
      <c r="D107" s="3"/>
      <c r="E107" s="26" t="s">
        <v>73</v>
      </c>
      <c r="F107" s="26" t="s">
        <v>17</v>
      </c>
      <c r="G107" s="3"/>
      <c r="H107" s="28" t="s">
        <v>79</v>
      </c>
      <c r="I107" s="28">
        <v>2025</v>
      </c>
      <c r="J107" s="28" t="s">
        <v>19</v>
      </c>
      <c r="K107" s="28" t="s">
        <v>83</v>
      </c>
      <c r="L107" s="28" t="s">
        <v>21</v>
      </c>
      <c r="M107" s="28" t="s">
        <v>22</v>
      </c>
      <c r="N107" s="29" t="s">
        <v>33</v>
      </c>
      <c r="O107" s="28" t="s">
        <v>33</v>
      </c>
      <c r="P107" s="28" t="s">
        <v>33</v>
      </c>
      <c r="Q107" s="30"/>
      <c r="R107" s="30"/>
      <c r="S107" s="10"/>
      <c r="AE107"/>
      <c r="AF107"/>
      <c r="AG107"/>
      <c r="AH107"/>
      <c r="AI107"/>
      <c r="AJ107"/>
      <c r="AK107"/>
      <c r="AL107"/>
      <c r="AM107"/>
    </row>
    <row r="108" spans="1:39" s="11" customFormat="1" ht="30" customHeight="1" x14ac:dyDescent="0.3">
      <c r="A108" s="26" t="str">
        <f t="shared" si="2"/>
        <v>2025성균관대</v>
      </c>
      <c r="B108" s="26">
        <f>COUNTIFS($A$4:A108,A108)</f>
        <v>4</v>
      </c>
      <c r="C108" s="26" t="str">
        <f t="shared" si="3"/>
        <v>2025성균관대4</v>
      </c>
      <c r="D108" s="3"/>
      <c r="E108" s="26" t="s">
        <v>73</v>
      </c>
      <c r="F108" s="26" t="s">
        <v>17</v>
      </c>
      <c r="G108" s="3"/>
      <c r="H108" s="28" t="s">
        <v>79</v>
      </c>
      <c r="I108" s="28">
        <v>2025</v>
      </c>
      <c r="J108" s="28" t="s">
        <v>19</v>
      </c>
      <c r="K108" s="28" t="s">
        <v>83</v>
      </c>
      <c r="L108" s="28" t="s">
        <v>24</v>
      </c>
      <c r="M108" s="28" t="s">
        <v>22</v>
      </c>
      <c r="N108" s="29" t="s">
        <v>33</v>
      </c>
      <c r="O108" s="28" t="s">
        <v>33</v>
      </c>
      <c r="P108" s="28" t="s">
        <v>33</v>
      </c>
      <c r="Q108" s="30"/>
      <c r="R108" s="30"/>
      <c r="S108" s="10"/>
      <c r="AE108"/>
      <c r="AF108"/>
      <c r="AG108"/>
      <c r="AH108"/>
      <c r="AI108"/>
      <c r="AJ108"/>
      <c r="AK108"/>
      <c r="AL108"/>
      <c r="AM108"/>
    </row>
    <row r="109" spans="1:39" s="11" customFormat="1" ht="30" customHeight="1" x14ac:dyDescent="0.3">
      <c r="A109" s="26" t="str">
        <f t="shared" si="2"/>
        <v>2025성균관대</v>
      </c>
      <c r="B109" s="26">
        <f>COUNTIFS($A$4:A109,A109)</f>
        <v>5</v>
      </c>
      <c r="C109" s="26" t="str">
        <f t="shared" si="3"/>
        <v>2025성균관대5</v>
      </c>
      <c r="D109" s="3"/>
      <c r="E109" s="26" t="s">
        <v>73</v>
      </c>
      <c r="F109" s="26" t="s">
        <v>17</v>
      </c>
      <c r="G109" s="3"/>
      <c r="H109" s="27" t="s">
        <v>79</v>
      </c>
      <c r="I109" s="27">
        <v>2025</v>
      </c>
      <c r="J109" s="27" t="s">
        <v>19</v>
      </c>
      <c r="K109" s="28" t="s">
        <v>84</v>
      </c>
      <c r="L109" s="28" t="s">
        <v>21</v>
      </c>
      <c r="M109" s="28" t="s">
        <v>22</v>
      </c>
      <c r="N109" s="29" t="s">
        <v>33</v>
      </c>
      <c r="O109" s="28" t="s">
        <v>33</v>
      </c>
      <c r="P109" s="28" t="s">
        <v>33</v>
      </c>
      <c r="Q109" s="30"/>
      <c r="R109" s="32"/>
      <c r="S109" s="10"/>
      <c r="AE109"/>
      <c r="AF109"/>
      <c r="AG109"/>
      <c r="AH109"/>
      <c r="AI109"/>
      <c r="AJ109"/>
      <c r="AK109"/>
      <c r="AL109"/>
      <c r="AM109"/>
    </row>
    <row r="110" spans="1:39" s="11" customFormat="1" ht="30" customHeight="1" x14ac:dyDescent="0.3">
      <c r="A110" s="26" t="str">
        <f t="shared" si="2"/>
        <v>2025성균관대</v>
      </c>
      <c r="B110" s="26">
        <f>COUNTIFS($A$4:A110,A110)</f>
        <v>6</v>
      </c>
      <c r="C110" s="26" t="str">
        <f t="shared" si="3"/>
        <v>2025성균관대6</v>
      </c>
      <c r="D110" s="3"/>
      <c r="E110" s="26" t="s">
        <v>73</v>
      </c>
      <c r="F110" s="26" t="s">
        <v>17</v>
      </c>
      <c r="G110" s="3"/>
      <c r="H110" s="27" t="s">
        <v>79</v>
      </c>
      <c r="I110" s="27">
        <v>2025</v>
      </c>
      <c r="J110" s="27" t="s">
        <v>19</v>
      </c>
      <c r="K110" s="28" t="s">
        <v>84</v>
      </c>
      <c r="L110" s="28" t="s">
        <v>24</v>
      </c>
      <c r="M110" s="28" t="s">
        <v>22</v>
      </c>
      <c r="N110" s="29" t="s">
        <v>33</v>
      </c>
      <c r="O110" s="28" t="s">
        <v>33</v>
      </c>
      <c r="P110" s="28" t="s">
        <v>33</v>
      </c>
      <c r="Q110" s="30"/>
      <c r="R110" s="32"/>
      <c r="S110" s="10"/>
      <c r="AE110"/>
      <c r="AF110"/>
      <c r="AG110"/>
      <c r="AH110"/>
      <c r="AI110"/>
      <c r="AJ110"/>
      <c r="AK110"/>
      <c r="AL110"/>
      <c r="AM110"/>
    </row>
    <row r="111" spans="1:39" s="11" customFormat="1" ht="30" customHeight="1" x14ac:dyDescent="0.3">
      <c r="A111" s="26" t="str">
        <f t="shared" si="2"/>
        <v>2025성균관대</v>
      </c>
      <c r="B111" s="26">
        <f>COUNTIFS($A$4:A111,A111)</f>
        <v>7</v>
      </c>
      <c r="C111" s="26" t="str">
        <f t="shared" si="3"/>
        <v>2025성균관대7</v>
      </c>
      <c r="D111" s="3"/>
      <c r="E111" s="26" t="s">
        <v>73</v>
      </c>
      <c r="F111" s="26" t="s">
        <v>17</v>
      </c>
      <c r="G111" s="3"/>
      <c r="H111" s="27" t="s">
        <v>79</v>
      </c>
      <c r="I111" s="27">
        <v>2025</v>
      </c>
      <c r="J111" s="27" t="s">
        <v>19</v>
      </c>
      <c r="K111" s="28" t="s">
        <v>85</v>
      </c>
      <c r="L111" s="28" t="s">
        <v>24</v>
      </c>
      <c r="M111" s="28" t="s">
        <v>22</v>
      </c>
      <c r="N111" s="29" t="s">
        <v>33</v>
      </c>
      <c r="O111" s="28" t="s">
        <v>33</v>
      </c>
      <c r="P111" s="28" t="s">
        <v>33</v>
      </c>
      <c r="Q111" s="30"/>
      <c r="R111" s="32"/>
      <c r="S111" s="10"/>
      <c r="AE111"/>
      <c r="AF111"/>
      <c r="AG111"/>
      <c r="AH111"/>
      <c r="AI111"/>
      <c r="AJ111"/>
      <c r="AK111"/>
      <c r="AL111"/>
      <c r="AM111"/>
    </row>
    <row r="112" spans="1:39" s="11" customFormat="1" ht="72" x14ac:dyDescent="0.3">
      <c r="A112" s="26" t="str">
        <f t="shared" si="2"/>
        <v>2025성균관대</v>
      </c>
      <c r="B112" s="26">
        <f>COUNTIFS($A$4:A112,A112)</f>
        <v>8</v>
      </c>
      <c r="C112" s="26" t="str">
        <f t="shared" si="3"/>
        <v>2025성균관대8</v>
      </c>
      <c r="D112" s="3"/>
      <c r="E112" s="26" t="s">
        <v>73</v>
      </c>
      <c r="F112" s="26" t="s">
        <v>17</v>
      </c>
      <c r="G112" s="3"/>
      <c r="H112" s="27" t="s">
        <v>79</v>
      </c>
      <c r="I112" s="27">
        <v>2025</v>
      </c>
      <c r="J112" s="27" t="s">
        <v>50</v>
      </c>
      <c r="K112" s="28" t="s">
        <v>86</v>
      </c>
      <c r="L112" s="28" t="s">
        <v>21</v>
      </c>
      <c r="M112" s="28" t="s">
        <v>22</v>
      </c>
      <c r="N112" s="29" t="s">
        <v>87</v>
      </c>
      <c r="O112" s="28" t="s">
        <v>33</v>
      </c>
      <c r="P112" s="28" t="s">
        <v>33</v>
      </c>
      <c r="Q112" s="30"/>
      <c r="R112" s="30"/>
      <c r="S112" s="10"/>
      <c r="AE112"/>
      <c r="AF112"/>
      <c r="AG112"/>
      <c r="AH112"/>
      <c r="AI112"/>
      <c r="AJ112"/>
      <c r="AK112"/>
      <c r="AL112"/>
      <c r="AM112"/>
    </row>
    <row r="113" spans="1:39" s="11" customFormat="1" ht="84" x14ac:dyDescent="0.3">
      <c r="A113" s="26" t="str">
        <f t="shared" si="2"/>
        <v>2025성균관대</v>
      </c>
      <c r="B113" s="26">
        <f>COUNTIFS($A$4:A113,A113)</f>
        <v>9</v>
      </c>
      <c r="C113" s="26" t="str">
        <f t="shared" si="3"/>
        <v>2025성균관대9</v>
      </c>
      <c r="D113" s="3"/>
      <c r="E113" s="26" t="s">
        <v>73</v>
      </c>
      <c r="F113" s="26" t="s">
        <v>17</v>
      </c>
      <c r="G113" s="3"/>
      <c r="H113" s="28" t="s">
        <v>79</v>
      </c>
      <c r="I113" s="28">
        <v>2025</v>
      </c>
      <c r="J113" s="28" t="s">
        <v>50</v>
      </c>
      <c r="K113" s="28" t="s">
        <v>86</v>
      </c>
      <c r="L113" s="28" t="s">
        <v>24</v>
      </c>
      <c r="M113" s="28" t="s">
        <v>22</v>
      </c>
      <c r="N113" s="29" t="s">
        <v>88</v>
      </c>
      <c r="O113" s="28" t="s">
        <v>33</v>
      </c>
      <c r="P113" s="28" t="s">
        <v>33</v>
      </c>
      <c r="Q113" s="30"/>
      <c r="R113" s="30"/>
      <c r="S113" s="10"/>
      <c r="AE113"/>
      <c r="AF113"/>
      <c r="AG113"/>
      <c r="AH113"/>
      <c r="AI113"/>
      <c r="AJ113"/>
      <c r="AK113"/>
      <c r="AL113"/>
      <c r="AM113"/>
    </row>
    <row r="114" spans="1:39" s="11" customFormat="1" ht="60" x14ac:dyDescent="0.3">
      <c r="A114" s="26" t="str">
        <f t="shared" si="2"/>
        <v>2025성균관대</v>
      </c>
      <c r="B114" s="26">
        <f>COUNTIFS($A$4:A114,A114)</f>
        <v>10</v>
      </c>
      <c r="C114" s="26" t="str">
        <f t="shared" si="3"/>
        <v>2025성균관대10</v>
      </c>
      <c r="D114" s="3"/>
      <c r="E114" s="26" t="s">
        <v>73</v>
      </c>
      <c r="F114" s="26" t="s">
        <v>17</v>
      </c>
      <c r="G114" s="3"/>
      <c r="H114" s="28" t="s">
        <v>79</v>
      </c>
      <c r="I114" s="28">
        <v>2025</v>
      </c>
      <c r="J114" s="28" t="s">
        <v>50</v>
      </c>
      <c r="K114" s="28" t="s">
        <v>86</v>
      </c>
      <c r="L114" s="28" t="s">
        <v>24</v>
      </c>
      <c r="M114" s="28" t="s">
        <v>42</v>
      </c>
      <c r="N114" s="29" t="s">
        <v>89</v>
      </c>
      <c r="O114" s="28" t="s">
        <v>33</v>
      </c>
      <c r="P114" s="28" t="s">
        <v>33</v>
      </c>
      <c r="Q114" s="30"/>
      <c r="R114" s="30"/>
      <c r="S114" s="10"/>
      <c r="AE114"/>
      <c r="AF114"/>
      <c r="AG114"/>
      <c r="AH114"/>
      <c r="AI114"/>
      <c r="AJ114"/>
      <c r="AK114"/>
      <c r="AL114"/>
      <c r="AM114"/>
    </row>
    <row r="115" spans="1:39" s="11" customFormat="1" ht="60" x14ac:dyDescent="0.3">
      <c r="A115" s="26" t="str">
        <f t="shared" si="2"/>
        <v>2026성균관대</v>
      </c>
      <c r="B115" s="26">
        <f>COUNTIFS($A$4:A115,A115)</f>
        <v>1</v>
      </c>
      <c r="C115" s="26" t="str">
        <f t="shared" si="3"/>
        <v>2026성균관대1</v>
      </c>
      <c r="D115" s="3"/>
      <c r="E115" s="26" t="s">
        <v>73</v>
      </c>
      <c r="F115" s="26" t="s">
        <v>17</v>
      </c>
      <c r="G115" s="3"/>
      <c r="H115" s="28" t="s">
        <v>79</v>
      </c>
      <c r="I115" s="28">
        <v>2026</v>
      </c>
      <c r="J115" s="28" t="s">
        <v>38</v>
      </c>
      <c r="K115" s="28" t="s">
        <v>80</v>
      </c>
      <c r="L115" s="28" t="s">
        <v>21</v>
      </c>
      <c r="M115" s="28" t="s">
        <v>22</v>
      </c>
      <c r="N115" s="29" t="s">
        <v>81</v>
      </c>
      <c r="O115" s="28" t="s">
        <v>33</v>
      </c>
      <c r="P115" s="28" t="s">
        <v>33</v>
      </c>
      <c r="Q115" s="30"/>
      <c r="R115" s="30"/>
      <c r="S115" s="10"/>
      <c r="AE115"/>
      <c r="AF115"/>
      <c r="AG115"/>
      <c r="AH115"/>
      <c r="AI115"/>
      <c r="AJ115"/>
      <c r="AK115"/>
      <c r="AL115"/>
      <c r="AM115"/>
    </row>
    <row r="116" spans="1:39" s="11" customFormat="1" ht="30" customHeight="1" x14ac:dyDescent="0.3">
      <c r="A116" s="26" t="str">
        <f t="shared" si="2"/>
        <v>2026성균관대</v>
      </c>
      <c r="B116" s="26">
        <f>COUNTIFS($A$4:A116,A116)</f>
        <v>2</v>
      </c>
      <c r="C116" s="26" t="str">
        <f t="shared" si="3"/>
        <v>2026성균관대2</v>
      </c>
      <c r="D116" s="3"/>
      <c r="E116" s="26" t="s">
        <v>73</v>
      </c>
      <c r="F116" s="26" t="s">
        <v>17</v>
      </c>
      <c r="G116" s="3"/>
      <c r="H116" s="28" t="s">
        <v>79</v>
      </c>
      <c r="I116" s="28">
        <v>2026</v>
      </c>
      <c r="J116" s="28" t="s">
        <v>38</v>
      </c>
      <c r="K116" s="28" t="s">
        <v>80</v>
      </c>
      <c r="L116" s="28" t="s">
        <v>24</v>
      </c>
      <c r="M116" s="28" t="s">
        <v>22</v>
      </c>
      <c r="N116" s="29" t="s">
        <v>90</v>
      </c>
      <c r="O116" s="28" t="s">
        <v>33</v>
      </c>
      <c r="P116" s="28" t="s">
        <v>33</v>
      </c>
      <c r="Q116" s="32"/>
      <c r="R116" s="30"/>
      <c r="S116" s="10"/>
      <c r="AE116"/>
      <c r="AF116"/>
      <c r="AG116"/>
      <c r="AH116"/>
      <c r="AI116"/>
      <c r="AJ116"/>
      <c r="AK116"/>
      <c r="AL116"/>
      <c r="AM116"/>
    </row>
    <row r="117" spans="1:39" s="11" customFormat="1" ht="72" x14ac:dyDescent="0.3">
      <c r="A117" s="26" t="str">
        <f t="shared" si="2"/>
        <v>2026성균관대</v>
      </c>
      <c r="B117" s="26">
        <f>COUNTIFS($A$4:A117,A117)</f>
        <v>3</v>
      </c>
      <c r="C117" s="26" t="str">
        <f t="shared" si="3"/>
        <v>2026성균관대3</v>
      </c>
      <c r="D117" s="3"/>
      <c r="E117" s="26" t="s">
        <v>73</v>
      </c>
      <c r="F117" s="26" t="s">
        <v>17</v>
      </c>
      <c r="G117" s="3"/>
      <c r="H117" s="28" t="s">
        <v>79</v>
      </c>
      <c r="I117" s="28">
        <v>2026</v>
      </c>
      <c r="J117" s="28" t="s">
        <v>38</v>
      </c>
      <c r="K117" s="28" t="s">
        <v>80</v>
      </c>
      <c r="L117" s="28" t="s">
        <v>24</v>
      </c>
      <c r="M117" s="28" t="s">
        <v>22</v>
      </c>
      <c r="N117" s="29" t="s">
        <v>91</v>
      </c>
      <c r="O117" s="28" t="s">
        <v>33</v>
      </c>
      <c r="P117" s="28" t="s">
        <v>33</v>
      </c>
      <c r="Q117" s="32"/>
      <c r="R117" s="30"/>
      <c r="S117" s="10"/>
      <c r="AE117"/>
      <c r="AF117"/>
      <c r="AG117"/>
      <c r="AH117"/>
      <c r="AI117"/>
      <c r="AJ117"/>
      <c r="AK117"/>
      <c r="AL117"/>
      <c r="AM117"/>
    </row>
    <row r="118" spans="1:39" s="11" customFormat="1" ht="30" customHeight="1" x14ac:dyDescent="0.3">
      <c r="A118" s="26" t="str">
        <f t="shared" si="2"/>
        <v>2026성균관대</v>
      </c>
      <c r="B118" s="26">
        <f>COUNTIFS($A$4:A118,A118)</f>
        <v>4</v>
      </c>
      <c r="C118" s="26" t="str">
        <f t="shared" si="3"/>
        <v>2026성균관대4</v>
      </c>
      <c r="D118" s="3"/>
      <c r="E118" s="26" t="s">
        <v>73</v>
      </c>
      <c r="F118" s="26" t="s">
        <v>17</v>
      </c>
      <c r="G118" s="3"/>
      <c r="H118" s="28" t="s">
        <v>79</v>
      </c>
      <c r="I118" s="28">
        <v>2026</v>
      </c>
      <c r="J118" s="28" t="s">
        <v>19</v>
      </c>
      <c r="K118" s="28" t="s">
        <v>83</v>
      </c>
      <c r="L118" s="28" t="s">
        <v>21</v>
      </c>
      <c r="M118" s="28" t="s">
        <v>22</v>
      </c>
      <c r="N118" s="29" t="s">
        <v>33</v>
      </c>
      <c r="O118" s="28" t="s">
        <v>33</v>
      </c>
      <c r="P118" s="28" t="s">
        <v>33</v>
      </c>
      <c r="Q118" s="32"/>
      <c r="R118" s="30"/>
      <c r="S118" s="10"/>
      <c r="AE118"/>
      <c r="AF118"/>
      <c r="AG118"/>
      <c r="AH118"/>
      <c r="AI118"/>
      <c r="AJ118"/>
      <c r="AK118"/>
      <c r="AL118"/>
      <c r="AM118"/>
    </row>
    <row r="119" spans="1:39" s="11" customFormat="1" ht="30" customHeight="1" x14ac:dyDescent="0.3">
      <c r="A119" s="26" t="str">
        <f t="shared" si="2"/>
        <v>2026성균관대</v>
      </c>
      <c r="B119" s="26">
        <f>COUNTIFS($A$4:A119,A119)</f>
        <v>5</v>
      </c>
      <c r="C119" s="26" t="str">
        <f t="shared" si="3"/>
        <v>2026성균관대5</v>
      </c>
      <c r="D119" s="3"/>
      <c r="E119" s="26" t="s">
        <v>73</v>
      </c>
      <c r="F119" s="26" t="s">
        <v>17</v>
      </c>
      <c r="G119" s="3"/>
      <c r="H119" s="28" t="s">
        <v>79</v>
      </c>
      <c r="I119" s="28">
        <v>2026</v>
      </c>
      <c r="J119" s="28" t="s">
        <v>19</v>
      </c>
      <c r="K119" s="28" t="s">
        <v>83</v>
      </c>
      <c r="L119" s="28" t="s">
        <v>24</v>
      </c>
      <c r="M119" s="28" t="s">
        <v>22</v>
      </c>
      <c r="N119" s="29" t="s">
        <v>33</v>
      </c>
      <c r="O119" s="28" t="s">
        <v>33</v>
      </c>
      <c r="P119" s="28" t="s">
        <v>33</v>
      </c>
      <c r="Q119" s="32"/>
      <c r="R119" s="30"/>
      <c r="S119" s="10"/>
      <c r="AE119"/>
      <c r="AF119"/>
      <c r="AG119"/>
      <c r="AH119"/>
      <c r="AI119"/>
      <c r="AJ119"/>
      <c r="AK119"/>
      <c r="AL119"/>
      <c r="AM119"/>
    </row>
    <row r="120" spans="1:39" s="11" customFormat="1" ht="30" customHeight="1" x14ac:dyDescent="0.3">
      <c r="A120" s="26" t="str">
        <f t="shared" si="2"/>
        <v>2026성균관대</v>
      </c>
      <c r="B120" s="26">
        <f>COUNTIFS($A$4:A120,A120)</f>
        <v>6</v>
      </c>
      <c r="C120" s="26" t="str">
        <f t="shared" si="3"/>
        <v>2026성균관대6</v>
      </c>
      <c r="D120" s="3"/>
      <c r="E120" s="26" t="s">
        <v>73</v>
      </c>
      <c r="F120" s="26" t="s">
        <v>17</v>
      </c>
      <c r="G120" s="3"/>
      <c r="H120" s="28" t="s">
        <v>79</v>
      </c>
      <c r="I120" s="28">
        <v>2026</v>
      </c>
      <c r="J120" s="28" t="s">
        <v>19</v>
      </c>
      <c r="K120" s="28" t="s">
        <v>84</v>
      </c>
      <c r="L120" s="28" t="s">
        <v>21</v>
      </c>
      <c r="M120" s="28" t="s">
        <v>22</v>
      </c>
      <c r="N120" s="29" t="s">
        <v>33</v>
      </c>
      <c r="O120" s="28" t="s">
        <v>33</v>
      </c>
      <c r="P120" s="28" t="s">
        <v>33</v>
      </c>
      <c r="Q120" s="32"/>
      <c r="R120" s="30"/>
      <c r="S120" s="10"/>
      <c r="AE120"/>
      <c r="AF120"/>
      <c r="AG120"/>
      <c r="AH120"/>
      <c r="AI120"/>
      <c r="AJ120"/>
      <c r="AK120"/>
      <c r="AL120"/>
      <c r="AM120"/>
    </row>
    <row r="121" spans="1:39" s="11" customFormat="1" ht="30" customHeight="1" x14ac:dyDescent="0.3">
      <c r="A121" s="26" t="str">
        <f t="shared" si="2"/>
        <v>2026성균관대</v>
      </c>
      <c r="B121" s="26">
        <f>COUNTIFS($A$4:A121,A121)</f>
        <v>7</v>
      </c>
      <c r="C121" s="26" t="str">
        <f t="shared" si="3"/>
        <v>2026성균관대7</v>
      </c>
      <c r="D121" s="3"/>
      <c r="E121" s="26" t="s">
        <v>73</v>
      </c>
      <c r="F121" s="26" t="s">
        <v>17</v>
      </c>
      <c r="G121" s="3"/>
      <c r="H121" s="28" t="s">
        <v>79</v>
      </c>
      <c r="I121" s="28">
        <v>2026</v>
      </c>
      <c r="J121" s="28" t="s">
        <v>19</v>
      </c>
      <c r="K121" s="28" t="s">
        <v>84</v>
      </c>
      <c r="L121" s="28" t="s">
        <v>24</v>
      </c>
      <c r="M121" s="28" t="s">
        <v>22</v>
      </c>
      <c r="N121" s="29" t="s">
        <v>33</v>
      </c>
      <c r="O121" s="28" t="s">
        <v>33</v>
      </c>
      <c r="P121" s="28" t="s">
        <v>33</v>
      </c>
      <c r="Q121" s="32"/>
      <c r="R121" s="30"/>
      <c r="S121" s="10"/>
      <c r="AE121"/>
      <c r="AF121"/>
      <c r="AG121"/>
      <c r="AH121"/>
      <c r="AI121"/>
      <c r="AJ121"/>
      <c r="AK121"/>
      <c r="AL121"/>
      <c r="AM121"/>
    </row>
    <row r="122" spans="1:39" s="11" customFormat="1" ht="30" customHeight="1" x14ac:dyDescent="0.3">
      <c r="A122" s="26" t="str">
        <f t="shared" si="2"/>
        <v>2026성균관대</v>
      </c>
      <c r="B122" s="26">
        <f>COUNTIFS($A$4:A122,A122)</f>
        <v>8</v>
      </c>
      <c r="C122" s="26" t="str">
        <f t="shared" si="3"/>
        <v>2026성균관대8</v>
      </c>
      <c r="D122" s="3"/>
      <c r="E122" s="26" t="s">
        <v>73</v>
      </c>
      <c r="F122" s="26" t="s">
        <v>17</v>
      </c>
      <c r="G122" s="3"/>
      <c r="H122" s="28" t="s">
        <v>79</v>
      </c>
      <c r="I122" s="28">
        <v>2026</v>
      </c>
      <c r="J122" s="28" t="s">
        <v>19</v>
      </c>
      <c r="K122" s="28" t="s">
        <v>92</v>
      </c>
      <c r="L122" s="28" t="s">
        <v>21</v>
      </c>
      <c r="M122" s="28" t="s">
        <v>22</v>
      </c>
      <c r="N122" s="29" t="s">
        <v>33</v>
      </c>
      <c r="O122" s="28" t="s">
        <v>33</v>
      </c>
      <c r="P122" s="28" t="s">
        <v>33</v>
      </c>
      <c r="Q122" s="32"/>
      <c r="R122" s="30"/>
      <c r="S122" s="10"/>
      <c r="AE122"/>
      <c r="AF122"/>
      <c r="AG122"/>
      <c r="AH122"/>
      <c r="AI122"/>
      <c r="AJ122"/>
      <c r="AK122"/>
      <c r="AL122"/>
      <c r="AM122"/>
    </row>
    <row r="123" spans="1:39" s="11" customFormat="1" ht="30" customHeight="1" x14ac:dyDescent="0.3">
      <c r="A123" s="26" t="str">
        <f t="shared" si="2"/>
        <v>2026성균관대</v>
      </c>
      <c r="B123" s="26">
        <f>COUNTIFS($A$4:A123,A123)</f>
        <v>9</v>
      </c>
      <c r="C123" s="26" t="str">
        <f t="shared" si="3"/>
        <v>2026성균관대9</v>
      </c>
      <c r="D123" s="3"/>
      <c r="E123" s="26" t="s">
        <v>73</v>
      </c>
      <c r="F123" s="26" t="s">
        <v>17</v>
      </c>
      <c r="G123" s="3"/>
      <c r="H123" s="28" t="s">
        <v>79</v>
      </c>
      <c r="I123" s="28">
        <v>2026</v>
      </c>
      <c r="J123" s="28" t="s">
        <v>19</v>
      </c>
      <c r="K123" s="28" t="s">
        <v>92</v>
      </c>
      <c r="L123" s="28" t="s">
        <v>24</v>
      </c>
      <c r="M123" s="28" t="s">
        <v>22</v>
      </c>
      <c r="N123" s="29" t="s">
        <v>33</v>
      </c>
      <c r="O123" s="28" t="s">
        <v>33</v>
      </c>
      <c r="P123" s="28" t="s">
        <v>33</v>
      </c>
      <c r="Q123" s="32"/>
      <c r="R123" s="30"/>
      <c r="S123" s="10"/>
      <c r="AE123"/>
      <c r="AF123"/>
      <c r="AG123"/>
      <c r="AH123"/>
      <c r="AI123"/>
      <c r="AJ123"/>
      <c r="AK123"/>
      <c r="AL123"/>
      <c r="AM123"/>
    </row>
    <row r="124" spans="1:39" s="11" customFormat="1" ht="30" customHeight="1" x14ac:dyDescent="0.3">
      <c r="A124" s="26" t="str">
        <f t="shared" si="2"/>
        <v>2026성균관대</v>
      </c>
      <c r="B124" s="26">
        <f>COUNTIFS($A$4:A124,A124)</f>
        <v>10</v>
      </c>
      <c r="C124" s="26" t="str">
        <f t="shared" si="3"/>
        <v>2026성균관대10</v>
      </c>
      <c r="D124" s="3"/>
      <c r="E124" s="26" t="s">
        <v>73</v>
      </c>
      <c r="F124" s="26" t="s">
        <v>17</v>
      </c>
      <c r="G124" s="3"/>
      <c r="H124" s="28" t="s">
        <v>79</v>
      </c>
      <c r="I124" s="28">
        <v>2026</v>
      </c>
      <c r="J124" s="28" t="s">
        <v>19</v>
      </c>
      <c r="K124" s="28" t="s">
        <v>85</v>
      </c>
      <c r="L124" s="28" t="s">
        <v>24</v>
      </c>
      <c r="M124" s="28" t="s">
        <v>22</v>
      </c>
      <c r="N124" s="29" t="s">
        <v>33</v>
      </c>
      <c r="O124" s="28" t="s">
        <v>33</v>
      </c>
      <c r="P124" s="28" t="s">
        <v>33</v>
      </c>
      <c r="Q124" s="32"/>
      <c r="R124" s="30"/>
      <c r="S124" s="10"/>
      <c r="AE124"/>
      <c r="AF124"/>
      <c r="AG124"/>
      <c r="AH124"/>
      <c r="AI124"/>
      <c r="AJ124"/>
      <c r="AK124"/>
      <c r="AL124"/>
      <c r="AM124"/>
    </row>
    <row r="125" spans="1:39" s="11" customFormat="1" ht="72" x14ac:dyDescent="0.3">
      <c r="A125" s="26" t="str">
        <f t="shared" si="2"/>
        <v>2026성균관대</v>
      </c>
      <c r="B125" s="26">
        <f>COUNTIFS($A$4:A125,A125)</f>
        <v>11</v>
      </c>
      <c r="C125" s="26" t="str">
        <f t="shared" si="3"/>
        <v>2026성균관대11</v>
      </c>
      <c r="D125" s="3"/>
      <c r="E125" s="26" t="s">
        <v>73</v>
      </c>
      <c r="F125" s="26" t="s">
        <v>17</v>
      </c>
      <c r="G125" s="3"/>
      <c r="H125" s="28" t="s">
        <v>79</v>
      </c>
      <c r="I125" s="28">
        <v>2026</v>
      </c>
      <c r="J125" s="28" t="s">
        <v>50</v>
      </c>
      <c r="K125" s="28" t="s">
        <v>93</v>
      </c>
      <c r="L125" s="28" t="s">
        <v>94</v>
      </c>
      <c r="M125" s="28" t="s">
        <v>22</v>
      </c>
      <c r="N125" s="29" t="s">
        <v>87</v>
      </c>
      <c r="O125" s="28" t="s">
        <v>33</v>
      </c>
      <c r="P125" s="28" t="s">
        <v>33</v>
      </c>
      <c r="Q125" s="32"/>
      <c r="R125" s="30"/>
      <c r="S125" s="10"/>
      <c r="AE125"/>
      <c r="AF125"/>
      <c r="AG125"/>
      <c r="AH125"/>
      <c r="AI125"/>
      <c r="AJ125"/>
      <c r="AK125"/>
      <c r="AL125"/>
      <c r="AM125"/>
    </row>
    <row r="126" spans="1:39" s="11" customFormat="1" ht="60" x14ac:dyDescent="0.3">
      <c r="A126" s="26" t="str">
        <f t="shared" si="2"/>
        <v>2026성균관대</v>
      </c>
      <c r="B126" s="26">
        <f>COUNTIFS($A$4:A126,A126)</f>
        <v>12</v>
      </c>
      <c r="C126" s="26" t="str">
        <f t="shared" si="3"/>
        <v>2026성균관대12</v>
      </c>
      <c r="D126" s="3"/>
      <c r="E126" s="26" t="s">
        <v>73</v>
      </c>
      <c r="F126" s="26" t="s">
        <v>17</v>
      </c>
      <c r="G126" s="3"/>
      <c r="H126" s="28" t="s">
        <v>79</v>
      </c>
      <c r="I126" s="28">
        <v>2026</v>
      </c>
      <c r="J126" s="28" t="s">
        <v>50</v>
      </c>
      <c r="K126" s="28" t="s">
        <v>93</v>
      </c>
      <c r="L126" s="28" t="s">
        <v>95</v>
      </c>
      <c r="M126" s="28" t="s">
        <v>22</v>
      </c>
      <c r="N126" s="29" t="s">
        <v>96</v>
      </c>
      <c r="O126" s="28" t="s">
        <v>33</v>
      </c>
      <c r="P126" s="28" t="s">
        <v>33</v>
      </c>
      <c r="Q126" s="32"/>
      <c r="R126" s="30"/>
      <c r="S126" s="10"/>
      <c r="AE126"/>
      <c r="AF126"/>
      <c r="AG126"/>
      <c r="AH126"/>
      <c r="AI126"/>
      <c r="AJ126"/>
      <c r="AK126"/>
      <c r="AL126"/>
      <c r="AM126"/>
    </row>
    <row r="127" spans="1:39" s="11" customFormat="1" ht="72" x14ac:dyDescent="0.3">
      <c r="A127" s="26" t="str">
        <f t="shared" si="2"/>
        <v>2026성균관대</v>
      </c>
      <c r="B127" s="26">
        <f>COUNTIFS($A$4:A127,A127)</f>
        <v>13</v>
      </c>
      <c r="C127" s="26" t="str">
        <f t="shared" si="3"/>
        <v>2026성균관대13</v>
      </c>
      <c r="D127" s="3"/>
      <c r="E127" s="26" t="s">
        <v>73</v>
      </c>
      <c r="F127" s="26" t="s">
        <v>17</v>
      </c>
      <c r="G127" s="3"/>
      <c r="H127" s="28" t="s">
        <v>79</v>
      </c>
      <c r="I127" s="28">
        <v>2026</v>
      </c>
      <c r="J127" s="28" t="s">
        <v>50</v>
      </c>
      <c r="K127" s="28" t="s">
        <v>97</v>
      </c>
      <c r="L127" s="28" t="s">
        <v>94</v>
      </c>
      <c r="M127" s="28" t="s">
        <v>22</v>
      </c>
      <c r="N127" s="29" t="s">
        <v>87</v>
      </c>
      <c r="O127" s="28" t="s">
        <v>33</v>
      </c>
      <c r="P127" s="28" t="s">
        <v>33</v>
      </c>
      <c r="Q127" s="32"/>
      <c r="R127" s="30"/>
      <c r="S127" s="10"/>
      <c r="AE127"/>
      <c r="AF127"/>
      <c r="AG127"/>
      <c r="AH127"/>
      <c r="AI127"/>
      <c r="AJ127"/>
      <c r="AK127"/>
      <c r="AL127"/>
      <c r="AM127"/>
    </row>
    <row r="128" spans="1:39" s="11" customFormat="1" ht="84" x14ac:dyDescent="0.3">
      <c r="A128" s="26" t="str">
        <f t="shared" si="2"/>
        <v>2026성균관대</v>
      </c>
      <c r="B128" s="26">
        <f>COUNTIFS($A$4:A128,A128)</f>
        <v>14</v>
      </c>
      <c r="C128" s="26" t="str">
        <f t="shared" si="3"/>
        <v>2026성균관대14</v>
      </c>
      <c r="D128" s="3"/>
      <c r="E128" s="26" t="s">
        <v>73</v>
      </c>
      <c r="F128" s="26" t="s">
        <v>17</v>
      </c>
      <c r="G128" s="3"/>
      <c r="H128" s="28" t="s">
        <v>79</v>
      </c>
      <c r="I128" s="28">
        <v>2026</v>
      </c>
      <c r="J128" s="28" t="s">
        <v>50</v>
      </c>
      <c r="K128" s="28" t="s">
        <v>97</v>
      </c>
      <c r="L128" s="28" t="s">
        <v>95</v>
      </c>
      <c r="M128" s="28" t="s">
        <v>22</v>
      </c>
      <c r="N128" s="29" t="s">
        <v>98</v>
      </c>
      <c r="O128" s="28" t="s">
        <v>33</v>
      </c>
      <c r="P128" s="28" t="s">
        <v>33</v>
      </c>
      <c r="Q128" s="32"/>
      <c r="R128" s="30"/>
      <c r="S128" s="10"/>
      <c r="AE128"/>
      <c r="AF128"/>
      <c r="AG128"/>
      <c r="AH128"/>
      <c r="AI128"/>
      <c r="AJ128"/>
      <c r="AK128"/>
      <c r="AL128"/>
      <c r="AM128"/>
    </row>
    <row r="129" spans="1:39" s="11" customFormat="1" ht="60" x14ac:dyDescent="0.3">
      <c r="A129" s="26" t="str">
        <f t="shared" si="2"/>
        <v>2026성균관대</v>
      </c>
      <c r="B129" s="26">
        <f>COUNTIFS($A$4:A129,A129)</f>
        <v>15</v>
      </c>
      <c r="C129" s="26" t="str">
        <f t="shared" si="3"/>
        <v>2026성균관대15</v>
      </c>
      <c r="D129" s="3"/>
      <c r="E129" s="26" t="s">
        <v>73</v>
      </c>
      <c r="F129" s="26" t="s">
        <v>17</v>
      </c>
      <c r="G129" s="3"/>
      <c r="H129" s="28" t="s">
        <v>79</v>
      </c>
      <c r="I129" s="28">
        <v>2026</v>
      </c>
      <c r="J129" s="28" t="s">
        <v>50</v>
      </c>
      <c r="K129" s="28" t="s">
        <v>97</v>
      </c>
      <c r="L129" s="28" t="s">
        <v>95</v>
      </c>
      <c r="M129" s="28" t="s">
        <v>42</v>
      </c>
      <c r="N129" s="29" t="s">
        <v>89</v>
      </c>
      <c r="O129" s="28" t="s">
        <v>33</v>
      </c>
      <c r="P129" s="28" t="s">
        <v>33</v>
      </c>
      <c r="Q129" s="32"/>
      <c r="R129" s="30"/>
      <c r="S129" s="10"/>
      <c r="AE129"/>
      <c r="AF129"/>
      <c r="AG129"/>
      <c r="AH129"/>
      <c r="AI129"/>
      <c r="AJ129"/>
      <c r="AK129"/>
      <c r="AL129"/>
      <c r="AM129"/>
    </row>
    <row r="130" spans="1:39" s="11" customFormat="1" ht="60" x14ac:dyDescent="0.3">
      <c r="A130" s="26" t="str">
        <f t="shared" si="2"/>
        <v>2027성균관대</v>
      </c>
      <c r="B130" s="26">
        <f>COUNTIFS($A$4:A130,A130)</f>
        <v>1</v>
      </c>
      <c r="C130" s="26" t="str">
        <f t="shared" si="3"/>
        <v>2027성균관대1</v>
      </c>
      <c r="D130" s="3"/>
      <c r="E130" s="26" t="s">
        <v>73</v>
      </c>
      <c r="F130" s="26" t="s">
        <v>17</v>
      </c>
      <c r="G130" s="3"/>
      <c r="H130" s="28" t="s">
        <v>79</v>
      </c>
      <c r="I130" s="28">
        <v>2027</v>
      </c>
      <c r="J130" s="28" t="s">
        <v>38</v>
      </c>
      <c r="K130" s="28" t="s">
        <v>99</v>
      </c>
      <c r="L130" s="28" t="s">
        <v>21</v>
      </c>
      <c r="M130" s="28" t="s">
        <v>22</v>
      </c>
      <c r="N130" s="29" t="s">
        <v>81</v>
      </c>
      <c r="O130" s="28" t="s">
        <v>33</v>
      </c>
      <c r="P130" s="28" t="s">
        <v>33</v>
      </c>
      <c r="Q130" s="32"/>
      <c r="R130" s="30"/>
      <c r="S130" s="10"/>
      <c r="AE130"/>
      <c r="AF130"/>
      <c r="AG130"/>
      <c r="AH130"/>
      <c r="AI130"/>
      <c r="AJ130"/>
      <c r="AK130"/>
      <c r="AL130"/>
      <c r="AM130"/>
    </row>
    <row r="131" spans="1:39" s="11" customFormat="1" ht="30" customHeight="1" x14ac:dyDescent="0.3">
      <c r="A131" s="26" t="str">
        <f t="shared" si="2"/>
        <v>2027성균관대</v>
      </c>
      <c r="B131" s="26">
        <f>COUNTIFS($A$4:A131,A131)</f>
        <v>2</v>
      </c>
      <c r="C131" s="26" t="str">
        <f t="shared" si="3"/>
        <v>2027성균관대2</v>
      </c>
      <c r="D131" s="3"/>
      <c r="E131" s="26" t="s">
        <v>73</v>
      </c>
      <c r="F131" s="26" t="s">
        <v>17</v>
      </c>
      <c r="G131" s="3"/>
      <c r="H131" s="28" t="s">
        <v>79</v>
      </c>
      <c r="I131" s="28">
        <v>2027</v>
      </c>
      <c r="J131" s="28" t="s">
        <v>38</v>
      </c>
      <c r="K131" s="28" t="s">
        <v>99</v>
      </c>
      <c r="L131" s="28" t="s">
        <v>24</v>
      </c>
      <c r="M131" s="28" t="s">
        <v>22</v>
      </c>
      <c r="N131" s="29" t="s">
        <v>100</v>
      </c>
      <c r="O131" s="28" t="s">
        <v>33</v>
      </c>
      <c r="P131" s="28" t="s">
        <v>33</v>
      </c>
      <c r="Q131" s="32"/>
      <c r="R131" s="30"/>
      <c r="S131" s="10"/>
      <c r="AE131"/>
      <c r="AF131"/>
      <c r="AG131"/>
      <c r="AH131"/>
      <c r="AI131"/>
      <c r="AJ131"/>
      <c r="AK131"/>
      <c r="AL131"/>
      <c r="AM131"/>
    </row>
    <row r="132" spans="1:39" s="11" customFormat="1" ht="84" x14ac:dyDescent="0.3">
      <c r="A132" s="26" t="str">
        <f t="shared" ref="A132:A195" si="4">I132&amp;H132</f>
        <v>2027성균관대</v>
      </c>
      <c r="B132" s="26">
        <f>COUNTIFS($A$4:A132,A132)</f>
        <v>3</v>
      </c>
      <c r="C132" s="26" t="str">
        <f t="shared" ref="C132:C195" si="5">A132&amp;B132</f>
        <v>2027성균관대3</v>
      </c>
      <c r="D132" s="3"/>
      <c r="E132" s="26" t="s">
        <v>73</v>
      </c>
      <c r="F132" s="26" t="s">
        <v>17</v>
      </c>
      <c r="G132" s="3"/>
      <c r="H132" s="28" t="s">
        <v>79</v>
      </c>
      <c r="I132" s="28">
        <v>2027</v>
      </c>
      <c r="J132" s="28" t="s">
        <v>38</v>
      </c>
      <c r="K132" s="28" t="s">
        <v>99</v>
      </c>
      <c r="L132" s="28" t="s">
        <v>24</v>
      </c>
      <c r="M132" s="28" t="s">
        <v>22</v>
      </c>
      <c r="N132" s="29" t="s">
        <v>101</v>
      </c>
      <c r="O132" s="28" t="s">
        <v>33</v>
      </c>
      <c r="P132" s="28" t="s">
        <v>33</v>
      </c>
      <c r="Q132" s="32"/>
      <c r="R132" s="30"/>
      <c r="S132" s="10"/>
      <c r="AE132"/>
      <c r="AF132"/>
      <c r="AG132"/>
      <c r="AH132"/>
      <c r="AI132"/>
      <c r="AJ132"/>
      <c r="AK132"/>
      <c r="AL132"/>
      <c r="AM132"/>
    </row>
    <row r="133" spans="1:39" s="11" customFormat="1" ht="30" customHeight="1" x14ac:dyDescent="0.3">
      <c r="A133" s="26" t="str">
        <f t="shared" si="4"/>
        <v>2027성균관대</v>
      </c>
      <c r="B133" s="26">
        <f>COUNTIFS($A$4:A133,A133)</f>
        <v>4</v>
      </c>
      <c r="C133" s="26" t="str">
        <f t="shared" si="5"/>
        <v>2027성균관대4</v>
      </c>
      <c r="D133" s="3"/>
      <c r="E133" s="26" t="s">
        <v>73</v>
      </c>
      <c r="F133" s="26" t="s">
        <v>17</v>
      </c>
      <c r="G133" s="3"/>
      <c r="H133" s="28" t="s">
        <v>79</v>
      </c>
      <c r="I133" s="28">
        <v>2027</v>
      </c>
      <c r="J133" s="28" t="s">
        <v>38</v>
      </c>
      <c r="K133" s="28" t="s">
        <v>99</v>
      </c>
      <c r="L133" s="28" t="s">
        <v>24</v>
      </c>
      <c r="M133" s="28" t="s">
        <v>42</v>
      </c>
      <c r="N133" s="29" t="s">
        <v>102</v>
      </c>
      <c r="O133" s="28" t="s">
        <v>22</v>
      </c>
      <c r="P133" s="28" t="s">
        <v>22</v>
      </c>
      <c r="Q133" s="32"/>
      <c r="R133" s="30"/>
      <c r="S133" s="10"/>
      <c r="AE133"/>
      <c r="AF133"/>
      <c r="AG133"/>
      <c r="AH133"/>
      <c r="AI133"/>
      <c r="AJ133"/>
      <c r="AK133"/>
      <c r="AL133"/>
      <c r="AM133"/>
    </row>
    <row r="134" spans="1:39" s="11" customFormat="1" ht="30" customHeight="1" x14ac:dyDescent="0.3">
      <c r="A134" s="26" t="str">
        <f t="shared" si="4"/>
        <v>2027성균관대</v>
      </c>
      <c r="B134" s="26">
        <f>COUNTIFS($A$4:A134,A134)</f>
        <v>5</v>
      </c>
      <c r="C134" s="26" t="str">
        <f t="shared" si="5"/>
        <v>2027성균관대5</v>
      </c>
      <c r="D134" s="3"/>
      <c r="E134" s="26" t="s">
        <v>73</v>
      </c>
      <c r="F134" s="26" t="s">
        <v>17</v>
      </c>
      <c r="G134" s="3"/>
      <c r="H134" s="28" t="s">
        <v>79</v>
      </c>
      <c r="I134" s="28">
        <v>2027</v>
      </c>
      <c r="J134" s="28" t="s">
        <v>19</v>
      </c>
      <c r="K134" s="28" t="s">
        <v>103</v>
      </c>
      <c r="L134" s="28" t="s">
        <v>21</v>
      </c>
      <c r="M134" s="28" t="s">
        <v>22</v>
      </c>
      <c r="N134" s="29" t="s">
        <v>104</v>
      </c>
      <c r="O134" s="28" t="s">
        <v>33</v>
      </c>
      <c r="P134" s="28" t="s">
        <v>33</v>
      </c>
      <c r="Q134" s="32" t="s">
        <v>105</v>
      </c>
      <c r="R134" s="30"/>
      <c r="S134" s="10"/>
      <c r="AE134"/>
      <c r="AF134"/>
      <c r="AG134"/>
      <c r="AH134"/>
      <c r="AI134"/>
      <c r="AJ134"/>
      <c r="AK134"/>
      <c r="AL134"/>
      <c r="AM134"/>
    </row>
    <row r="135" spans="1:39" s="11" customFormat="1" ht="30" customHeight="1" x14ac:dyDescent="0.3">
      <c r="A135" s="26" t="str">
        <f t="shared" si="4"/>
        <v>2027성균관대</v>
      </c>
      <c r="B135" s="26">
        <f>COUNTIFS($A$4:A135,A135)</f>
        <v>6</v>
      </c>
      <c r="C135" s="26" t="str">
        <f t="shared" si="5"/>
        <v>2027성균관대6</v>
      </c>
      <c r="D135" s="3"/>
      <c r="E135" s="26" t="s">
        <v>73</v>
      </c>
      <c r="F135" s="26" t="s">
        <v>17</v>
      </c>
      <c r="G135" s="3"/>
      <c r="H135" s="33" t="s">
        <v>79</v>
      </c>
      <c r="I135" s="33">
        <v>2027</v>
      </c>
      <c r="J135" s="33" t="s">
        <v>19</v>
      </c>
      <c r="K135" s="33" t="s">
        <v>103</v>
      </c>
      <c r="L135" s="33" t="s">
        <v>24</v>
      </c>
      <c r="M135" s="33" t="s">
        <v>22</v>
      </c>
      <c r="N135" s="29" t="s">
        <v>104</v>
      </c>
      <c r="O135" s="33" t="s">
        <v>33</v>
      </c>
      <c r="P135" s="33" t="s">
        <v>33</v>
      </c>
      <c r="Q135" s="32" t="s">
        <v>105</v>
      </c>
      <c r="R135" s="36"/>
      <c r="S135" s="10"/>
      <c r="AE135"/>
      <c r="AF135"/>
      <c r="AG135"/>
      <c r="AH135"/>
      <c r="AI135"/>
      <c r="AJ135"/>
      <c r="AK135"/>
      <c r="AL135"/>
      <c r="AM135"/>
    </row>
    <row r="136" spans="1:39" s="11" customFormat="1" ht="30" customHeight="1" x14ac:dyDescent="0.3">
      <c r="A136" s="26" t="str">
        <f t="shared" si="4"/>
        <v>2027성균관대</v>
      </c>
      <c r="B136" s="26">
        <f>COUNTIFS($A$4:A136,A136)</f>
        <v>7</v>
      </c>
      <c r="C136" s="26" t="str">
        <f t="shared" si="5"/>
        <v>2027성균관대7</v>
      </c>
      <c r="D136" s="3"/>
      <c r="E136" s="26" t="s">
        <v>73</v>
      </c>
      <c r="F136" s="26" t="s">
        <v>17</v>
      </c>
      <c r="G136" s="3"/>
      <c r="H136" s="28" t="s">
        <v>79</v>
      </c>
      <c r="I136" s="28">
        <v>2027</v>
      </c>
      <c r="J136" s="28" t="s">
        <v>19</v>
      </c>
      <c r="K136" s="28" t="s">
        <v>106</v>
      </c>
      <c r="L136" s="28" t="s">
        <v>21</v>
      </c>
      <c r="M136" s="28" t="s">
        <v>22</v>
      </c>
      <c r="N136" s="29" t="s">
        <v>33</v>
      </c>
      <c r="O136" s="28" t="s">
        <v>33</v>
      </c>
      <c r="P136" s="28" t="s">
        <v>33</v>
      </c>
      <c r="Q136" s="32"/>
      <c r="R136" s="30"/>
      <c r="S136" s="10"/>
      <c r="AE136"/>
      <c r="AF136"/>
      <c r="AG136"/>
      <c r="AH136"/>
      <c r="AI136"/>
      <c r="AJ136"/>
      <c r="AK136"/>
      <c r="AL136"/>
      <c r="AM136"/>
    </row>
    <row r="137" spans="1:39" ht="30" customHeight="1" x14ac:dyDescent="0.3">
      <c r="A137" s="26" t="str">
        <f t="shared" si="4"/>
        <v>2027성균관대</v>
      </c>
      <c r="B137" s="26">
        <f>COUNTIFS($A$4:A137,A137)</f>
        <v>8</v>
      </c>
      <c r="C137" s="26" t="str">
        <f t="shared" si="5"/>
        <v>2027성균관대8</v>
      </c>
      <c r="E137" s="26" t="s">
        <v>73</v>
      </c>
      <c r="F137" s="26" t="s">
        <v>17</v>
      </c>
      <c r="H137" s="20" t="s">
        <v>79</v>
      </c>
      <c r="I137" s="20">
        <v>2027</v>
      </c>
      <c r="J137" s="20" t="s">
        <v>19</v>
      </c>
      <c r="K137" s="20" t="s">
        <v>106</v>
      </c>
      <c r="L137" s="21" t="s">
        <v>24</v>
      </c>
      <c r="M137" s="21" t="s">
        <v>22</v>
      </c>
      <c r="N137" s="22" t="s">
        <v>33</v>
      </c>
      <c r="O137" s="23" t="s">
        <v>33</v>
      </c>
      <c r="P137" s="23" t="s">
        <v>33</v>
      </c>
      <c r="Q137" s="24"/>
      <c r="R137" s="25"/>
    </row>
    <row r="138" spans="1:39" ht="30" customHeight="1" x14ac:dyDescent="0.3">
      <c r="A138" s="26" t="str">
        <f t="shared" si="4"/>
        <v>2027성균관대</v>
      </c>
      <c r="B138" s="26">
        <f>COUNTIFS($A$4:A138,A138)</f>
        <v>9</v>
      </c>
      <c r="C138" s="26" t="str">
        <f t="shared" si="5"/>
        <v>2027성균관대9</v>
      </c>
      <c r="E138" s="26" t="s">
        <v>73</v>
      </c>
      <c r="F138" s="26" t="s">
        <v>17</v>
      </c>
      <c r="H138" s="27" t="s">
        <v>79</v>
      </c>
      <c r="I138" s="27">
        <v>2027</v>
      </c>
      <c r="J138" s="27" t="s">
        <v>19</v>
      </c>
      <c r="K138" s="28" t="s">
        <v>92</v>
      </c>
      <c r="L138" s="28" t="s">
        <v>21</v>
      </c>
      <c r="M138" s="28" t="s">
        <v>22</v>
      </c>
      <c r="N138" s="29" t="s">
        <v>33</v>
      </c>
      <c r="O138" s="28" t="s">
        <v>33</v>
      </c>
      <c r="P138" s="28" t="s">
        <v>33</v>
      </c>
      <c r="Q138" s="30"/>
      <c r="R138" s="30"/>
    </row>
    <row r="139" spans="1:39" ht="30" customHeight="1" x14ac:dyDescent="0.3">
      <c r="A139" s="26" t="str">
        <f t="shared" si="4"/>
        <v>2027성균관대</v>
      </c>
      <c r="B139" s="26">
        <f>COUNTIFS($A$4:A139,A139)</f>
        <v>10</v>
      </c>
      <c r="C139" s="26" t="str">
        <f t="shared" si="5"/>
        <v>2027성균관대10</v>
      </c>
      <c r="E139" s="26" t="s">
        <v>73</v>
      </c>
      <c r="F139" s="26" t="s">
        <v>17</v>
      </c>
      <c r="H139" s="27" t="s">
        <v>79</v>
      </c>
      <c r="I139" s="27">
        <v>2027</v>
      </c>
      <c r="J139" s="27" t="s">
        <v>19</v>
      </c>
      <c r="K139" s="28" t="s">
        <v>92</v>
      </c>
      <c r="L139" s="28" t="s">
        <v>24</v>
      </c>
      <c r="M139" s="28" t="s">
        <v>22</v>
      </c>
      <c r="N139" s="29" t="s">
        <v>33</v>
      </c>
      <c r="O139" s="28" t="s">
        <v>33</v>
      </c>
      <c r="P139" s="28" t="s">
        <v>33</v>
      </c>
      <c r="Q139" s="30"/>
      <c r="R139" s="30"/>
    </row>
    <row r="140" spans="1:39" ht="30" customHeight="1" x14ac:dyDescent="0.3">
      <c r="A140" s="26" t="str">
        <f t="shared" si="4"/>
        <v>2027성균관대</v>
      </c>
      <c r="B140" s="26">
        <f>COUNTIFS($A$4:A140,A140)</f>
        <v>11</v>
      </c>
      <c r="C140" s="26" t="str">
        <f t="shared" si="5"/>
        <v>2027성균관대11</v>
      </c>
      <c r="E140" s="26" t="s">
        <v>73</v>
      </c>
      <c r="F140" s="26" t="s">
        <v>17</v>
      </c>
      <c r="H140" s="27" t="s">
        <v>79</v>
      </c>
      <c r="I140" s="27">
        <v>2027</v>
      </c>
      <c r="J140" s="27" t="s">
        <v>19</v>
      </c>
      <c r="K140" s="28" t="s">
        <v>85</v>
      </c>
      <c r="L140" s="28" t="s">
        <v>24</v>
      </c>
      <c r="M140" s="28" t="s">
        <v>22</v>
      </c>
      <c r="N140" s="29" t="s">
        <v>33</v>
      </c>
      <c r="O140" s="28" t="s">
        <v>33</v>
      </c>
      <c r="P140" s="28" t="s">
        <v>33</v>
      </c>
      <c r="Q140" s="30"/>
      <c r="R140" s="30"/>
    </row>
    <row r="141" spans="1:39" ht="84" x14ac:dyDescent="0.3">
      <c r="A141" s="26" t="str">
        <f t="shared" si="4"/>
        <v>2027성균관대</v>
      </c>
      <c r="B141" s="26">
        <f>COUNTIFS($A$4:A141,A141)</f>
        <v>12</v>
      </c>
      <c r="C141" s="26" t="str">
        <f t="shared" si="5"/>
        <v>2027성균관대12</v>
      </c>
      <c r="E141" s="26" t="s">
        <v>73</v>
      </c>
      <c r="F141" s="26" t="s">
        <v>17</v>
      </c>
      <c r="H141" s="27" t="s">
        <v>79</v>
      </c>
      <c r="I141" s="27">
        <v>2027</v>
      </c>
      <c r="J141" s="27" t="s">
        <v>50</v>
      </c>
      <c r="K141" s="28" t="s">
        <v>93</v>
      </c>
      <c r="L141" s="28" t="s">
        <v>94</v>
      </c>
      <c r="M141" s="28" t="s">
        <v>22</v>
      </c>
      <c r="N141" s="29" t="s">
        <v>107</v>
      </c>
      <c r="O141" s="28" t="s">
        <v>33</v>
      </c>
      <c r="P141" s="28" t="s">
        <v>33</v>
      </c>
      <c r="Q141" s="30" t="s">
        <v>108</v>
      </c>
      <c r="R141" s="30"/>
    </row>
    <row r="142" spans="1:39" s="11" customFormat="1" ht="84" x14ac:dyDescent="0.3">
      <c r="A142" s="26" t="str">
        <f t="shared" si="4"/>
        <v>2027성균관대</v>
      </c>
      <c r="B142" s="26">
        <f>COUNTIFS($A$4:A142,A142)</f>
        <v>13</v>
      </c>
      <c r="C142" s="26" t="str">
        <f t="shared" si="5"/>
        <v>2027성균관대13</v>
      </c>
      <c r="D142" s="3"/>
      <c r="E142" s="26" t="s">
        <v>73</v>
      </c>
      <c r="F142" s="26" t="s">
        <v>17</v>
      </c>
      <c r="G142" s="3"/>
      <c r="H142" s="27" t="s">
        <v>79</v>
      </c>
      <c r="I142" s="27">
        <v>2027</v>
      </c>
      <c r="J142" s="27" t="s">
        <v>50</v>
      </c>
      <c r="K142" s="28" t="s">
        <v>93</v>
      </c>
      <c r="L142" s="28" t="s">
        <v>95</v>
      </c>
      <c r="M142" s="28" t="s">
        <v>22</v>
      </c>
      <c r="N142" s="29" t="s">
        <v>109</v>
      </c>
      <c r="O142" s="28" t="s">
        <v>33</v>
      </c>
      <c r="P142" s="28" t="s">
        <v>33</v>
      </c>
      <c r="Q142" s="30" t="s">
        <v>108</v>
      </c>
      <c r="R142" s="30"/>
      <c r="S142" s="10"/>
      <c r="AE142"/>
      <c r="AF142"/>
      <c r="AG142"/>
      <c r="AH142"/>
      <c r="AI142"/>
      <c r="AJ142"/>
      <c r="AK142"/>
      <c r="AL142"/>
      <c r="AM142"/>
    </row>
    <row r="143" spans="1:39" s="11" customFormat="1" ht="72" x14ac:dyDescent="0.3">
      <c r="A143" s="26" t="str">
        <f t="shared" si="4"/>
        <v>2027성균관대</v>
      </c>
      <c r="B143" s="26">
        <f>COUNTIFS($A$4:A143,A143)</f>
        <v>14</v>
      </c>
      <c r="C143" s="26" t="str">
        <f t="shared" si="5"/>
        <v>2027성균관대14</v>
      </c>
      <c r="D143" s="3"/>
      <c r="E143" s="26" t="s">
        <v>73</v>
      </c>
      <c r="F143" s="26" t="s">
        <v>17</v>
      </c>
      <c r="G143" s="3"/>
      <c r="H143" s="27" t="s">
        <v>79</v>
      </c>
      <c r="I143" s="27">
        <v>2027</v>
      </c>
      <c r="J143" s="27" t="s">
        <v>50</v>
      </c>
      <c r="K143" s="28" t="s">
        <v>97</v>
      </c>
      <c r="L143" s="28" t="s">
        <v>94</v>
      </c>
      <c r="M143" s="28" t="s">
        <v>22</v>
      </c>
      <c r="N143" s="29" t="s">
        <v>110</v>
      </c>
      <c r="O143" s="28" t="s">
        <v>33</v>
      </c>
      <c r="P143" s="28" t="s">
        <v>33</v>
      </c>
      <c r="Q143" s="30" t="s">
        <v>108</v>
      </c>
      <c r="R143" s="32"/>
      <c r="S143" s="10"/>
      <c r="AE143"/>
      <c r="AF143"/>
      <c r="AG143"/>
      <c r="AH143"/>
      <c r="AI143"/>
      <c r="AJ143"/>
      <c r="AK143"/>
      <c r="AL143"/>
      <c r="AM143"/>
    </row>
    <row r="144" spans="1:39" s="11" customFormat="1" ht="84" x14ac:dyDescent="0.3">
      <c r="A144" s="26" t="str">
        <f t="shared" si="4"/>
        <v>2027성균관대</v>
      </c>
      <c r="B144" s="26">
        <f>COUNTIFS($A$4:A144,A144)</f>
        <v>15</v>
      </c>
      <c r="C144" s="26" t="str">
        <f t="shared" si="5"/>
        <v>2027성균관대15</v>
      </c>
      <c r="D144" s="3"/>
      <c r="E144" s="26" t="s">
        <v>73</v>
      </c>
      <c r="F144" s="26" t="s">
        <v>17</v>
      </c>
      <c r="G144" s="3"/>
      <c r="H144" s="27" t="s">
        <v>79</v>
      </c>
      <c r="I144" s="27">
        <v>2027</v>
      </c>
      <c r="J144" s="27" t="s">
        <v>50</v>
      </c>
      <c r="K144" s="28" t="s">
        <v>97</v>
      </c>
      <c r="L144" s="28" t="s">
        <v>95</v>
      </c>
      <c r="M144" s="28" t="s">
        <v>22</v>
      </c>
      <c r="N144" s="29" t="s">
        <v>111</v>
      </c>
      <c r="O144" s="28" t="s">
        <v>33</v>
      </c>
      <c r="P144" s="28" t="s">
        <v>33</v>
      </c>
      <c r="Q144" s="30" t="s">
        <v>108</v>
      </c>
      <c r="R144" s="30"/>
      <c r="S144" s="10"/>
      <c r="AE144"/>
      <c r="AF144"/>
      <c r="AG144"/>
      <c r="AH144"/>
      <c r="AI144"/>
      <c r="AJ144"/>
      <c r="AK144"/>
      <c r="AL144"/>
      <c r="AM144"/>
    </row>
    <row r="145" spans="1:39" s="11" customFormat="1" ht="60" x14ac:dyDescent="0.3">
      <c r="A145" s="26" t="str">
        <f t="shared" si="4"/>
        <v>2027성균관대</v>
      </c>
      <c r="B145" s="26">
        <f>COUNTIFS($A$4:A145,A145)</f>
        <v>16</v>
      </c>
      <c r="C145" s="26" t="str">
        <f t="shared" si="5"/>
        <v>2027성균관대16</v>
      </c>
      <c r="D145" s="3"/>
      <c r="E145" s="26" t="s">
        <v>73</v>
      </c>
      <c r="F145" s="26" t="s">
        <v>17</v>
      </c>
      <c r="G145" s="3"/>
      <c r="H145" s="28" t="s">
        <v>79</v>
      </c>
      <c r="I145" s="28">
        <v>2027</v>
      </c>
      <c r="J145" s="28" t="s">
        <v>50</v>
      </c>
      <c r="K145" s="28" t="s">
        <v>97</v>
      </c>
      <c r="L145" s="28" t="s">
        <v>95</v>
      </c>
      <c r="M145" s="28" t="s">
        <v>42</v>
      </c>
      <c r="N145" s="29" t="s">
        <v>112</v>
      </c>
      <c r="O145" s="28" t="s">
        <v>33</v>
      </c>
      <c r="P145" s="28" t="s">
        <v>33</v>
      </c>
      <c r="Q145" s="30" t="s">
        <v>113</v>
      </c>
      <c r="R145" s="30"/>
      <c r="S145" s="10"/>
      <c r="AD145"/>
      <c r="AE145"/>
      <c r="AF145"/>
      <c r="AG145"/>
      <c r="AH145"/>
      <c r="AI145"/>
      <c r="AJ145"/>
      <c r="AK145"/>
      <c r="AL145"/>
    </row>
    <row r="146" spans="1:39" s="11" customFormat="1" ht="30" customHeight="1" x14ac:dyDescent="0.3">
      <c r="A146" s="26" t="str">
        <f t="shared" si="4"/>
        <v>2025한양대</v>
      </c>
      <c r="B146" s="26">
        <f>COUNTIFS($A$4:A146,A146)</f>
        <v>1</v>
      </c>
      <c r="C146" s="26" t="str">
        <f t="shared" si="5"/>
        <v>2025한양대1</v>
      </c>
      <c r="D146" s="3"/>
      <c r="E146" s="26" t="s">
        <v>73</v>
      </c>
      <c r="F146" s="26" t="s">
        <v>17</v>
      </c>
      <c r="G146" s="3"/>
      <c r="H146" s="28" t="s">
        <v>114</v>
      </c>
      <c r="I146" s="28">
        <v>2025</v>
      </c>
      <c r="J146" s="28" t="s">
        <v>38</v>
      </c>
      <c r="K146" s="28" t="s">
        <v>115</v>
      </c>
      <c r="L146" s="28" t="s">
        <v>116</v>
      </c>
      <c r="M146" s="28" t="s">
        <v>22</v>
      </c>
      <c r="N146" s="29" t="s">
        <v>117</v>
      </c>
      <c r="O146" s="28" t="s">
        <v>33</v>
      </c>
      <c r="P146" s="28" t="s">
        <v>33</v>
      </c>
      <c r="Q146" s="30"/>
      <c r="R146" s="30"/>
      <c r="S146" s="10"/>
      <c r="AE146"/>
      <c r="AF146"/>
      <c r="AG146"/>
      <c r="AH146"/>
      <c r="AI146"/>
      <c r="AJ146"/>
      <c r="AK146"/>
      <c r="AL146"/>
      <c r="AM146"/>
    </row>
    <row r="147" spans="1:39" s="10" customFormat="1" ht="30" customHeight="1" x14ac:dyDescent="0.3">
      <c r="A147" s="26" t="str">
        <f t="shared" si="4"/>
        <v>2025한양대</v>
      </c>
      <c r="B147" s="26">
        <f>COUNTIFS($A$4:A147,A147)</f>
        <v>2</v>
      </c>
      <c r="C147" s="26" t="str">
        <f t="shared" si="5"/>
        <v>2025한양대2</v>
      </c>
      <c r="D147" s="3"/>
      <c r="E147" s="26" t="s">
        <v>73</v>
      </c>
      <c r="F147" s="26" t="s">
        <v>17</v>
      </c>
      <c r="G147" s="3"/>
      <c r="H147" s="27" t="s">
        <v>114</v>
      </c>
      <c r="I147" s="27">
        <v>2025</v>
      </c>
      <c r="J147" s="27" t="s">
        <v>38</v>
      </c>
      <c r="K147" s="28" t="s">
        <v>118</v>
      </c>
      <c r="L147" s="28" t="s">
        <v>24</v>
      </c>
      <c r="M147" s="28" t="s">
        <v>22</v>
      </c>
      <c r="N147" s="29" t="s">
        <v>117</v>
      </c>
      <c r="O147" s="28" t="s">
        <v>33</v>
      </c>
      <c r="P147" s="28" t="s">
        <v>33</v>
      </c>
      <c r="Q147" s="30"/>
      <c r="R147" s="3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/>
      <c r="AF147"/>
      <c r="AG147"/>
      <c r="AH147"/>
      <c r="AI147"/>
      <c r="AJ147"/>
      <c r="AK147"/>
      <c r="AL147"/>
      <c r="AM147"/>
    </row>
    <row r="148" spans="1:39" s="10" customFormat="1" ht="30" customHeight="1" x14ac:dyDescent="0.3">
      <c r="A148" s="26" t="str">
        <f t="shared" si="4"/>
        <v>2025한양대</v>
      </c>
      <c r="B148" s="26">
        <f>COUNTIFS($A$4:A148,A148)</f>
        <v>3</v>
      </c>
      <c r="C148" s="26" t="str">
        <f t="shared" si="5"/>
        <v>2025한양대3</v>
      </c>
      <c r="D148" s="3"/>
      <c r="E148" s="26" t="s">
        <v>73</v>
      </c>
      <c r="F148" s="26" t="s">
        <v>17</v>
      </c>
      <c r="G148" s="3"/>
      <c r="H148" s="27" t="s">
        <v>114</v>
      </c>
      <c r="I148" s="27">
        <v>2025</v>
      </c>
      <c r="J148" s="27" t="s">
        <v>19</v>
      </c>
      <c r="K148" s="28" t="s">
        <v>119</v>
      </c>
      <c r="L148" s="28" t="s">
        <v>116</v>
      </c>
      <c r="M148" s="28" t="s">
        <v>22</v>
      </c>
      <c r="N148" s="29" t="s">
        <v>117</v>
      </c>
      <c r="O148" s="28" t="s">
        <v>33</v>
      </c>
      <c r="P148" s="28" t="s">
        <v>33</v>
      </c>
      <c r="Q148" s="30"/>
      <c r="R148" s="32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/>
      <c r="AF148"/>
      <c r="AG148"/>
      <c r="AH148"/>
      <c r="AI148"/>
      <c r="AJ148"/>
      <c r="AK148"/>
      <c r="AL148"/>
      <c r="AM148"/>
    </row>
    <row r="149" spans="1:39" s="10" customFormat="1" ht="30" customHeight="1" x14ac:dyDescent="0.3">
      <c r="A149" s="26" t="str">
        <f t="shared" si="4"/>
        <v>2025한양대</v>
      </c>
      <c r="B149" s="26">
        <f>COUNTIFS($A$4:A149,A149)</f>
        <v>4</v>
      </c>
      <c r="C149" s="26" t="str">
        <f t="shared" si="5"/>
        <v>2025한양대4</v>
      </c>
      <c r="D149" s="3"/>
      <c r="E149" s="26" t="s">
        <v>73</v>
      </c>
      <c r="F149" s="26" t="s">
        <v>17</v>
      </c>
      <c r="G149" s="3"/>
      <c r="H149" s="27" t="s">
        <v>114</v>
      </c>
      <c r="I149" s="27">
        <v>2025</v>
      </c>
      <c r="J149" s="27" t="s">
        <v>19</v>
      </c>
      <c r="K149" s="28" t="s">
        <v>119</v>
      </c>
      <c r="L149" s="28" t="s">
        <v>24</v>
      </c>
      <c r="M149" s="28" t="s">
        <v>22</v>
      </c>
      <c r="N149" s="29" t="s">
        <v>117</v>
      </c>
      <c r="O149" s="28" t="s">
        <v>33</v>
      </c>
      <c r="P149" s="28" t="s">
        <v>33</v>
      </c>
      <c r="Q149" s="30"/>
      <c r="R149" s="3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/>
      <c r="AF149"/>
      <c r="AG149"/>
      <c r="AH149"/>
      <c r="AI149"/>
      <c r="AJ149"/>
      <c r="AK149"/>
      <c r="AL149"/>
      <c r="AM149"/>
    </row>
    <row r="150" spans="1:39" s="10" customFormat="1" ht="30" customHeight="1" x14ac:dyDescent="0.3">
      <c r="A150" s="26" t="str">
        <f t="shared" si="4"/>
        <v>2025한양대</v>
      </c>
      <c r="B150" s="26">
        <f>COUNTIFS($A$4:A150,A150)</f>
        <v>5</v>
      </c>
      <c r="C150" s="26" t="str">
        <f t="shared" si="5"/>
        <v>2025한양대5</v>
      </c>
      <c r="D150" s="3"/>
      <c r="E150" s="26" t="s">
        <v>73</v>
      </c>
      <c r="F150" s="26" t="s">
        <v>17</v>
      </c>
      <c r="G150" s="3"/>
      <c r="H150" s="27" t="s">
        <v>114</v>
      </c>
      <c r="I150" s="27">
        <v>2025</v>
      </c>
      <c r="J150" s="27" t="s">
        <v>19</v>
      </c>
      <c r="K150" s="28" t="s">
        <v>119</v>
      </c>
      <c r="L150" s="28" t="s">
        <v>24</v>
      </c>
      <c r="M150" s="28" t="s">
        <v>42</v>
      </c>
      <c r="N150" s="29" t="s">
        <v>120</v>
      </c>
      <c r="O150" s="28" t="s">
        <v>33</v>
      </c>
      <c r="P150" s="28" t="s">
        <v>33</v>
      </c>
      <c r="Q150" s="30"/>
      <c r="R150" s="3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/>
      <c r="AF150"/>
      <c r="AG150"/>
      <c r="AH150"/>
      <c r="AI150"/>
      <c r="AJ150"/>
      <c r="AK150"/>
      <c r="AL150"/>
      <c r="AM150"/>
    </row>
    <row r="151" spans="1:39" s="10" customFormat="1" ht="30" customHeight="1" x14ac:dyDescent="0.3">
      <c r="A151" s="26" t="str">
        <f t="shared" si="4"/>
        <v>2025한양대</v>
      </c>
      <c r="B151" s="26">
        <f>COUNTIFS($A$4:A151,A151)</f>
        <v>6</v>
      </c>
      <c r="C151" s="26" t="str">
        <f t="shared" si="5"/>
        <v>2025한양대6</v>
      </c>
      <c r="D151" s="3"/>
      <c r="E151" s="26" t="s">
        <v>73</v>
      </c>
      <c r="F151" s="26" t="s">
        <v>17</v>
      </c>
      <c r="G151" s="3"/>
      <c r="H151" s="28" t="s">
        <v>114</v>
      </c>
      <c r="I151" s="28">
        <v>2025</v>
      </c>
      <c r="J151" s="28" t="s">
        <v>50</v>
      </c>
      <c r="K151" s="28" t="s">
        <v>50</v>
      </c>
      <c r="L151" s="28" t="s">
        <v>21</v>
      </c>
      <c r="M151" s="28" t="s">
        <v>22</v>
      </c>
      <c r="N151" s="29" t="s">
        <v>33</v>
      </c>
      <c r="O151" s="28" t="s">
        <v>33</v>
      </c>
      <c r="P151" s="28" t="s">
        <v>33</v>
      </c>
      <c r="Q151" s="30"/>
      <c r="R151" s="32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/>
      <c r="AF151"/>
      <c r="AG151"/>
      <c r="AH151"/>
      <c r="AI151"/>
      <c r="AJ151"/>
      <c r="AK151"/>
      <c r="AL151"/>
      <c r="AM151"/>
    </row>
    <row r="152" spans="1:39" s="10" customFormat="1" ht="30" customHeight="1" x14ac:dyDescent="0.3">
      <c r="A152" s="26" t="str">
        <f t="shared" si="4"/>
        <v>2025한양대</v>
      </c>
      <c r="B152" s="26">
        <f>COUNTIFS($A$4:A152,A152)</f>
        <v>7</v>
      </c>
      <c r="C152" s="26" t="str">
        <f t="shared" si="5"/>
        <v>2025한양대7</v>
      </c>
      <c r="D152" s="3"/>
      <c r="E152" s="26" t="s">
        <v>73</v>
      </c>
      <c r="F152" s="26" t="s">
        <v>17</v>
      </c>
      <c r="G152" s="3"/>
      <c r="H152" s="27" t="s">
        <v>114</v>
      </c>
      <c r="I152" s="27">
        <v>2025</v>
      </c>
      <c r="J152" s="27" t="s">
        <v>50</v>
      </c>
      <c r="K152" s="28" t="s">
        <v>50</v>
      </c>
      <c r="L152" s="28" t="s">
        <v>24</v>
      </c>
      <c r="M152" s="28" t="s">
        <v>22</v>
      </c>
      <c r="N152" s="29" t="s">
        <v>33</v>
      </c>
      <c r="O152" s="28" t="s">
        <v>33</v>
      </c>
      <c r="P152" s="28" t="s">
        <v>33</v>
      </c>
      <c r="Q152" s="30"/>
      <c r="R152" s="3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/>
      <c r="AF152"/>
      <c r="AG152"/>
      <c r="AH152"/>
      <c r="AI152"/>
      <c r="AJ152"/>
      <c r="AK152"/>
      <c r="AL152"/>
      <c r="AM152"/>
    </row>
    <row r="153" spans="1:39" s="10" customFormat="1" ht="30" customHeight="1" x14ac:dyDescent="0.3">
      <c r="A153" s="26" t="str">
        <f t="shared" si="4"/>
        <v>2025한양대</v>
      </c>
      <c r="B153" s="26">
        <f>COUNTIFS($A$4:A153,A153)</f>
        <v>8</v>
      </c>
      <c r="C153" s="26" t="str">
        <f t="shared" si="5"/>
        <v>2025한양대8</v>
      </c>
      <c r="D153" s="3"/>
      <c r="E153" s="26" t="s">
        <v>73</v>
      </c>
      <c r="F153" s="26" t="s">
        <v>17</v>
      </c>
      <c r="G153" s="3"/>
      <c r="H153" s="27" t="s">
        <v>114</v>
      </c>
      <c r="I153" s="27">
        <v>2025</v>
      </c>
      <c r="J153" s="27" t="s">
        <v>50</v>
      </c>
      <c r="K153" s="28" t="s">
        <v>50</v>
      </c>
      <c r="L153" s="28" t="s">
        <v>44</v>
      </c>
      <c r="M153" s="28" t="s">
        <v>22</v>
      </c>
      <c r="N153" s="29" t="s">
        <v>121</v>
      </c>
      <c r="O153" s="28" t="s">
        <v>33</v>
      </c>
      <c r="P153" s="28" t="s">
        <v>33</v>
      </c>
      <c r="Q153" s="30"/>
      <c r="R153" s="3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/>
      <c r="AF153"/>
      <c r="AG153"/>
      <c r="AH153"/>
      <c r="AI153"/>
      <c r="AJ153"/>
      <c r="AK153"/>
      <c r="AL153"/>
      <c r="AM153"/>
    </row>
    <row r="154" spans="1:39" s="10" customFormat="1" ht="30" customHeight="1" x14ac:dyDescent="0.3">
      <c r="A154" s="26" t="str">
        <f t="shared" si="4"/>
        <v>2026한양대</v>
      </c>
      <c r="B154" s="26">
        <f>COUNTIFS($A$4:A154,A154)</f>
        <v>1</v>
      </c>
      <c r="C154" s="26" t="str">
        <f t="shared" si="5"/>
        <v>2026한양대1</v>
      </c>
      <c r="D154" s="3"/>
      <c r="E154" s="26" t="s">
        <v>73</v>
      </c>
      <c r="F154" s="26" t="s">
        <v>17</v>
      </c>
      <c r="G154" s="3"/>
      <c r="H154" s="27" t="s">
        <v>114</v>
      </c>
      <c r="I154" s="27">
        <v>2026</v>
      </c>
      <c r="J154" s="27" t="s">
        <v>38</v>
      </c>
      <c r="K154" s="28" t="s">
        <v>122</v>
      </c>
      <c r="L154" s="28" t="s">
        <v>116</v>
      </c>
      <c r="M154" s="28" t="s">
        <v>22</v>
      </c>
      <c r="N154" s="29" t="s">
        <v>117</v>
      </c>
      <c r="O154" s="28" t="s">
        <v>33</v>
      </c>
      <c r="P154" s="28" t="s">
        <v>33</v>
      </c>
      <c r="Q154" s="30"/>
      <c r="R154" s="32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/>
      <c r="AF154"/>
      <c r="AG154"/>
      <c r="AH154"/>
      <c r="AI154"/>
      <c r="AJ154"/>
      <c r="AK154"/>
      <c r="AL154"/>
      <c r="AM154"/>
    </row>
    <row r="155" spans="1:39" s="10" customFormat="1" ht="30" customHeight="1" x14ac:dyDescent="0.3">
      <c r="A155" s="26" t="str">
        <f t="shared" si="4"/>
        <v>2026한양대</v>
      </c>
      <c r="B155" s="26">
        <f>COUNTIFS($A$4:A155,A155)</f>
        <v>2</v>
      </c>
      <c r="C155" s="26" t="str">
        <f t="shared" si="5"/>
        <v>2026한양대2</v>
      </c>
      <c r="D155" s="3"/>
      <c r="E155" s="26" t="s">
        <v>73</v>
      </c>
      <c r="F155" s="26" t="s">
        <v>17</v>
      </c>
      <c r="G155" s="3"/>
      <c r="H155" s="27" t="s">
        <v>114</v>
      </c>
      <c r="I155" s="27">
        <v>2026</v>
      </c>
      <c r="J155" s="27" t="s">
        <v>38</v>
      </c>
      <c r="K155" s="28" t="s">
        <v>122</v>
      </c>
      <c r="L155" s="28" t="s">
        <v>24</v>
      </c>
      <c r="M155" s="28" t="s">
        <v>22</v>
      </c>
      <c r="N155" s="29" t="s">
        <v>117</v>
      </c>
      <c r="O155" s="28" t="s">
        <v>33</v>
      </c>
      <c r="P155" s="28" t="s">
        <v>33</v>
      </c>
      <c r="Q155" s="30"/>
      <c r="R155" s="32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/>
      <c r="AF155"/>
      <c r="AG155"/>
      <c r="AH155"/>
      <c r="AI155"/>
      <c r="AJ155"/>
      <c r="AK155"/>
      <c r="AL155"/>
      <c r="AM155"/>
    </row>
    <row r="156" spans="1:39" s="10" customFormat="1" ht="30" customHeight="1" x14ac:dyDescent="0.3">
      <c r="A156" s="26" t="str">
        <f t="shared" si="4"/>
        <v>2026한양대</v>
      </c>
      <c r="B156" s="26">
        <f>COUNTIFS($A$4:A156,A156)</f>
        <v>3</v>
      </c>
      <c r="C156" s="26" t="str">
        <f t="shared" si="5"/>
        <v>2026한양대3</v>
      </c>
      <c r="D156" s="3"/>
      <c r="E156" s="26" t="s">
        <v>73</v>
      </c>
      <c r="F156" s="26" t="s">
        <v>17</v>
      </c>
      <c r="G156" s="3"/>
      <c r="H156" s="27" t="s">
        <v>114</v>
      </c>
      <c r="I156" s="27">
        <v>2026</v>
      </c>
      <c r="J156" s="27" t="s">
        <v>19</v>
      </c>
      <c r="K156" s="28" t="s">
        <v>123</v>
      </c>
      <c r="L156" s="28" t="s">
        <v>116</v>
      </c>
      <c r="M156" s="28" t="s">
        <v>22</v>
      </c>
      <c r="N156" s="29" t="s">
        <v>117</v>
      </c>
      <c r="O156" s="28" t="s">
        <v>33</v>
      </c>
      <c r="P156" s="28" t="s">
        <v>33</v>
      </c>
      <c r="Q156" s="30"/>
      <c r="R156" s="32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/>
      <c r="AF156"/>
      <c r="AG156"/>
      <c r="AH156"/>
      <c r="AI156"/>
      <c r="AJ156"/>
      <c r="AK156"/>
      <c r="AL156"/>
      <c r="AM156"/>
    </row>
    <row r="157" spans="1:39" s="10" customFormat="1" ht="30" customHeight="1" x14ac:dyDescent="0.3">
      <c r="A157" s="26" t="str">
        <f t="shared" si="4"/>
        <v>2026한양대</v>
      </c>
      <c r="B157" s="26">
        <f>COUNTIFS($A$4:A157,A157)</f>
        <v>4</v>
      </c>
      <c r="C157" s="26" t="str">
        <f t="shared" si="5"/>
        <v>2026한양대4</v>
      </c>
      <c r="D157" s="3"/>
      <c r="E157" s="26" t="s">
        <v>73</v>
      </c>
      <c r="F157" s="26" t="s">
        <v>17</v>
      </c>
      <c r="G157" s="3"/>
      <c r="H157" s="28" t="s">
        <v>114</v>
      </c>
      <c r="I157" s="27">
        <v>2026</v>
      </c>
      <c r="J157" s="27" t="s">
        <v>19</v>
      </c>
      <c r="K157" s="28" t="s">
        <v>123</v>
      </c>
      <c r="L157" s="28" t="s">
        <v>24</v>
      </c>
      <c r="M157" s="28" t="s">
        <v>22</v>
      </c>
      <c r="N157" s="29" t="s">
        <v>117</v>
      </c>
      <c r="O157" s="28" t="s">
        <v>33</v>
      </c>
      <c r="P157" s="28" t="s">
        <v>33</v>
      </c>
      <c r="Q157" s="30"/>
      <c r="R157" s="3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/>
      <c r="AF157"/>
      <c r="AG157"/>
      <c r="AH157"/>
      <c r="AI157"/>
      <c r="AJ157"/>
      <c r="AK157"/>
      <c r="AL157"/>
      <c r="AM157"/>
    </row>
    <row r="158" spans="1:39" s="10" customFormat="1" ht="30" customHeight="1" x14ac:dyDescent="0.3">
      <c r="A158" s="26" t="str">
        <f t="shared" si="4"/>
        <v>2026한양대</v>
      </c>
      <c r="B158" s="26">
        <f>COUNTIFS($A$4:A158,A158)</f>
        <v>5</v>
      </c>
      <c r="C158" s="26" t="str">
        <f t="shared" si="5"/>
        <v>2026한양대5</v>
      </c>
      <c r="D158" s="3"/>
      <c r="E158" s="26" t="s">
        <v>73</v>
      </c>
      <c r="F158" s="26" t="s">
        <v>17</v>
      </c>
      <c r="G158" s="3"/>
      <c r="H158" s="28" t="s">
        <v>114</v>
      </c>
      <c r="I158" s="28">
        <v>2026</v>
      </c>
      <c r="J158" s="28" t="s">
        <v>19</v>
      </c>
      <c r="K158" s="28" t="s">
        <v>123</v>
      </c>
      <c r="L158" s="28" t="s">
        <v>24</v>
      </c>
      <c r="M158" s="28" t="s">
        <v>42</v>
      </c>
      <c r="N158" s="29" t="s">
        <v>102</v>
      </c>
      <c r="O158" s="28" t="s">
        <v>33</v>
      </c>
      <c r="P158" s="28" t="s">
        <v>33</v>
      </c>
      <c r="Q158" s="30" t="s">
        <v>124</v>
      </c>
      <c r="R158" s="3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/>
      <c r="AF158"/>
      <c r="AG158"/>
      <c r="AH158"/>
      <c r="AI158"/>
      <c r="AJ158"/>
      <c r="AK158"/>
      <c r="AL158"/>
      <c r="AM158"/>
    </row>
    <row r="159" spans="1:39" s="10" customFormat="1" ht="30" customHeight="1" x14ac:dyDescent="0.3">
      <c r="A159" s="26" t="str">
        <f t="shared" si="4"/>
        <v>2026한양대</v>
      </c>
      <c r="B159" s="26">
        <f>COUNTIFS($A$4:A159,A159)</f>
        <v>6</v>
      </c>
      <c r="C159" s="26" t="str">
        <f t="shared" si="5"/>
        <v>2026한양대6</v>
      </c>
      <c r="D159" s="3"/>
      <c r="E159" s="26" t="s">
        <v>73</v>
      </c>
      <c r="F159" s="26" t="s">
        <v>17</v>
      </c>
      <c r="G159" s="3"/>
      <c r="H159" s="28" t="s">
        <v>114</v>
      </c>
      <c r="I159" s="27">
        <v>2026</v>
      </c>
      <c r="J159" s="27" t="s">
        <v>19</v>
      </c>
      <c r="K159" s="28" t="s">
        <v>125</v>
      </c>
      <c r="L159" s="28" t="s">
        <v>126</v>
      </c>
      <c r="M159" s="28" t="s">
        <v>22</v>
      </c>
      <c r="N159" s="29" t="s">
        <v>22</v>
      </c>
      <c r="O159" s="28" t="s">
        <v>33</v>
      </c>
      <c r="P159" s="28" t="s">
        <v>33</v>
      </c>
      <c r="Q159" s="30"/>
      <c r="R159" s="3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/>
      <c r="AF159"/>
      <c r="AG159"/>
      <c r="AH159"/>
      <c r="AI159"/>
      <c r="AJ159"/>
      <c r="AK159"/>
      <c r="AL159"/>
      <c r="AM159"/>
    </row>
    <row r="160" spans="1:39" s="10" customFormat="1" ht="30" customHeight="1" x14ac:dyDescent="0.3">
      <c r="A160" s="26" t="str">
        <f t="shared" si="4"/>
        <v>2026한양대</v>
      </c>
      <c r="B160" s="26">
        <f>COUNTIFS($A$4:A160,A160)</f>
        <v>7</v>
      </c>
      <c r="C160" s="26" t="str">
        <f t="shared" si="5"/>
        <v>2026한양대7</v>
      </c>
      <c r="D160" s="3"/>
      <c r="E160" s="26" t="s">
        <v>73</v>
      </c>
      <c r="F160" s="26" t="s">
        <v>17</v>
      </c>
      <c r="G160" s="3"/>
      <c r="H160" s="28" t="s">
        <v>114</v>
      </c>
      <c r="I160" s="27">
        <v>2026</v>
      </c>
      <c r="J160" s="27" t="s">
        <v>19</v>
      </c>
      <c r="K160" s="28" t="s">
        <v>125</v>
      </c>
      <c r="L160" s="28" t="s">
        <v>95</v>
      </c>
      <c r="M160" s="28" t="s">
        <v>22</v>
      </c>
      <c r="N160" s="29" t="s">
        <v>22</v>
      </c>
      <c r="O160" s="28" t="s">
        <v>33</v>
      </c>
      <c r="P160" s="28" t="s">
        <v>33</v>
      </c>
      <c r="Q160" s="30"/>
      <c r="R160" s="3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/>
      <c r="AF160"/>
      <c r="AG160"/>
      <c r="AH160"/>
      <c r="AI160"/>
      <c r="AJ160"/>
      <c r="AK160"/>
      <c r="AL160"/>
      <c r="AM160"/>
    </row>
    <row r="161" spans="1:39" s="10" customFormat="1" ht="30" customHeight="1" x14ac:dyDescent="0.3">
      <c r="A161" s="26" t="str">
        <f t="shared" si="4"/>
        <v>2026한양대</v>
      </c>
      <c r="B161" s="26">
        <f>COUNTIFS($A$4:A161,A161)</f>
        <v>8</v>
      </c>
      <c r="C161" s="26" t="str">
        <f t="shared" si="5"/>
        <v>2026한양대8</v>
      </c>
      <c r="D161" s="3"/>
      <c r="E161" s="26" t="s">
        <v>73</v>
      </c>
      <c r="F161" s="26" t="s">
        <v>17</v>
      </c>
      <c r="G161" s="3"/>
      <c r="H161" s="28" t="s">
        <v>114</v>
      </c>
      <c r="I161" s="27">
        <v>2026</v>
      </c>
      <c r="J161" s="27" t="s">
        <v>19</v>
      </c>
      <c r="K161" s="28" t="s">
        <v>127</v>
      </c>
      <c r="L161" s="28" t="s">
        <v>126</v>
      </c>
      <c r="M161" s="28" t="s">
        <v>22</v>
      </c>
      <c r="N161" s="29" t="s">
        <v>22</v>
      </c>
      <c r="O161" s="28" t="s">
        <v>33</v>
      </c>
      <c r="P161" s="28" t="s">
        <v>33</v>
      </c>
      <c r="Q161" s="30"/>
      <c r="R161" s="3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/>
      <c r="AF161"/>
      <c r="AG161"/>
      <c r="AH161"/>
      <c r="AI161"/>
      <c r="AJ161"/>
      <c r="AK161"/>
      <c r="AL161"/>
      <c r="AM161"/>
    </row>
    <row r="162" spans="1:39" s="10" customFormat="1" ht="30" customHeight="1" x14ac:dyDescent="0.3">
      <c r="A162" s="26" t="str">
        <f t="shared" si="4"/>
        <v>2026한양대</v>
      </c>
      <c r="B162" s="26">
        <f>COUNTIFS($A$4:A162,A162)</f>
        <v>9</v>
      </c>
      <c r="C162" s="26" t="str">
        <f t="shared" si="5"/>
        <v>2026한양대9</v>
      </c>
      <c r="D162" s="3"/>
      <c r="E162" s="26" t="s">
        <v>73</v>
      </c>
      <c r="F162" s="26" t="s">
        <v>17</v>
      </c>
      <c r="G162" s="3"/>
      <c r="H162" s="28" t="s">
        <v>114</v>
      </c>
      <c r="I162" s="27">
        <v>2026</v>
      </c>
      <c r="J162" s="27" t="s">
        <v>19</v>
      </c>
      <c r="K162" s="28" t="s">
        <v>127</v>
      </c>
      <c r="L162" s="28" t="s">
        <v>95</v>
      </c>
      <c r="M162" s="28" t="s">
        <v>22</v>
      </c>
      <c r="N162" s="29" t="s">
        <v>22</v>
      </c>
      <c r="O162" s="28" t="s">
        <v>33</v>
      </c>
      <c r="P162" s="28" t="s">
        <v>33</v>
      </c>
      <c r="Q162" s="30"/>
      <c r="R162" s="3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/>
      <c r="AF162"/>
      <c r="AG162"/>
      <c r="AH162"/>
      <c r="AI162"/>
      <c r="AJ162"/>
      <c r="AK162"/>
      <c r="AL162"/>
      <c r="AM162"/>
    </row>
    <row r="163" spans="1:39" s="10" customFormat="1" ht="30" customHeight="1" x14ac:dyDescent="0.3">
      <c r="A163" s="26" t="str">
        <f t="shared" si="4"/>
        <v>2026한양대</v>
      </c>
      <c r="B163" s="26">
        <f>COUNTIFS($A$4:A163,A163)</f>
        <v>10</v>
      </c>
      <c r="C163" s="26" t="str">
        <f t="shared" si="5"/>
        <v>2026한양대10</v>
      </c>
      <c r="D163" s="3"/>
      <c r="E163" s="26" t="s">
        <v>73</v>
      </c>
      <c r="F163" s="26" t="s">
        <v>17</v>
      </c>
      <c r="G163" s="3"/>
      <c r="H163" s="27" t="s">
        <v>114</v>
      </c>
      <c r="I163" s="27">
        <v>2026</v>
      </c>
      <c r="J163" s="27" t="s">
        <v>50</v>
      </c>
      <c r="K163" s="28" t="s">
        <v>50</v>
      </c>
      <c r="L163" s="28" t="s">
        <v>126</v>
      </c>
      <c r="M163" s="28" t="s">
        <v>22</v>
      </c>
      <c r="N163" s="29" t="s">
        <v>117</v>
      </c>
      <c r="O163" s="28" t="s">
        <v>33</v>
      </c>
      <c r="P163" s="28" t="s">
        <v>33</v>
      </c>
      <c r="Q163" s="30" t="s">
        <v>105</v>
      </c>
      <c r="R163" s="3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/>
      <c r="AF163"/>
      <c r="AG163"/>
      <c r="AH163"/>
      <c r="AI163"/>
      <c r="AJ163"/>
      <c r="AK163"/>
      <c r="AL163"/>
      <c r="AM163"/>
    </row>
    <row r="164" spans="1:39" s="10" customFormat="1" ht="30" customHeight="1" x14ac:dyDescent="0.3">
      <c r="A164" s="26" t="str">
        <f t="shared" si="4"/>
        <v>2026한양대</v>
      </c>
      <c r="B164" s="26">
        <f>COUNTIFS($A$4:A164,A164)</f>
        <v>11</v>
      </c>
      <c r="C164" s="26" t="str">
        <f t="shared" si="5"/>
        <v>2026한양대11</v>
      </c>
      <c r="D164" s="3"/>
      <c r="E164" s="26" t="s">
        <v>73</v>
      </c>
      <c r="F164" s="26" t="s">
        <v>17</v>
      </c>
      <c r="G164" s="3"/>
      <c r="H164" s="27" t="s">
        <v>114</v>
      </c>
      <c r="I164" s="27">
        <v>2026</v>
      </c>
      <c r="J164" s="27" t="s">
        <v>50</v>
      </c>
      <c r="K164" s="28" t="s">
        <v>50</v>
      </c>
      <c r="L164" s="28" t="s">
        <v>24</v>
      </c>
      <c r="M164" s="28" t="s">
        <v>22</v>
      </c>
      <c r="N164" s="29" t="s">
        <v>117</v>
      </c>
      <c r="O164" s="28" t="s">
        <v>33</v>
      </c>
      <c r="P164" s="28" t="s">
        <v>33</v>
      </c>
      <c r="Q164" s="30" t="s">
        <v>105</v>
      </c>
      <c r="R164" s="3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/>
      <c r="AF164"/>
      <c r="AG164"/>
      <c r="AH164"/>
      <c r="AI164"/>
      <c r="AJ164"/>
      <c r="AK164"/>
      <c r="AL164"/>
      <c r="AM164"/>
    </row>
    <row r="165" spans="1:39" s="10" customFormat="1" ht="30" customHeight="1" x14ac:dyDescent="0.3">
      <c r="A165" s="26" t="str">
        <f t="shared" si="4"/>
        <v>2026한양대</v>
      </c>
      <c r="B165" s="26">
        <f>COUNTIFS($A$4:A165,A165)</f>
        <v>12</v>
      </c>
      <c r="C165" s="26" t="str">
        <f t="shared" si="5"/>
        <v>2026한양대12</v>
      </c>
      <c r="D165" s="3"/>
      <c r="E165" s="26" t="s">
        <v>73</v>
      </c>
      <c r="F165" s="26" t="s">
        <v>17</v>
      </c>
      <c r="G165" s="3"/>
      <c r="H165" s="27" t="s">
        <v>114</v>
      </c>
      <c r="I165" s="27">
        <v>2026</v>
      </c>
      <c r="J165" s="27" t="s">
        <v>50</v>
      </c>
      <c r="K165" s="28" t="s">
        <v>50</v>
      </c>
      <c r="L165" s="28" t="s">
        <v>24</v>
      </c>
      <c r="M165" s="28" t="s">
        <v>42</v>
      </c>
      <c r="N165" s="29" t="s">
        <v>102</v>
      </c>
      <c r="O165" s="28" t="s">
        <v>33</v>
      </c>
      <c r="P165" s="28" t="s">
        <v>33</v>
      </c>
      <c r="Q165" s="30" t="s">
        <v>105</v>
      </c>
      <c r="R165" s="3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/>
      <c r="AF165"/>
      <c r="AG165"/>
      <c r="AH165"/>
      <c r="AI165"/>
      <c r="AJ165"/>
      <c r="AK165"/>
      <c r="AL165"/>
      <c r="AM165"/>
    </row>
    <row r="166" spans="1:39" s="10" customFormat="1" ht="30" customHeight="1" x14ac:dyDescent="0.3">
      <c r="A166" s="26" t="str">
        <f t="shared" si="4"/>
        <v>2027한양대</v>
      </c>
      <c r="B166" s="26">
        <f>COUNTIFS($A$4:A166,A166)</f>
        <v>1</v>
      </c>
      <c r="C166" s="26" t="str">
        <f t="shared" si="5"/>
        <v>2027한양대1</v>
      </c>
      <c r="D166" s="3"/>
      <c r="E166" s="26" t="s">
        <v>73</v>
      </c>
      <c r="F166" s="26" t="s">
        <v>17</v>
      </c>
      <c r="G166" s="3"/>
      <c r="H166" s="27" t="s">
        <v>114</v>
      </c>
      <c r="I166" s="27">
        <v>2027</v>
      </c>
      <c r="J166" s="27" t="s">
        <v>38</v>
      </c>
      <c r="K166" s="28" t="s">
        <v>128</v>
      </c>
      <c r="L166" s="28" t="s">
        <v>116</v>
      </c>
      <c r="M166" s="28" t="s">
        <v>22</v>
      </c>
      <c r="N166" s="29" t="s">
        <v>117</v>
      </c>
      <c r="O166" s="28" t="s">
        <v>33</v>
      </c>
      <c r="P166" s="28" t="s">
        <v>33</v>
      </c>
      <c r="Q166" s="30"/>
      <c r="R166" s="3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/>
      <c r="AF166"/>
      <c r="AG166"/>
      <c r="AH166"/>
      <c r="AI166"/>
      <c r="AJ166"/>
      <c r="AK166"/>
      <c r="AL166"/>
      <c r="AM166"/>
    </row>
    <row r="167" spans="1:39" s="10" customFormat="1" ht="30" customHeight="1" x14ac:dyDescent="0.3">
      <c r="A167" s="26" t="str">
        <f t="shared" si="4"/>
        <v>2027한양대</v>
      </c>
      <c r="B167" s="26">
        <f>COUNTIFS($A$4:A167,A167)</f>
        <v>2</v>
      </c>
      <c r="C167" s="26" t="str">
        <f t="shared" si="5"/>
        <v>2027한양대2</v>
      </c>
      <c r="D167" s="3"/>
      <c r="E167" s="26" t="s">
        <v>73</v>
      </c>
      <c r="F167" s="26" t="s">
        <v>17</v>
      </c>
      <c r="G167" s="3"/>
      <c r="H167" s="27" t="s">
        <v>114</v>
      </c>
      <c r="I167" s="27">
        <v>2027</v>
      </c>
      <c r="J167" s="27" t="s">
        <v>38</v>
      </c>
      <c r="K167" s="28" t="s">
        <v>128</v>
      </c>
      <c r="L167" s="28" t="s">
        <v>24</v>
      </c>
      <c r="M167" s="28" t="s">
        <v>22</v>
      </c>
      <c r="N167" s="29" t="s">
        <v>117</v>
      </c>
      <c r="O167" s="28" t="s">
        <v>33</v>
      </c>
      <c r="P167" s="28" t="s">
        <v>33</v>
      </c>
      <c r="Q167" s="30"/>
      <c r="R167" s="3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/>
      <c r="AF167"/>
      <c r="AG167"/>
      <c r="AH167"/>
      <c r="AI167"/>
      <c r="AJ167"/>
      <c r="AK167"/>
      <c r="AL167"/>
      <c r="AM167"/>
    </row>
    <row r="168" spans="1:39" s="11" customFormat="1" ht="30" customHeight="1" x14ac:dyDescent="0.3">
      <c r="A168" s="26" t="str">
        <f t="shared" si="4"/>
        <v>2027한양대</v>
      </c>
      <c r="B168" s="26">
        <f>COUNTIFS($A$4:A168,A168)</f>
        <v>3</v>
      </c>
      <c r="C168" s="26" t="str">
        <f t="shared" si="5"/>
        <v>2027한양대3</v>
      </c>
      <c r="D168" s="3"/>
      <c r="E168" s="26" t="s">
        <v>73</v>
      </c>
      <c r="F168" s="26" t="s">
        <v>17</v>
      </c>
      <c r="G168" s="3"/>
      <c r="H168" s="28" t="s">
        <v>114</v>
      </c>
      <c r="I168" s="27">
        <v>2027</v>
      </c>
      <c r="J168" s="27" t="s">
        <v>19</v>
      </c>
      <c r="K168" s="28" t="s">
        <v>123</v>
      </c>
      <c r="L168" s="28" t="s">
        <v>116</v>
      </c>
      <c r="M168" s="28" t="s">
        <v>22</v>
      </c>
      <c r="N168" s="29" t="s">
        <v>117</v>
      </c>
      <c r="O168" s="28" t="s">
        <v>33</v>
      </c>
      <c r="P168" s="28" t="s">
        <v>33</v>
      </c>
      <c r="Q168" s="30"/>
      <c r="R168" s="30"/>
      <c r="S168" s="10"/>
      <c r="AE168"/>
      <c r="AF168"/>
      <c r="AG168"/>
      <c r="AH168"/>
      <c r="AI168"/>
      <c r="AJ168"/>
      <c r="AK168"/>
      <c r="AL168"/>
      <c r="AM168"/>
    </row>
    <row r="169" spans="1:39" s="11" customFormat="1" ht="30" customHeight="1" x14ac:dyDescent="0.3">
      <c r="A169" s="26" t="str">
        <f t="shared" si="4"/>
        <v>2027한양대</v>
      </c>
      <c r="B169" s="26">
        <f>COUNTIFS($A$4:A169,A169)</f>
        <v>4</v>
      </c>
      <c r="C169" s="26" t="str">
        <f t="shared" si="5"/>
        <v>2027한양대4</v>
      </c>
      <c r="D169" s="3"/>
      <c r="E169" s="26" t="s">
        <v>73</v>
      </c>
      <c r="F169" s="26" t="s">
        <v>17</v>
      </c>
      <c r="G169" s="3"/>
      <c r="H169" s="27" t="s">
        <v>114</v>
      </c>
      <c r="I169" s="27">
        <v>2027</v>
      </c>
      <c r="J169" s="27" t="s">
        <v>19</v>
      </c>
      <c r="K169" s="28" t="s">
        <v>123</v>
      </c>
      <c r="L169" s="28" t="s">
        <v>24</v>
      </c>
      <c r="M169" s="28" t="s">
        <v>22</v>
      </c>
      <c r="N169" s="29" t="s">
        <v>117</v>
      </c>
      <c r="O169" s="28" t="s">
        <v>33</v>
      </c>
      <c r="P169" s="28" t="s">
        <v>33</v>
      </c>
      <c r="Q169" s="30"/>
      <c r="R169" s="30"/>
      <c r="S169" s="10"/>
      <c r="AE169"/>
      <c r="AF169"/>
      <c r="AG169"/>
      <c r="AH169"/>
      <c r="AI169"/>
      <c r="AJ169"/>
      <c r="AK169"/>
      <c r="AL169"/>
      <c r="AM169"/>
    </row>
    <row r="170" spans="1:39" s="11" customFormat="1" ht="30" customHeight="1" x14ac:dyDescent="0.3">
      <c r="A170" s="26" t="str">
        <f t="shared" si="4"/>
        <v>2027한양대</v>
      </c>
      <c r="B170" s="26">
        <f>COUNTIFS($A$4:A170,A170)</f>
        <v>5</v>
      </c>
      <c r="C170" s="26" t="str">
        <f t="shared" si="5"/>
        <v>2027한양대5</v>
      </c>
      <c r="D170" s="3"/>
      <c r="E170" s="26" t="s">
        <v>73</v>
      </c>
      <c r="F170" s="26" t="s">
        <v>17</v>
      </c>
      <c r="G170" s="3"/>
      <c r="H170" s="27" t="s">
        <v>114</v>
      </c>
      <c r="I170" s="27">
        <v>2027</v>
      </c>
      <c r="J170" s="27" t="s">
        <v>19</v>
      </c>
      <c r="K170" s="28" t="s">
        <v>123</v>
      </c>
      <c r="L170" s="28" t="s">
        <v>24</v>
      </c>
      <c r="M170" s="28" t="s">
        <v>42</v>
      </c>
      <c r="N170" s="29" t="s">
        <v>102</v>
      </c>
      <c r="O170" s="28" t="s">
        <v>33</v>
      </c>
      <c r="P170" s="28" t="s">
        <v>33</v>
      </c>
      <c r="Q170" s="30"/>
      <c r="R170" s="30"/>
      <c r="S170" s="10"/>
      <c r="AE170"/>
      <c r="AF170"/>
      <c r="AG170"/>
      <c r="AH170"/>
      <c r="AI170"/>
      <c r="AJ170"/>
      <c r="AK170"/>
      <c r="AL170"/>
      <c r="AM170"/>
    </row>
    <row r="171" spans="1:39" s="11" customFormat="1" ht="30" customHeight="1" x14ac:dyDescent="0.3">
      <c r="A171" s="26" t="str">
        <f t="shared" si="4"/>
        <v>2027한양대</v>
      </c>
      <c r="B171" s="26">
        <f>COUNTIFS($A$4:A171,A171)</f>
        <v>6</v>
      </c>
      <c r="C171" s="26" t="str">
        <f t="shared" si="5"/>
        <v>2027한양대6</v>
      </c>
      <c r="D171" s="3"/>
      <c r="E171" s="26" t="s">
        <v>73</v>
      </c>
      <c r="F171" s="26" t="s">
        <v>17</v>
      </c>
      <c r="G171" s="3"/>
      <c r="H171" s="27" t="s">
        <v>114</v>
      </c>
      <c r="I171" s="27">
        <v>2027</v>
      </c>
      <c r="J171" s="27" t="s">
        <v>19</v>
      </c>
      <c r="K171" s="28" t="s">
        <v>125</v>
      </c>
      <c r="L171" s="28" t="s">
        <v>126</v>
      </c>
      <c r="M171" s="28" t="s">
        <v>22</v>
      </c>
      <c r="N171" s="29" t="s">
        <v>33</v>
      </c>
      <c r="O171" s="28" t="s">
        <v>33</v>
      </c>
      <c r="P171" s="28" t="s">
        <v>33</v>
      </c>
      <c r="Q171" s="30"/>
      <c r="R171" s="30"/>
      <c r="S171" s="10"/>
      <c r="AE171"/>
      <c r="AF171"/>
      <c r="AG171"/>
      <c r="AH171"/>
      <c r="AI171"/>
      <c r="AJ171"/>
      <c r="AK171"/>
      <c r="AL171"/>
      <c r="AM171"/>
    </row>
    <row r="172" spans="1:39" s="11" customFormat="1" ht="30" customHeight="1" x14ac:dyDescent="0.3">
      <c r="A172" s="26" t="str">
        <f t="shared" si="4"/>
        <v>2027한양대</v>
      </c>
      <c r="B172" s="26">
        <f>COUNTIFS($A$4:A172,A172)</f>
        <v>7</v>
      </c>
      <c r="C172" s="26" t="str">
        <f t="shared" si="5"/>
        <v>2027한양대7</v>
      </c>
      <c r="D172" s="3"/>
      <c r="E172" s="26" t="s">
        <v>73</v>
      </c>
      <c r="F172" s="26" t="s">
        <v>17</v>
      </c>
      <c r="G172" s="3"/>
      <c r="H172" s="27" t="s">
        <v>114</v>
      </c>
      <c r="I172" s="27">
        <v>2027</v>
      </c>
      <c r="J172" s="27" t="s">
        <v>19</v>
      </c>
      <c r="K172" s="28" t="s">
        <v>125</v>
      </c>
      <c r="L172" s="28" t="s">
        <v>24</v>
      </c>
      <c r="M172" s="28" t="s">
        <v>22</v>
      </c>
      <c r="N172" s="29" t="s">
        <v>33</v>
      </c>
      <c r="O172" s="28" t="s">
        <v>33</v>
      </c>
      <c r="P172" s="28" t="s">
        <v>33</v>
      </c>
      <c r="Q172" s="30"/>
      <c r="R172" s="30"/>
      <c r="S172" s="10"/>
      <c r="AE172"/>
      <c r="AF172"/>
      <c r="AG172"/>
      <c r="AH172"/>
      <c r="AI172"/>
      <c r="AJ172"/>
      <c r="AK172"/>
      <c r="AL172"/>
      <c r="AM172"/>
    </row>
    <row r="173" spans="1:39" s="11" customFormat="1" ht="30" customHeight="1" x14ac:dyDescent="0.3">
      <c r="A173" s="26" t="str">
        <f t="shared" si="4"/>
        <v>2027한양대</v>
      </c>
      <c r="B173" s="26">
        <f>COUNTIFS($A$4:A173,A173)</f>
        <v>8</v>
      </c>
      <c r="C173" s="26" t="str">
        <f t="shared" si="5"/>
        <v>2027한양대8</v>
      </c>
      <c r="D173" s="3"/>
      <c r="E173" s="26" t="s">
        <v>73</v>
      </c>
      <c r="F173" s="26" t="s">
        <v>17</v>
      </c>
      <c r="G173" s="3"/>
      <c r="H173" s="27" t="s">
        <v>114</v>
      </c>
      <c r="I173" s="27">
        <v>2027</v>
      </c>
      <c r="J173" s="27" t="s">
        <v>19</v>
      </c>
      <c r="K173" s="28" t="s">
        <v>127</v>
      </c>
      <c r="L173" s="28" t="s">
        <v>126</v>
      </c>
      <c r="M173" s="28" t="s">
        <v>22</v>
      </c>
      <c r="N173" s="29" t="s">
        <v>33</v>
      </c>
      <c r="O173" s="28" t="s">
        <v>33</v>
      </c>
      <c r="P173" s="28" t="s">
        <v>33</v>
      </c>
      <c r="Q173" s="30"/>
      <c r="R173" s="30"/>
      <c r="S173" s="10"/>
      <c r="AE173"/>
      <c r="AF173"/>
      <c r="AG173"/>
      <c r="AH173"/>
      <c r="AI173"/>
      <c r="AJ173"/>
      <c r="AK173"/>
      <c r="AL173"/>
      <c r="AM173"/>
    </row>
    <row r="174" spans="1:39" s="11" customFormat="1" ht="30" customHeight="1" x14ac:dyDescent="0.3">
      <c r="A174" s="26" t="str">
        <f t="shared" si="4"/>
        <v>2027한양대</v>
      </c>
      <c r="B174" s="26">
        <f>COUNTIFS($A$4:A174,A174)</f>
        <v>9</v>
      </c>
      <c r="C174" s="26" t="str">
        <f t="shared" si="5"/>
        <v>2027한양대9</v>
      </c>
      <c r="D174" s="3"/>
      <c r="E174" s="26" t="s">
        <v>73</v>
      </c>
      <c r="F174" s="26" t="s">
        <v>17</v>
      </c>
      <c r="G174" s="3"/>
      <c r="H174" s="28" t="s">
        <v>114</v>
      </c>
      <c r="I174" s="28">
        <v>2027</v>
      </c>
      <c r="J174" s="28" t="s">
        <v>19</v>
      </c>
      <c r="K174" s="28" t="s">
        <v>127</v>
      </c>
      <c r="L174" s="28" t="s">
        <v>24</v>
      </c>
      <c r="M174" s="28" t="s">
        <v>22</v>
      </c>
      <c r="N174" s="29" t="s">
        <v>33</v>
      </c>
      <c r="O174" s="28" t="s">
        <v>33</v>
      </c>
      <c r="P174" s="28" t="s">
        <v>33</v>
      </c>
      <c r="Q174" s="30"/>
      <c r="R174" s="30"/>
      <c r="S174" s="10"/>
      <c r="AE174"/>
      <c r="AF174"/>
      <c r="AG174"/>
      <c r="AH174"/>
      <c r="AI174"/>
      <c r="AJ174"/>
      <c r="AK174"/>
      <c r="AL174"/>
      <c r="AM174"/>
    </row>
    <row r="175" spans="1:39" s="11" customFormat="1" ht="30" customHeight="1" x14ac:dyDescent="0.3">
      <c r="A175" s="26" t="str">
        <f t="shared" si="4"/>
        <v>2027한양대</v>
      </c>
      <c r="B175" s="26">
        <f>COUNTIFS($A$4:A175,A175)</f>
        <v>10</v>
      </c>
      <c r="C175" s="26" t="str">
        <f t="shared" si="5"/>
        <v>2027한양대10</v>
      </c>
      <c r="D175" s="3"/>
      <c r="E175" s="26" t="s">
        <v>73</v>
      </c>
      <c r="F175" s="26" t="s">
        <v>17</v>
      </c>
      <c r="G175" s="3"/>
      <c r="H175" s="28" t="s">
        <v>114</v>
      </c>
      <c r="I175" s="28">
        <v>2027</v>
      </c>
      <c r="J175" s="28" t="s">
        <v>50</v>
      </c>
      <c r="K175" s="28" t="s">
        <v>50</v>
      </c>
      <c r="L175" s="28" t="s">
        <v>126</v>
      </c>
      <c r="M175" s="28" t="s">
        <v>22</v>
      </c>
      <c r="N175" s="29" t="s">
        <v>117</v>
      </c>
      <c r="O175" s="28" t="s">
        <v>33</v>
      </c>
      <c r="P175" s="28" t="s">
        <v>33</v>
      </c>
      <c r="Q175" s="30"/>
      <c r="R175" s="30"/>
      <c r="S175" s="10"/>
      <c r="AE175"/>
      <c r="AF175"/>
      <c r="AG175"/>
      <c r="AH175"/>
      <c r="AI175"/>
      <c r="AJ175"/>
      <c r="AK175"/>
      <c r="AL175"/>
      <c r="AM175"/>
    </row>
    <row r="176" spans="1:39" s="11" customFormat="1" ht="30" customHeight="1" x14ac:dyDescent="0.3">
      <c r="A176" s="26" t="str">
        <f t="shared" si="4"/>
        <v>2027한양대</v>
      </c>
      <c r="B176" s="26">
        <f>COUNTIFS($A$4:A176,A176)</f>
        <v>11</v>
      </c>
      <c r="C176" s="26" t="str">
        <f t="shared" si="5"/>
        <v>2027한양대11</v>
      </c>
      <c r="D176" s="3"/>
      <c r="E176" s="26" t="s">
        <v>73</v>
      </c>
      <c r="F176" s="26" t="s">
        <v>17</v>
      </c>
      <c r="G176" s="3"/>
      <c r="H176" s="28" t="s">
        <v>114</v>
      </c>
      <c r="I176" s="28">
        <v>2027</v>
      </c>
      <c r="J176" s="28" t="s">
        <v>50</v>
      </c>
      <c r="K176" s="28" t="s">
        <v>50</v>
      </c>
      <c r="L176" s="28" t="s">
        <v>24</v>
      </c>
      <c r="M176" s="28" t="s">
        <v>22</v>
      </c>
      <c r="N176" s="29" t="s">
        <v>117</v>
      </c>
      <c r="O176" s="28" t="s">
        <v>33</v>
      </c>
      <c r="P176" s="28" t="s">
        <v>33</v>
      </c>
      <c r="Q176" s="30"/>
      <c r="R176" s="30"/>
      <c r="S176" s="10"/>
      <c r="AE176"/>
      <c r="AF176"/>
      <c r="AG176"/>
      <c r="AH176"/>
      <c r="AI176"/>
      <c r="AJ176"/>
      <c r="AK176"/>
      <c r="AL176"/>
      <c r="AM176"/>
    </row>
    <row r="177" spans="1:39" s="11" customFormat="1" ht="30" customHeight="1" x14ac:dyDescent="0.3">
      <c r="A177" s="26" t="str">
        <f t="shared" si="4"/>
        <v>2027한양대</v>
      </c>
      <c r="B177" s="26">
        <f>COUNTIFS($A$4:A177,A177)</f>
        <v>12</v>
      </c>
      <c r="C177" s="26" t="str">
        <f t="shared" si="5"/>
        <v>2027한양대12</v>
      </c>
      <c r="D177" s="3"/>
      <c r="E177" s="26" t="s">
        <v>73</v>
      </c>
      <c r="F177" s="26" t="s">
        <v>17</v>
      </c>
      <c r="G177" s="3"/>
      <c r="H177" s="28" t="s">
        <v>114</v>
      </c>
      <c r="I177" s="28">
        <v>2027</v>
      </c>
      <c r="J177" s="28" t="s">
        <v>50</v>
      </c>
      <c r="K177" s="28" t="s">
        <v>50</v>
      </c>
      <c r="L177" s="28" t="s">
        <v>24</v>
      </c>
      <c r="M177" s="28" t="s">
        <v>42</v>
      </c>
      <c r="N177" s="29" t="s">
        <v>102</v>
      </c>
      <c r="O177" s="28" t="s">
        <v>33</v>
      </c>
      <c r="P177" s="28" t="s">
        <v>33</v>
      </c>
      <c r="Q177" s="30"/>
      <c r="R177" s="30"/>
      <c r="S177" s="10"/>
      <c r="AE177"/>
      <c r="AF177"/>
      <c r="AG177"/>
      <c r="AH177"/>
      <c r="AI177"/>
      <c r="AJ177"/>
      <c r="AK177"/>
      <c r="AL177"/>
      <c r="AM177"/>
    </row>
    <row r="178" spans="1:39" s="11" customFormat="1" ht="30" customHeight="1" x14ac:dyDescent="0.3">
      <c r="A178" s="26" t="str">
        <f t="shared" si="4"/>
        <v>2025중앙대</v>
      </c>
      <c r="B178" s="26">
        <f>COUNTIFS($A$4:A178,A178)</f>
        <v>1</v>
      </c>
      <c r="C178" s="26" t="str">
        <f t="shared" si="5"/>
        <v>2025중앙대1</v>
      </c>
      <c r="D178" s="3"/>
      <c r="E178" s="26" t="s">
        <v>129</v>
      </c>
      <c r="F178" s="26" t="s">
        <v>17</v>
      </c>
      <c r="G178" s="3"/>
      <c r="H178" s="27" t="s">
        <v>130</v>
      </c>
      <c r="I178" s="27">
        <v>2025</v>
      </c>
      <c r="J178" s="27" t="s">
        <v>38</v>
      </c>
      <c r="K178" s="28" t="s">
        <v>20</v>
      </c>
      <c r="L178" s="28" t="s">
        <v>21</v>
      </c>
      <c r="M178" s="28" t="s">
        <v>22</v>
      </c>
      <c r="N178" s="29" t="s">
        <v>131</v>
      </c>
      <c r="O178" s="28" t="s">
        <v>33</v>
      </c>
      <c r="P178" s="28" t="s">
        <v>33</v>
      </c>
      <c r="Q178" s="30"/>
      <c r="R178" s="32"/>
      <c r="S178" s="10"/>
      <c r="AE178"/>
      <c r="AF178"/>
      <c r="AG178"/>
      <c r="AH178"/>
      <c r="AI178"/>
      <c r="AJ178"/>
      <c r="AK178"/>
      <c r="AL178"/>
      <c r="AM178"/>
    </row>
    <row r="179" spans="1:39" s="11" customFormat="1" ht="30" customHeight="1" x14ac:dyDescent="0.3">
      <c r="A179" s="26" t="str">
        <f t="shared" si="4"/>
        <v>2025중앙대</v>
      </c>
      <c r="B179" s="26">
        <f>COUNTIFS($A$4:A179,A179)</f>
        <v>2</v>
      </c>
      <c r="C179" s="26" t="str">
        <f t="shared" si="5"/>
        <v>2025중앙대2</v>
      </c>
      <c r="D179" s="3"/>
      <c r="E179" s="26" t="s">
        <v>129</v>
      </c>
      <c r="F179" s="26" t="s">
        <v>17</v>
      </c>
      <c r="G179" s="3"/>
      <c r="H179" s="27" t="s">
        <v>130</v>
      </c>
      <c r="I179" s="27">
        <v>2025</v>
      </c>
      <c r="J179" s="27" t="s">
        <v>38</v>
      </c>
      <c r="K179" s="28" t="s">
        <v>20</v>
      </c>
      <c r="L179" s="28" t="s">
        <v>24</v>
      </c>
      <c r="M179" s="28" t="s">
        <v>22</v>
      </c>
      <c r="N179" s="29" t="s">
        <v>131</v>
      </c>
      <c r="O179" s="28" t="s">
        <v>33</v>
      </c>
      <c r="P179" s="28" t="s">
        <v>33</v>
      </c>
      <c r="Q179" s="30"/>
      <c r="R179" s="32"/>
      <c r="S179" s="10"/>
      <c r="AE179"/>
      <c r="AF179"/>
      <c r="AG179"/>
      <c r="AH179"/>
      <c r="AI179"/>
      <c r="AJ179"/>
      <c r="AK179"/>
      <c r="AL179"/>
      <c r="AM179"/>
    </row>
    <row r="180" spans="1:39" s="11" customFormat="1" ht="36" x14ac:dyDescent="0.3">
      <c r="A180" s="26" t="str">
        <f t="shared" si="4"/>
        <v>2025중앙대</v>
      </c>
      <c r="B180" s="26">
        <f>COUNTIFS($A$4:A180,A180)</f>
        <v>3</v>
      </c>
      <c r="C180" s="26" t="str">
        <f t="shared" si="5"/>
        <v>2025중앙대3</v>
      </c>
      <c r="D180" s="3"/>
      <c r="E180" s="26" t="s">
        <v>129</v>
      </c>
      <c r="F180" s="26" t="s">
        <v>17</v>
      </c>
      <c r="G180" s="3"/>
      <c r="H180" s="27" t="s">
        <v>130</v>
      </c>
      <c r="I180" s="27">
        <v>2025</v>
      </c>
      <c r="J180" s="27" t="s">
        <v>38</v>
      </c>
      <c r="K180" s="28" t="s">
        <v>20</v>
      </c>
      <c r="L180" s="28" t="s">
        <v>24</v>
      </c>
      <c r="M180" s="28" t="s">
        <v>42</v>
      </c>
      <c r="N180" s="29" t="s">
        <v>132</v>
      </c>
      <c r="O180" s="28" t="s">
        <v>33</v>
      </c>
      <c r="P180" s="28" t="s">
        <v>33</v>
      </c>
      <c r="Q180" s="30"/>
      <c r="R180" s="32"/>
      <c r="S180" s="10"/>
      <c r="AE180"/>
      <c r="AF180"/>
      <c r="AG180"/>
      <c r="AH180"/>
      <c r="AI180"/>
      <c r="AJ180"/>
      <c r="AK180"/>
      <c r="AL180"/>
      <c r="AM180"/>
    </row>
    <row r="181" spans="1:39" s="11" customFormat="1" ht="30" customHeight="1" x14ac:dyDescent="0.3">
      <c r="A181" s="26" t="str">
        <f t="shared" si="4"/>
        <v>2025중앙대</v>
      </c>
      <c r="B181" s="26">
        <f>COUNTIFS($A$4:A181,A181)</f>
        <v>4</v>
      </c>
      <c r="C181" s="26" t="str">
        <f t="shared" si="5"/>
        <v>2025중앙대4</v>
      </c>
      <c r="D181" s="3"/>
      <c r="E181" s="26" t="s">
        <v>129</v>
      </c>
      <c r="F181" s="26" t="s">
        <v>17</v>
      </c>
      <c r="G181" s="3"/>
      <c r="H181" s="27" t="s">
        <v>130</v>
      </c>
      <c r="I181" s="27">
        <v>2025</v>
      </c>
      <c r="J181" s="27" t="s">
        <v>19</v>
      </c>
      <c r="K181" s="28" t="s">
        <v>133</v>
      </c>
      <c r="L181" s="28" t="s">
        <v>21</v>
      </c>
      <c r="M181" s="28" t="s">
        <v>22</v>
      </c>
      <c r="N181" s="29" t="s">
        <v>33</v>
      </c>
      <c r="O181" s="28" t="s">
        <v>33</v>
      </c>
      <c r="P181" s="28" t="s">
        <v>33</v>
      </c>
      <c r="Q181" s="30"/>
      <c r="R181" s="30"/>
      <c r="S181" s="10"/>
      <c r="AE181"/>
      <c r="AF181"/>
      <c r="AG181"/>
      <c r="AH181"/>
      <c r="AI181"/>
      <c r="AJ181"/>
      <c r="AK181"/>
      <c r="AL181"/>
      <c r="AM181"/>
    </row>
    <row r="182" spans="1:39" s="11" customFormat="1" ht="30" customHeight="1" x14ac:dyDescent="0.3">
      <c r="A182" s="26" t="str">
        <f t="shared" si="4"/>
        <v>2025중앙대</v>
      </c>
      <c r="B182" s="26">
        <f>COUNTIFS($A$4:A182,A182)</f>
        <v>5</v>
      </c>
      <c r="C182" s="26" t="str">
        <f t="shared" si="5"/>
        <v>2025중앙대5</v>
      </c>
      <c r="D182" s="3"/>
      <c r="E182" s="26" t="s">
        <v>129</v>
      </c>
      <c r="F182" s="26" t="s">
        <v>17</v>
      </c>
      <c r="G182" s="3"/>
      <c r="H182" s="27" t="s">
        <v>130</v>
      </c>
      <c r="I182" s="27">
        <v>2025</v>
      </c>
      <c r="J182" s="27" t="s">
        <v>19</v>
      </c>
      <c r="K182" s="28" t="s">
        <v>133</v>
      </c>
      <c r="L182" s="28" t="s">
        <v>24</v>
      </c>
      <c r="M182" s="28" t="s">
        <v>22</v>
      </c>
      <c r="N182" s="29" t="s">
        <v>33</v>
      </c>
      <c r="O182" s="28" t="s">
        <v>33</v>
      </c>
      <c r="P182" s="28" t="s">
        <v>33</v>
      </c>
      <c r="Q182" s="30"/>
      <c r="R182" s="30"/>
      <c r="S182" s="10"/>
      <c r="AE182"/>
      <c r="AF182"/>
      <c r="AG182"/>
      <c r="AH182"/>
      <c r="AI182"/>
      <c r="AJ182"/>
      <c r="AK182"/>
      <c r="AL182"/>
      <c r="AM182"/>
    </row>
    <row r="183" spans="1:39" s="11" customFormat="1" ht="30" customHeight="1" x14ac:dyDescent="0.3">
      <c r="A183" s="26" t="str">
        <f t="shared" si="4"/>
        <v>2025중앙대</v>
      </c>
      <c r="B183" s="26">
        <f>COUNTIFS($A$4:A183,A183)</f>
        <v>6</v>
      </c>
      <c r="C183" s="26" t="str">
        <f t="shared" si="5"/>
        <v>2025중앙대6</v>
      </c>
      <c r="D183" s="3"/>
      <c r="E183" s="26" t="s">
        <v>129</v>
      </c>
      <c r="F183" s="26" t="s">
        <v>17</v>
      </c>
      <c r="G183" s="3"/>
      <c r="H183" s="27" t="s">
        <v>130</v>
      </c>
      <c r="I183" s="27">
        <v>2025</v>
      </c>
      <c r="J183" s="27" t="s">
        <v>19</v>
      </c>
      <c r="K183" s="28" t="s">
        <v>134</v>
      </c>
      <c r="L183" s="28" t="s">
        <v>21</v>
      </c>
      <c r="M183" s="28" t="s">
        <v>22</v>
      </c>
      <c r="N183" s="29" t="s">
        <v>33</v>
      </c>
      <c r="O183" s="28" t="s">
        <v>33</v>
      </c>
      <c r="P183" s="28" t="s">
        <v>33</v>
      </c>
      <c r="Q183" s="30"/>
      <c r="R183" s="30"/>
      <c r="S183" s="10"/>
      <c r="AE183"/>
      <c r="AF183"/>
      <c r="AG183"/>
      <c r="AH183"/>
      <c r="AI183"/>
      <c r="AJ183"/>
      <c r="AK183"/>
      <c r="AL183"/>
      <c r="AM183"/>
    </row>
    <row r="184" spans="1:39" s="11" customFormat="1" ht="30" customHeight="1" x14ac:dyDescent="0.3">
      <c r="A184" s="26" t="str">
        <f t="shared" si="4"/>
        <v>2025중앙대</v>
      </c>
      <c r="B184" s="26">
        <f>COUNTIFS($A$4:A184,A184)</f>
        <v>7</v>
      </c>
      <c r="C184" s="26" t="str">
        <f t="shared" si="5"/>
        <v>2025중앙대7</v>
      </c>
      <c r="D184" s="3"/>
      <c r="E184" s="26" t="s">
        <v>129</v>
      </c>
      <c r="F184" s="26" t="s">
        <v>17</v>
      </c>
      <c r="G184" s="3"/>
      <c r="H184" s="28" t="s">
        <v>130</v>
      </c>
      <c r="I184" s="28">
        <v>2025</v>
      </c>
      <c r="J184" s="28" t="s">
        <v>19</v>
      </c>
      <c r="K184" s="28" t="s">
        <v>134</v>
      </c>
      <c r="L184" s="28" t="s">
        <v>24</v>
      </c>
      <c r="M184" s="28" t="s">
        <v>22</v>
      </c>
      <c r="N184" s="29" t="s">
        <v>33</v>
      </c>
      <c r="O184" s="28" t="s">
        <v>33</v>
      </c>
      <c r="P184" s="28" t="s">
        <v>33</v>
      </c>
      <c r="Q184" s="30"/>
      <c r="R184" s="30"/>
      <c r="S184" s="10"/>
      <c r="AE184"/>
      <c r="AF184"/>
      <c r="AG184"/>
      <c r="AH184"/>
      <c r="AI184"/>
      <c r="AJ184"/>
      <c r="AK184"/>
      <c r="AL184"/>
      <c r="AM184"/>
    </row>
    <row r="185" spans="1:39" s="11" customFormat="1" ht="30" customHeight="1" x14ac:dyDescent="0.3">
      <c r="A185" s="26" t="str">
        <f t="shared" si="4"/>
        <v>2025중앙대</v>
      </c>
      <c r="B185" s="26">
        <f>COUNTIFS($A$4:A185,A185)</f>
        <v>8</v>
      </c>
      <c r="C185" s="26" t="str">
        <f t="shared" si="5"/>
        <v>2025중앙대8</v>
      </c>
      <c r="D185" s="3"/>
      <c r="E185" s="26" t="s">
        <v>129</v>
      </c>
      <c r="F185" s="26" t="s">
        <v>17</v>
      </c>
      <c r="G185" s="3"/>
      <c r="H185" s="28" t="s">
        <v>130</v>
      </c>
      <c r="I185" s="28">
        <v>2025</v>
      </c>
      <c r="J185" s="28" t="s">
        <v>50</v>
      </c>
      <c r="K185" s="28" t="s">
        <v>50</v>
      </c>
      <c r="L185" s="28" t="s">
        <v>21</v>
      </c>
      <c r="M185" s="28" t="s">
        <v>22</v>
      </c>
      <c r="N185" s="29" t="s">
        <v>135</v>
      </c>
      <c r="O185" s="28" t="s">
        <v>33</v>
      </c>
      <c r="P185" s="28" t="s">
        <v>33</v>
      </c>
      <c r="Q185" s="30"/>
      <c r="R185" s="30"/>
      <c r="S185" s="10"/>
      <c r="AE185"/>
      <c r="AF185"/>
      <c r="AG185"/>
      <c r="AH185"/>
      <c r="AI185"/>
      <c r="AJ185"/>
      <c r="AK185"/>
      <c r="AL185"/>
      <c r="AM185"/>
    </row>
    <row r="186" spans="1:39" s="11" customFormat="1" ht="30" customHeight="1" x14ac:dyDescent="0.3">
      <c r="A186" s="26" t="str">
        <f t="shared" si="4"/>
        <v>2025중앙대</v>
      </c>
      <c r="B186" s="26">
        <f>COUNTIFS($A$4:A186,A186)</f>
        <v>9</v>
      </c>
      <c r="C186" s="26" t="str">
        <f t="shared" si="5"/>
        <v>2025중앙대9</v>
      </c>
      <c r="D186" s="3"/>
      <c r="E186" s="26" t="s">
        <v>129</v>
      </c>
      <c r="F186" s="26" t="s">
        <v>17</v>
      </c>
      <c r="G186" s="3"/>
      <c r="H186" s="38" t="s">
        <v>130</v>
      </c>
      <c r="I186" s="28">
        <v>2025</v>
      </c>
      <c r="J186" s="28" t="s">
        <v>50</v>
      </c>
      <c r="K186" s="28" t="s">
        <v>50</v>
      </c>
      <c r="L186" s="28" t="s">
        <v>24</v>
      </c>
      <c r="M186" s="28" t="s">
        <v>22</v>
      </c>
      <c r="N186" s="29" t="s">
        <v>136</v>
      </c>
      <c r="O186" s="28" t="s">
        <v>33</v>
      </c>
      <c r="P186" s="28" t="s">
        <v>33</v>
      </c>
      <c r="Q186" s="30"/>
      <c r="R186" s="30"/>
      <c r="S186" s="10"/>
      <c r="AE186"/>
      <c r="AF186"/>
      <c r="AG186"/>
      <c r="AH186"/>
      <c r="AI186"/>
      <c r="AJ186"/>
      <c r="AK186"/>
      <c r="AL186"/>
      <c r="AM186"/>
    </row>
    <row r="187" spans="1:39" s="11" customFormat="1" ht="84" x14ac:dyDescent="0.3">
      <c r="A187" s="26" t="str">
        <f t="shared" si="4"/>
        <v>2025중앙대</v>
      </c>
      <c r="B187" s="26">
        <f>COUNTIFS($A$4:A187,A187)</f>
        <v>10</v>
      </c>
      <c r="C187" s="26" t="str">
        <f t="shared" si="5"/>
        <v>2025중앙대10</v>
      </c>
      <c r="D187" s="3"/>
      <c r="E187" s="26" t="s">
        <v>129</v>
      </c>
      <c r="F187" s="26" t="s">
        <v>17</v>
      </c>
      <c r="G187" s="3"/>
      <c r="H187" s="28" t="s">
        <v>130</v>
      </c>
      <c r="I187" s="28">
        <v>2025</v>
      </c>
      <c r="J187" s="28" t="s">
        <v>50</v>
      </c>
      <c r="K187" s="28" t="s">
        <v>50</v>
      </c>
      <c r="L187" s="28" t="s">
        <v>24</v>
      </c>
      <c r="M187" s="28" t="s">
        <v>42</v>
      </c>
      <c r="N187" s="29" t="s">
        <v>137</v>
      </c>
      <c r="O187" s="28" t="s">
        <v>33</v>
      </c>
      <c r="P187" s="28" t="s">
        <v>33</v>
      </c>
      <c r="Q187" s="30"/>
      <c r="R187" s="30"/>
      <c r="S187" s="10"/>
      <c r="AE187"/>
      <c r="AF187"/>
      <c r="AG187"/>
      <c r="AH187"/>
      <c r="AI187"/>
      <c r="AJ187"/>
      <c r="AK187"/>
      <c r="AL187"/>
      <c r="AM187"/>
    </row>
    <row r="188" spans="1:39" s="11" customFormat="1" ht="30" customHeight="1" x14ac:dyDescent="0.3">
      <c r="A188" s="26" t="str">
        <f t="shared" si="4"/>
        <v>2026중앙대</v>
      </c>
      <c r="B188" s="26">
        <f>COUNTIFS($A$4:A188,A188)</f>
        <v>1</v>
      </c>
      <c r="C188" s="26" t="str">
        <f t="shared" si="5"/>
        <v>2026중앙대1</v>
      </c>
      <c r="D188" s="3"/>
      <c r="E188" s="26" t="s">
        <v>129</v>
      </c>
      <c r="F188" s="26" t="s">
        <v>17</v>
      </c>
      <c r="G188" s="3"/>
      <c r="H188" s="28" t="s">
        <v>130</v>
      </c>
      <c r="I188" s="28">
        <v>2026</v>
      </c>
      <c r="J188" s="28" t="s">
        <v>38</v>
      </c>
      <c r="K188" s="28" t="s">
        <v>20</v>
      </c>
      <c r="L188" s="28" t="s">
        <v>21</v>
      </c>
      <c r="M188" s="28" t="s">
        <v>22</v>
      </c>
      <c r="N188" s="29" t="s">
        <v>131</v>
      </c>
      <c r="O188" s="28" t="s">
        <v>33</v>
      </c>
      <c r="P188" s="28" t="s">
        <v>33</v>
      </c>
      <c r="Q188" s="30"/>
      <c r="R188" s="32"/>
      <c r="S188" s="10"/>
      <c r="AE188"/>
      <c r="AF188"/>
      <c r="AG188"/>
      <c r="AH188"/>
      <c r="AI188"/>
      <c r="AJ188"/>
      <c r="AK188"/>
      <c r="AL188"/>
      <c r="AM188"/>
    </row>
    <row r="189" spans="1:39" s="11" customFormat="1" ht="30" customHeight="1" x14ac:dyDescent="0.3">
      <c r="A189" s="26" t="str">
        <f t="shared" si="4"/>
        <v>2026중앙대</v>
      </c>
      <c r="B189" s="26">
        <f>COUNTIFS($A$4:A189,A189)</f>
        <v>2</v>
      </c>
      <c r="C189" s="26" t="str">
        <f t="shared" si="5"/>
        <v>2026중앙대2</v>
      </c>
      <c r="D189" s="3"/>
      <c r="E189" s="26" t="s">
        <v>129</v>
      </c>
      <c r="F189" s="26" t="s">
        <v>17</v>
      </c>
      <c r="G189" s="3"/>
      <c r="H189" s="28" t="s">
        <v>130</v>
      </c>
      <c r="I189" s="28">
        <v>2026</v>
      </c>
      <c r="J189" s="28" t="s">
        <v>38</v>
      </c>
      <c r="K189" s="28" t="s">
        <v>20</v>
      </c>
      <c r="L189" s="28" t="s">
        <v>24</v>
      </c>
      <c r="M189" s="28" t="s">
        <v>22</v>
      </c>
      <c r="N189" s="29" t="s">
        <v>131</v>
      </c>
      <c r="O189" s="28" t="s">
        <v>33</v>
      </c>
      <c r="P189" s="28" t="s">
        <v>33</v>
      </c>
      <c r="Q189" s="30"/>
      <c r="R189" s="32"/>
      <c r="S189" s="10"/>
      <c r="AE189"/>
      <c r="AF189"/>
      <c r="AG189"/>
      <c r="AH189"/>
      <c r="AI189"/>
      <c r="AJ189"/>
      <c r="AK189"/>
      <c r="AL189"/>
      <c r="AM189"/>
    </row>
    <row r="190" spans="1:39" s="11" customFormat="1" ht="36" x14ac:dyDescent="0.3">
      <c r="A190" s="26" t="str">
        <f t="shared" si="4"/>
        <v>2026중앙대</v>
      </c>
      <c r="B190" s="26">
        <f>COUNTIFS($A$4:A190,A190)</f>
        <v>3</v>
      </c>
      <c r="C190" s="26" t="str">
        <f t="shared" si="5"/>
        <v>2026중앙대3</v>
      </c>
      <c r="D190" s="3"/>
      <c r="E190" s="26" t="s">
        <v>129</v>
      </c>
      <c r="F190" s="26" t="s">
        <v>17</v>
      </c>
      <c r="G190" s="3"/>
      <c r="H190" s="28" t="s">
        <v>130</v>
      </c>
      <c r="I190" s="28">
        <v>2026</v>
      </c>
      <c r="J190" s="28" t="s">
        <v>38</v>
      </c>
      <c r="K190" s="28" t="s">
        <v>20</v>
      </c>
      <c r="L190" s="28" t="s">
        <v>24</v>
      </c>
      <c r="M190" s="28" t="s">
        <v>42</v>
      </c>
      <c r="N190" s="29" t="s">
        <v>132</v>
      </c>
      <c r="O190" s="28" t="s">
        <v>33</v>
      </c>
      <c r="P190" s="28" t="s">
        <v>33</v>
      </c>
      <c r="Q190" s="30"/>
      <c r="R190" s="32"/>
      <c r="S190" s="10"/>
      <c r="AE190"/>
      <c r="AF190"/>
      <c r="AG190"/>
      <c r="AH190"/>
      <c r="AI190"/>
      <c r="AJ190"/>
      <c r="AK190"/>
      <c r="AL190"/>
      <c r="AM190"/>
    </row>
    <row r="191" spans="1:39" s="11" customFormat="1" ht="30" customHeight="1" x14ac:dyDescent="0.3">
      <c r="A191" s="26" t="str">
        <f t="shared" si="4"/>
        <v>2026중앙대</v>
      </c>
      <c r="B191" s="26">
        <f>COUNTIFS($A$4:A191,A191)</f>
        <v>4</v>
      </c>
      <c r="C191" s="26" t="str">
        <f t="shared" si="5"/>
        <v>2026중앙대4</v>
      </c>
      <c r="D191" s="3"/>
      <c r="E191" s="26" t="s">
        <v>129</v>
      </c>
      <c r="F191" s="26" t="s">
        <v>17</v>
      </c>
      <c r="G191" s="3"/>
      <c r="H191" s="28" t="s">
        <v>130</v>
      </c>
      <c r="I191" s="28">
        <v>2026</v>
      </c>
      <c r="J191" s="28" t="s">
        <v>19</v>
      </c>
      <c r="K191" s="28" t="s">
        <v>133</v>
      </c>
      <c r="L191" s="28" t="s">
        <v>21</v>
      </c>
      <c r="M191" s="28" t="s">
        <v>22</v>
      </c>
      <c r="N191" s="29" t="s">
        <v>33</v>
      </c>
      <c r="O191" s="28" t="s">
        <v>33</v>
      </c>
      <c r="P191" s="28" t="s">
        <v>33</v>
      </c>
      <c r="Q191" s="30"/>
      <c r="R191" s="30"/>
      <c r="S191" s="10"/>
      <c r="AE191"/>
      <c r="AF191"/>
      <c r="AG191"/>
      <c r="AH191"/>
      <c r="AI191"/>
      <c r="AJ191"/>
      <c r="AK191"/>
      <c r="AL191"/>
      <c r="AM191"/>
    </row>
    <row r="192" spans="1:39" s="11" customFormat="1" ht="30" customHeight="1" x14ac:dyDescent="0.3">
      <c r="A192" s="26" t="str">
        <f t="shared" si="4"/>
        <v>2026중앙대</v>
      </c>
      <c r="B192" s="26">
        <f>COUNTIFS($A$4:A192,A192)</f>
        <v>5</v>
      </c>
      <c r="C192" s="26" t="str">
        <f t="shared" si="5"/>
        <v>2026중앙대5</v>
      </c>
      <c r="D192" s="3"/>
      <c r="E192" s="26" t="s">
        <v>129</v>
      </c>
      <c r="F192" s="26" t="s">
        <v>17</v>
      </c>
      <c r="G192" s="3"/>
      <c r="H192" s="28" t="s">
        <v>130</v>
      </c>
      <c r="I192" s="28">
        <v>2026</v>
      </c>
      <c r="J192" s="28" t="s">
        <v>19</v>
      </c>
      <c r="K192" s="28" t="s">
        <v>133</v>
      </c>
      <c r="L192" s="28" t="s">
        <v>24</v>
      </c>
      <c r="M192" s="28" t="s">
        <v>22</v>
      </c>
      <c r="N192" s="29" t="s">
        <v>33</v>
      </c>
      <c r="O192" s="28" t="s">
        <v>33</v>
      </c>
      <c r="P192" s="28" t="s">
        <v>33</v>
      </c>
      <c r="Q192" s="30"/>
      <c r="R192" s="30"/>
      <c r="S192" s="10"/>
      <c r="AE192"/>
      <c r="AF192"/>
      <c r="AG192"/>
      <c r="AH192"/>
      <c r="AI192"/>
      <c r="AJ192"/>
      <c r="AK192"/>
      <c r="AL192"/>
      <c r="AM192"/>
    </row>
    <row r="193" spans="1:39" s="11" customFormat="1" ht="30" customHeight="1" x14ac:dyDescent="0.3">
      <c r="A193" s="26" t="str">
        <f t="shared" si="4"/>
        <v>2026중앙대</v>
      </c>
      <c r="B193" s="26">
        <f>COUNTIFS($A$4:A193,A193)</f>
        <v>6</v>
      </c>
      <c r="C193" s="26" t="str">
        <f t="shared" si="5"/>
        <v>2026중앙대6</v>
      </c>
      <c r="D193" s="3"/>
      <c r="E193" s="26" t="s">
        <v>129</v>
      </c>
      <c r="F193" s="26" t="s">
        <v>17</v>
      </c>
      <c r="G193" s="3"/>
      <c r="H193" s="28" t="s">
        <v>130</v>
      </c>
      <c r="I193" s="28">
        <v>2026</v>
      </c>
      <c r="J193" s="28" t="s">
        <v>19</v>
      </c>
      <c r="K193" s="28" t="s">
        <v>134</v>
      </c>
      <c r="L193" s="28" t="s">
        <v>21</v>
      </c>
      <c r="M193" s="28" t="s">
        <v>22</v>
      </c>
      <c r="N193" s="29" t="s">
        <v>33</v>
      </c>
      <c r="O193" s="28" t="s">
        <v>33</v>
      </c>
      <c r="P193" s="28" t="s">
        <v>33</v>
      </c>
      <c r="Q193" s="30"/>
      <c r="R193" s="30"/>
      <c r="S193" s="10"/>
      <c r="AE193"/>
      <c r="AF193"/>
      <c r="AG193"/>
      <c r="AH193"/>
      <c r="AI193"/>
      <c r="AJ193"/>
      <c r="AK193"/>
      <c r="AL193"/>
      <c r="AM193"/>
    </row>
    <row r="194" spans="1:39" s="11" customFormat="1" ht="30" customHeight="1" x14ac:dyDescent="0.3">
      <c r="A194" s="26" t="str">
        <f t="shared" si="4"/>
        <v>2026중앙대</v>
      </c>
      <c r="B194" s="26">
        <f>COUNTIFS($A$4:A194,A194)</f>
        <v>7</v>
      </c>
      <c r="C194" s="26" t="str">
        <f t="shared" si="5"/>
        <v>2026중앙대7</v>
      </c>
      <c r="D194" s="3"/>
      <c r="E194" s="26" t="s">
        <v>129</v>
      </c>
      <c r="F194" s="26" t="s">
        <v>17</v>
      </c>
      <c r="G194" s="3"/>
      <c r="H194" s="28" t="s">
        <v>130</v>
      </c>
      <c r="I194" s="28">
        <v>2026</v>
      </c>
      <c r="J194" s="28" t="s">
        <v>19</v>
      </c>
      <c r="K194" s="28" t="s">
        <v>134</v>
      </c>
      <c r="L194" s="28" t="s">
        <v>24</v>
      </c>
      <c r="M194" s="28" t="s">
        <v>22</v>
      </c>
      <c r="N194" s="29" t="s">
        <v>33</v>
      </c>
      <c r="O194" s="28" t="s">
        <v>33</v>
      </c>
      <c r="P194" s="28" t="s">
        <v>33</v>
      </c>
      <c r="Q194" s="32"/>
      <c r="R194" s="30"/>
      <c r="S194" s="10"/>
      <c r="AE194"/>
      <c r="AF194"/>
      <c r="AG194"/>
      <c r="AH194"/>
      <c r="AI194"/>
      <c r="AJ194"/>
      <c r="AK194"/>
      <c r="AL194"/>
      <c r="AM194"/>
    </row>
    <row r="195" spans="1:39" s="11" customFormat="1" ht="39.950000000000003" customHeight="1" x14ac:dyDescent="0.3">
      <c r="A195" s="26" t="str">
        <f t="shared" si="4"/>
        <v>2026중앙대</v>
      </c>
      <c r="B195" s="26">
        <f>COUNTIFS($A$4:A195,A195)</f>
        <v>8</v>
      </c>
      <c r="C195" s="26" t="str">
        <f t="shared" si="5"/>
        <v>2026중앙대8</v>
      </c>
      <c r="D195" s="3"/>
      <c r="E195" s="26" t="s">
        <v>129</v>
      </c>
      <c r="F195" s="26" t="s">
        <v>17</v>
      </c>
      <c r="G195" s="3"/>
      <c r="H195" s="28" t="s">
        <v>130</v>
      </c>
      <c r="I195" s="28">
        <v>2026</v>
      </c>
      <c r="J195" s="28" t="s">
        <v>50</v>
      </c>
      <c r="K195" s="28" t="s">
        <v>50</v>
      </c>
      <c r="L195" s="28" t="s">
        <v>21</v>
      </c>
      <c r="M195" s="28" t="s">
        <v>22</v>
      </c>
      <c r="N195" s="29" t="s">
        <v>136</v>
      </c>
      <c r="O195" s="28" t="s">
        <v>33</v>
      </c>
      <c r="P195" s="28" t="s">
        <v>33</v>
      </c>
      <c r="Q195" s="32"/>
      <c r="R195" s="30"/>
      <c r="S195" s="10"/>
      <c r="AE195"/>
      <c r="AF195"/>
      <c r="AG195"/>
      <c r="AH195"/>
      <c r="AI195"/>
      <c r="AJ195"/>
      <c r="AK195"/>
      <c r="AL195"/>
      <c r="AM195"/>
    </row>
    <row r="196" spans="1:39" s="11" customFormat="1" ht="39.950000000000003" customHeight="1" x14ac:dyDescent="0.3">
      <c r="A196" s="26" t="str">
        <f t="shared" ref="A196:A259" si="6">I196&amp;H196</f>
        <v>2026중앙대</v>
      </c>
      <c r="B196" s="26">
        <f>COUNTIFS($A$4:A196,A196)</f>
        <v>9</v>
      </c>
      <c r="C196" s="26" t="str">
        <f t="shared" ref="C196:C259" si="7">A196&amp;B196</f>
        <v>2026중앙대9</v>
      </c>
      <c r="D196" s="3"/>
      <c r="E196" s="26" t="s">
        <v>129</v>
      </c>
      <c r="F196" s="26" t="s">
        <v>17</v>
      </c>
      <c r="G196" s="3"/>
      <c r="H196" s="28" t="s">
        <v>130</v>
      </c>
      <c r="I196" s="28">
        <v>2026</v>
      </c>
      <c r="J196" s="28" t="s">
        <v>50</v>
      </c>
      <c r="K196" s="28" t="s">
        <v>50</v>
      </c>
      <c r="L196" s="28" t="s">
        <v>24</v>
      </c>
      <c r="M196" s="28" t="s">
        <v>22</v>
      </c>
      <c r="N196" s="29" t="s">
        <v>136</v>
      </c>
      <c r="O196" s="28" t="s">
        <v>33</v>
      </c>
      <c r="P196" s="28" t="s">
        <v>33</v>
      </c>
      <c r="Q196" s="30"/>
      <c r="R196" s="30"/>
      <c r="S196" s="10"/>
      <c r="AE196"/>
      <c r="AF196"/>
      <c r="AG196"/>
      <c r="AH196"/>
      <c r="AI196"/>
      <c r="AJ196"/>
      <c r="AK196"/>
      <c r="AL196"/>
      <c r="AM196"/>
    </row>
    <row r="197" spans="1:39" s="11" customFormat="1" ht="84" x14ac:dyDescent="0.3">
      <c r="A197" s="26" t="str">
        <f t="shared" si="6"/>
        <v>2026중앙대</v>
      </c>
      <c r="B197" s="26">
        <f>COUNTIFS($A$4:A197,A197)</f>
        <v>10</v>
      </c>
      <c r="C197" s="26" t="str">
        <f t="shared" si="7"/>
        <v>2026중앙대10</v>
      </c>
      <c r="D197" s="3"/>
      <c r="E197" s="26" t="s">
        <v>129</v>
      </c>
      <c r="F197" s="26" t="s">
        <v>17</v>
      </c>
      <c r="G197" s="3"/>
      <c r="H197" s="28" t="s">
        <v>130</v>
      </c>
      <c r="I197" s="28">
        <v>2026</v>
      </c>
      <c r="J197" s="28" t="s">
        <v>50</v>
      </c>
      <c r="K197" s="28" t="s">
        <v>50</v>
      </c>
      <c r="L197" s="28" t="s">
        <v>24</v>
      </c>
      <c r="M197" s="28" t="s">
        <v>42</v>
      </c>
      <c r="N197" s="29" t="s">
        <v>137</v>
      </c>
      <c r="O197" s="28" t="s">
        <v>33</v>
      </c>
      <c r="P197" s="28" t="s">
        <v>33</v>
      </c>
      <c r="Q197" s="32"/>
      <c r="R197" s="30"/>
      <c r="S197" s="10"/>
      <c r="AE197"/>
      <c r="AF197"/>
      <c r="AG197"/>
      <c r="AH197"/>
      <c r="AI197"/>
      <c r="AJ197"/>
      <c r="AK197"/>
      <c r="AL197"/>
      <c r="AM197"/>
    </row>
    <row r="198" spans="1:39" s="11" customFormat="1" ht="30" customHeight="1" x14ac:dyDescent="0.3">
      <c r="A198" s="26" t="str">
        <f t="shared" si="6"/>
        <v>2027중앙대</v>
      </c>
      <c r="B198" s="26">
        <f>COUNTIFS($A$4:A198,A198)</f>
        <v>1</v>
      </c>
      <c r="C198" s="26" t="str">
        <f t="shared" si="7"/>
        <v>2027중앙대1</v>
      </c>
      <c r="D198" s="3"/>
      <c r="E198" s="26" t="s">
        <v>129</v>
      </c>
      <c r="F198" s="26" t="s">
        <v>17</v>
      </c>
      <c r="G198" s="3"/>
      <c r="H198" s="28" t="s">
        <v>130</v>
      </c>
      <c r="I198" s="28">
        <v>2027</v>
      </c>
      <c r="J198" s="28" t="s">
        <v>38</v>
      </c>
      <c r="K198" s="28" t="s">
        <v>20</v>
      </c>
      <c r="L198" s="28" t="s">
        <v>21</v>
      </c>
      <c r="M198" s="28" t="s">
        <v>22</v>
      </c>
      <c r="N198" s="29" t="s">
        <v>138</v>
      </c>
      <c r="O198" s="28" t="s">
        <v>33</v>
      </c>
      <c r="P198" s="28" t="s">
        <v>33</v>
      </c>
      <c r="Q198" s="32"/>
      <c r="R198" s="32"/>
      <c r="S198" s="10"/>
      <c r="AE198"/>
      <c r="AF198"/>
      <c r="AG198"/>
      <c r="AH198"/>
      <c r="AI198"/>
      <c r="AJ198"/>
      <c r="AK198"/>
      <c r="AL198"/>
      <c r="AM198"/>
    </row>
    <row r="199" spans="1:39" s="11" customFormat="1" ht="30" customHeight="1" x14ac:dyDescent="0.3">
      <c r="A199" s="26" t="str">
        <f t="shared" si="6"/>
        <v>2027중앙대</v>
      </c>
      <c r="B199" s="26">
        <f>COUNTIFS($A$4:A199,A199)</f>
        <v>2</v>
      </c>
      <c r="C199" s="26" t="str">
        <f t="shared" si="7"/>
        <v>2027중앙대2</v>
      </c>
      <c r="D199" s="3"/>
      <c r="E199" s="26" t="s">
        <v>129</v>
      </c>
      <c r="F199" s="26" t="s">
        <v>17</v>
      </c>
      <c r="G199" s="3"/>
      <c r="H199" s="28" t="s">
        <v>130</v>
      </c>
      <c r="I199" s="28">
        <v>2027</v>
      </c>
      <c r="J199" s="28" t="s">
        <v>38</v>
      </c>
      <c r="K199" s="28" t="s">
        <v>20</v>
      </c>
      <c r="L199" s="28" t="s">
        <v>24</v>
      </c>
      <c r="M199" s="28" t="s">
        <v>22</v>
      </c>
      <c r="N199" s="29" t="s">
        <v>138</v>
      </c>
      <c r="O199" s="28" t="s">
        <v>33</v>
      </c>
      <c r="P199" s="28" t="s">
        <v>33</v>
      </c>
      <c r="Q199" s="32"/>
      <c r="R199" s="32"/>
      <c r="S199" s="10"/>
      <c r="AE199"/>
      <c r="AF199"/>
      <c r="AG199"/>
      <c r="AH199"/>
      <c r="AI199"/>
      <c r="AJ199"/>
      <c r="AK199"/>
      <c r="AL199"/>
      <c r="AM199"/>
    </row>
    <row r="200" spans="1:39" s="11" customFormat="1" ht="36" x14ac:dyDescent="0.3">
      <c r="A200" s="26" t="str">
        <f t="shared" si="6"/>
        <v>2027중앙대</v>
      </c>
      <c r="B200" s="26">
        <f>COUNTIFS($A$4:A200,A200)</f>
        <v>3</v>
      </c>
      <c r="C200" s="26" t="str">
        <f t="shared" si="7"/>
        <v>2027중앙대3</v>
      </c>
      <c r="D200" s="3"/>
      <c r="E200" s="26" t="s">
        <v>129</v>
      </c>
      <c r="F200" s="26" t="s">
        <v>17</v>
      </c>
      <c r="G200" s="3"/>
      <c r="H200" s="28" t="s">
        <v>130</v>
      </c>
      <c r="I200" s="28">
        <v>2027</v>
      </c>
      <c r="J200" s="28" t="s">
        <v>38</v>
      </c>
      <c r="K200" s="28" t="s">
        <v>20</v>
      </c>
      <c r="L200" s="28" t="s">
        <v>24</v>
      </c>
      <c r="M200" s="28" t="s">
        <v>42</v>
      </c>
      <c r="N200" s="29" t="s">
        <v>139</v>
      </c>
      <c r="O200" s="28" t="s">
        <v>33</v>
      </c>
      <c r="P200" s="28" t="s">
        <v>33</v>
      </c>
      <c r="Q200" s="32"/>
      <c r="R200" s="32"/>
      <c r="S200" s="10"/>
      <c r="AE200"/>
      <c r="AF200"/>
      <c r="AG200"/>
      <c r="AH200"/>
      <c r="AI200"/>
      <c r="AJ200"/>
      <c r="AK200"/>
      <c r="AL200"/>
      <c r="AM200"/>
    </row>
    <row r="201" spans="1:39" s="11" customFormat="1" ht="30" customHeight="1" x14ac:dyDescent="0.3">
      <c r="A201" s="26" t="str">
        <f t="shared" si="6"/>
        <v>2027중앙대</v>
      </c>
      <c r="B201" s="26">
        <f>COUNTIFS($A$4:A201,A201)</f>
        <v>4</v>
      </c>
      <c r="C201" s="26" t="str">
        <f t="shared" si="7"/>
        <v>2027중앙대4</v>
      </c>
      <c r="D201" s="3"/>
      <c r="E201" s="26" t="s">
        <v>129</v>
      </c>
      <c r="F201" s="26" t="s">
        <v>17</v>
      </c>
      <c r="G201" s="3"/>
      <c r="H201" s="28" t="s">
        <v>130</v>
      </c>
      <c r="I201" s="28">
        <v>2027</v>
      </c>
      <c r="J201" s="28" t="s">
        <v>19</v>
      </c>
      <c r="K201" s="28" t="s">
        <v>140</v>
      </c>
      <c r="L201" s="28" t="s">
        <v>21</v>
      </c>
      <c r="M201" s="28" t="s">
        <v>22</v>
      </c>
      <c r="N201" s="29" t="s">
        <v>33</v>
      </c>
      <c r="O201" s="28" t="s">
        <v>33</v>
      </c>
      <c r="P201" s="28" t="s">
        <v>33</v>
      </c>
      <c r="Q201" s="32" t="s">
        <v>141</v>
      </c>
      <c r="R201" s="32"/>
      <c r="S201" s="10"/>
      <c r="AE201"/>
      <c r="AF201"/>
      <c r="AG201"/>
      <c r="AH201"/>
      <c r="AI201"/>
      <c r="AJ201"/>
      <c r="AK201"/>
      <c r="AL201"/>
      <c r="AM201"/>
    </row>
    <row r="202" spans="1:39" s="11" customFormat="1" ht="30" customHeight="1" x14ac:dyDescent="0.3">
      <c r="A202" s="26" t="str">
        <f t="shared" si="6"/>
        <v>2027중앙대</v>
      </c>
      <c r="B202" s="26">
        <f>COUNTIFS($A$4:A202,A202)</f>
        <v>5</v>
      </c>
      <c r="C202" s="26" t="str">
        <f t="shared" si="7"/>
        <v>2027중앙대5</v>
      </c>
      <c r="D202" s="3"/>
      <c r="E202" s="26" t="s">
        <v>129</v>
      </c>
      <c r="F202" s="26" t="s">
        <v>17</v>
      </c>
      <c r="G202" s="3"/>
      <c r="H202" s="28" t="s">
        <v>130</v>
      </c>
      <c r="I202" s="28">
        <v>2027</v>
      </c>
      <c r="J202" s="28" t="s">
        <v>19</v>
      </c>
      <c r="K202" s="28" t="s">
        <v>140</v>
      </c>
      <c r="L202" s="28" t="s">
        <v>24</v>
      </c>
      <c r="M202" s="28" t="s">
        <v>22</v>
      </c>
      <c r="N202" s="29" t="s">
        <v>33</v>
      </c>
      <c r="O202" s="28" t="s">
        <v>33</v>
      </c>
      <c r="P202" s="28" t="s">
        <v>33</v>
      </c>
      <c r="Q202" s="32" t="s">
        <v>141</v>
      </c>
      <c r="R202" s="32"/>
      <c r="S202" s="10"/>
      <c r="AE202"/>
      <c r="AF202"/>
      <c r="AG202"/>
      <c r="AH202"/>
      <c r="AI202"/>
      <c r="AJ202"/>
      <c r="AK202"/>
      <c r="AL202"/>
      <c r="AM202"/>
    </row>
    <row r="203" spans="1:39" s="11" customFormat="1" ht="30" customHeight="1" x14ac:dyDescent="0.3">
      <c r="A203" s="26" t="str">
        <f t="shared" si="6"/>
        <v>2027중앙대</v>
      </c>
      <c r="B203" s="26">
        <f>COUNTIFS($A$4:A203,A203)</f>
        <v>6</v>
      </c>
      <c r="C203" s="26" t="str">
        <f t="shared" si="7"/>
        <v>2027중앙대6</v>
      </c>
      <c r="D203" s="3"/>
      <c r="E203" s="26" t="s">
        <v>129</v>
      </c>
      <c r="F203" s="26" t="s">
        <v>17</v>
      </c>
      <c r="G203" s="3"/>
      <c r="H203" s="28" t="s">
        <v>130</v>
      </c>
      <c r="I203" s="28">
        <v>2027</v>
      </c>
      <c r="J203" s="28" t="s">
        <v>19</v>
      </c>
      <c r="K203" s="28" t="s">
        <v>142</v>
      </c>
      <c r="L203" s="28" t="s">
        <v>21</v>
      </c>
      <c r="M203" s="28" t="s">
        <v>22</v>
      </c>
      <c r="N203" s="29" t="s">
        <v>33</v>
      </c>
      <c r="O203" s="28" t="s">
        <v>33</v>
      </c>
      <c r="P203" s="28" t="s">
        <v>33</v>
      </c>
      <c r="Q203" s="32" t="s">
        <v>141</v>
      </c>
      <c r="R203" s="32"/>
      <c r="S203" s="10"/>
      <c r="AE203"/>
      <c r="AF203"/>
      <c r="AG203"/>
      <c r="AH203"/>
      <c r="AI203"/>
      <c r="AJ203"/>
      <c r="AK203"/>
      <c r="AL203"/>
      <c r="AM203"/>
    </row>
    <row r="204" spans="1:39" s="11" customFormat="1" ht="30" customHeight="1" x14ac:dyDescent="0.3">
      <c r="A204" s="26" t="str">
        <f t="shared" si="6"/>
        <v>2027중앙대</v>
      </c>
      <c r="B204" s="26">
        <f>COUNTIFS($A$4:A204,A204)</f>
        <v>7</v>
      </c>
      <c r="C204" s="26" t="str">
        <f t="shared" si="7"/>
        <v>2027중앙대7</v>
      </c>
      <c r="D204" s="3"/>
      <c r="E204" s="26" t="s">
        <v>129</v>
      </c>
      <c r="F204" s="26" t="s">
        <v>17</v>
      </c>
      <c r="G204" s="3"/>
      <c r="H204" s="28" t="s">
        <v>130</v>
      </c>
      <c r="I204" s="28">
        <v>2027</v>
      </c>
      <c r="J204" s="28" t="s">
        <v>19</v>
      </c>
      <c r="K204" s="28" t="s">
        <v>142</v>
      </c>
      <c r="L204" s="28" t="s">
        <v>24</v>
      </c>
      <c r="M204" s="28" t="s">
        <v>22</v>
      </c>
      <c r="N204" s="29" t="s">
        <v>33</v>
      </c>
      <c r="O204" s="28" t="s">
        <v>33</v>
      </c>
      <c r="P204" s="28" t="s">
        <v>33</v>
      </c>
      <c r="Q204" s="32" t="s">
        <v>141</v>
      </c>
      <c r="R204" s="32"/>
      <c r="S204" s="10"/>
      <c r="AE204"/>
      <c r="AF204"/>
      <c r="AG204"/>
      <c r="AH204"/>
      <c r="AI204"/>
      <c r="AJ204"/>
      <c r="AK204"/>
      <c r="AL204"/>
      <c r="AM204"/>
    </row>
    <row r="205" spans="1:39" s="11" customFormat="1" ht="30" customHeight="1" x14ac:dyDescent="0.3">
      <c r="A205" s="26" t="str">
        <f t="shared" si="6"/>
        <v>2027중앙대</v>
      </c>
      <c r="B205" s="26">
        <f>COUNTIFS($A$4:A205,A205)</f>
        <v>8</v>
      </c>
      <c r="C205" s="26" t="str">
        <f t="shared" si="7"/>
        <v>2027중앙대8</v>
      </c>
      <c r="D205" s="3"/>
      <c r="E205" s="26" t="s">
        <v>129</v>
      </c>
      <c r="F205" s="26" t="s">
        <v>17</v>
      </c>
      <c r="G205" s="3"/>
      <c r="H205" s="28" t="s">
        <v>130</v>
      </c>
      <c r="I205" s="28">
        <v>2027</v>
      </c>
      <c r="J205" s="28" t="s">
        <v>19</v>
      </c>
      <c r="K205" s="28" t="s">
        <v>143</v>
      </c>
      <c r="L205" s="28" t="s">
        <v>21</v>
      </c>
      <c r="M205" s="28" t="s">
        <v>22</v>
      </c>
      <c r="N205" s="29" t="s">
        <v>135</v>
      </c>
      <c r="O205" s="28" t="s">
        <v>33</v>
      </c>
      <c r="P205" s="28" t="s">
        <v>33</v>
      </c>
      <c r="Q205" s="32" t="s">
        <v>144</v>
      </c>
      <c r="R205" s="30"/>
      <c r="S205" s="10"/>
      <c r="AE205"/>
      <c r="AF205"/>
      <c r="AG205"/>
      <c r="AH205"/>
      <c r="AI205"/>
      <c r="AJ205"/>
      <c r="AK205"/>
      <c r="AL205"/>
      <c r="AM205"/>
    </row>
    <row r="206" spans="1:39" s="11" customFormat="1" ht="30" customHeight="1" x14ac:dyDescent="0.3">
      <c r="A206" s="26" t="str">
        <f t="shared" si="6"/>
        <v>2027중앙대</v>
      </c>
      <c r="B206" s="26">
        <f>COUNTIFS($A$4:A206,A206)</f>
        <v>9</v>
      </c>
      <c r="C206" s="26" t="str">
        <f t="shared" si="7"/>
        <v>2027중앙대9</v>
      </c>
      <c r="D206" s="3"/>
      <c r="E206" s="26" t="s">
        <v>129</v>
      </c>
      <c r="F206" s="26" t="s">
        <v>17</v>
      </c>
      <c r="G206" s="3"/>
      <c r="H206" s="28" t="s">
        <v>130</v>
      </c>
      <c r="I206" s="28">
        <v>2027</v>
      </c>
      <c r="J206" s="28" t="s">
        <v>19</v>
      </c>
      <c r="K206" s="28" t="s">
        <v>143</v>
      </c>
      <c r="L206" s="28" t="s">
        <v>24</v>
      </c>
      <c r="M206" s="28" t="s">
        <v>22</v>
      </c>
      <c r="N206" s="29" t="s">
        <v>135</v>
      </c>
      <c r="O206" s="28" t="s">
        <v>33</v>
      </c>
      <c r="P206" s="28" t="s">
        <v>33</v>
      </c>
      <c r="Q206" s="32" t="s">
        <v>144</v>
      </c>
      <c r="R206" s="30"/>
      <c r="S206" s="10"/>
      <c r="AE206"/>
      <c r="AF206"/>
      <c r="AG206"/>
      <c r="AH206"/>
      <c r="AI206"/>
      <c r="AJ206"/>
      <c r="AK206"/>
      <c r="AL206"/>
      <c r="AM206"/>
    </row>
    <row r="207" spans="1:39" s="11" customFormat="1" ht="84" x14ac:dyDescent="0.3">
      <c r="A207" s="26" t="str">
        <f t="shared" si="6"/>
        <v>2027중앙대</v>
      </c>
      <c r="B207" s="26">
        <f>COUNTIFS($A$4:A207,A207)</f>
        <v>10</v>
      </c>
      <c r="C207" s="26" t="str">
        <f t="shared" si="7"/>
        <v>2027중앙대10</v>
      </c>
      <c r="D207" s="3"/>
      <c r="E207" s="26" t="s">
        <v>129</v>
      </c>
      <c r="F207" s="26" t="s">
        <v>17</v>
      </c>
      <c r="G207" s="3"/>
      <c r="H207" s="28" t="s">
        <v>130</v>
      </c>
      <c r="I207" s="28">
        <v>2027</v>
      </c>
      <c r="J207" s="28" t="s">
        <v>19</v>
      </c>
      <c r="K207" s="28" t="s">
        <v>143</v>
      </c>
      <c r="L207" s="28" t="s">
        <v>24</v>
      </c>
      <c r="M207" s="28" t="s">
        <v>42</v>
      </c>
      <c r="N207" s="29" t="s">
        <v>137</v>
      </c>
      <c r="O207" s="28" t="s">
        <v>33</v>
      </c>
      <c r="P207" s="28" t="s">
        <v>33</v>
      </c>
      <c r="Q207" s="32" t="s">
        <v>144</v>
      </c>
      <c r="R207" s="30"/>
      <c r="S207" s="10"/>
      <c r="AE207"/>
      <c r="AF207"/>
      <c r="AG207"/>
      <c r="AH207"/>
      <c r="AI207"/>
      <c r="AJ207"/>
      <c r="AK207"/>
      <c r="AL207"/>
      <c r="AM207"/>
    </row>
    <row r="208" spans="1:39" s="11" customFormat="1" ht="30" customHeight="1" x14ac:dyDescent="0.3">
      <c r="A208" s="26" t="str">
        <f t="shared" si="6"/>
        <v>2027중앙대</v>
      </c>
      <c r="B208" s="26">
        <f>COUNTIFS($A$4:A208,A208)</f>
        <v>11</v>
      </c>
      <c r="C208" s="26" t="str">
        <f t="shared" si="7"/>
        <v>2027중앙대11</v>
      </c>
      <c r="D208" s="3"/>
      <c r="E208" s="26" t="s">
        <v>129</v>
      </c>
      <c r="F208" s="26" t="s">
        <v>17</v>
      </c>
      <c r="G208" s="3"/>
      <c r="H208" s="28" t="s">
        <v>130</v>
      </c>
      <c r="I208" s="28">
        <v>2027</v>
      </c>
      <c r="J208" s="28" t="s">
        <v>50</v>
      </c>
      <c r="K208" s="28" t="s">
        <v>145</v>
      </c>
      <c r="L208" s="28" t="s">
        <v>21</v>
      </c>
      <c r="M208" s="28" t="s">
        <v>22</v>
      </c>
      <c r="N208" s="29" t="s">
        <v>136</v>
      </c>
      <c r="O208" s="28" t="s">
        <v>22</v>
      </c>
      <c r="P208" s="28" t="s">
        <v>22</v>
      </c>
      <c r="Q208" s="32"/>
      <c r="R208" s="30"/>
      <c r="S208" s="10"/>
      <c r="AE208"/>
      <c r="AF208"/>
      <c r="AG208"/>
      <c r="AH208"/>
      <c r="AI208"/>
      <c r="AJ208"/>
      <c r="AK208"/>
      <c r="AL208"/>
      <c r="AM208"/>
    </row>
    <row r="209" spans="1:39" s="11" customFormat="1" ht="30" customHeight="1" x14ac:dyDescent="0.3">
      <c r="A209" s="26" t="str">
        <f t="shared" si="6"/>
        <v>2027중앙대</v>
      </c>
      <c r="B209" s="26">
        <f>COUNTIFS($A$4:A209,A209)</f>
        <v>12</v>
      </c>
      <c r="C209" s="26" t="str">
        <f t="shared" si="7"/>
        <v>2027중앙대12</v>
      </c>
      <c r="D209" s="3"/>
      <c r="E209" s="26" t="s">
        <v>129</v>
      </c>
      <c r="F209" s="26" t="s">
        <v>17</v>
      </c>
      <c r="G209" s="3"/>
      <c r="H209" s="33" t="s">
        <v>130</v>
      </c>
      <c r="I209" s="33">
        <v>2027</v>
      </c>
      <c r="J209" s="33" t="s">
        <v>50</v>
      </c>
      <c r="K209" s="33" t="s">
        <v>145</v>
      </c>
      <c r="L209" s="33" t="s">
        <v>24</v>
      </c>
      <c r="M209" s="33" t="s">
        <v>22</v>
      </c>
      <c r="N209" s="29" t="s">
        <v>136</v>
      </c>
      <c r="O209" s="33" t="s">
        <v>22</v>
      </c>
      <c r="P209" s="33" t="s">
        <v>22</v>
      </c>
      <c r="Q209" s="35"/>
      <c r="R209" s="36"/>
      <c r="S209" s="10"/>
      <c r="AE209"/>
      <c r="AF209"/>
      <c r="AG209"/>
      <c r="AH209"/>
      <c r="AI209"/>
      <c r="AJ209"/>
      <c r="AK209"/>
      <c r="AL209"/>
      <c r="AM209"/>
    </row>
    <row r="210" spans="1:39" s="11" customFormat="1" ht="84" x14ac:dyDescent="0.3">
      <c r="A210" s="26" t="str">
        <f t="shared" si="6"/>
        <v>2027중앙대</v>
      </c>
      <c r="B210" s="26">
        <f>COUNTIFS($A$4:A210,A210)</f>
        <v>13</v>
      </c>
      <c r="C210" s="26" t="str">
        <f t="shared" si="7"/>
        <v>2027중앙대13</v>
      </c>
      <c r="D210" s="3"/>
      <c r="E210" s="26" t="s">
        <v>129</v>
      </c>
      <c r="F210" s="26" t="s">
        <v>17</v>
      </c>
      <c r="G210" s="3"/>
      <c r="H210" s="28" t="s">
        <v>130</v>
      </c>
      <c r="I210" s="28">
        <v>2027</v>
      </c>
      <c r="J210" s="28" t="s">
        <v>50</v>
      </c>
      <c r="K210" s="28" t="s">
        <v>145</v>
      </c>
      <c r="L210" s="28" t="s">
        <v>24</v>
      </c>
      <c r="M210" s="28" t="s">
        <v>42</v>
      </c>
      <c r="N210" s="29" t="s">
        <v>137</v>
      </c>
      <c r="O210" s="28" t="s">
        <v>22</v>
      </c>
      <c r="P210" s="28" t="s">
        <v>22</v>
      </c>
      <c r="Q210" s="32"/>
      <c r="R210" s="30"/>
      <c r="S210" s="10"/>
      <c r="AE210"/>
      <c r="AF210"/>
      <c r="AG210"/>
      <c r="AH210"/>
      <c r="AI210"/>
      <c r="AJ210"/>
      <c r="AK210"/>
      <c r="AL210"/>
      <c r="AM210"/>
    </row>
    <row r="211" spans="1:39" ht="30" customHeight="1" x14ac:dyDescent="0.3">
      <c r="A211" s="26" t="str">
        <f t="shared" si="6"/>
        <v>2027중앙대</v>
      </c>
      <c r="B211" s="26">
        <f>COUNTIFS($A$4:A211,A211)</f>
        <v>14</v>
      </c>
      <c r="C211" s="26" t="str">
        <f t="shared" si="7"/>
        <v>2027중앙대14</v>
      </c>
      <c r="E211" s="26" t="s">
        <v>129</v>
      </c>
      <c r="F211" s="26" t="s">
        <v>17</v>
      </c>
      <c r="H211" s="27" t="s">
        <v>130</v>
      </c>
      <c r="I211" s="27">
        <v>2027</v>
      </c>
      <c r="J211" s="27" t="s">
        <v>50</v>
      </c>
      <c r="K211" s="28" t="s">
        <v>146</v>
      </c>
      <c r="L211" s="28" t="s">
        <v>21</v>
      </c>
      <c r="M211" s="28" t="s">
        <v>22</v>
      </c>
      <c r="N211" s="29" t="s">
        <v>33</v>
      </c>
      <c r="O211" s="28" t="s">
        <v>22</v>
      </c>
      <c r="P211" s="28" t="s">
        <v>22</v>
      </c>
      <c r="Q211" s="30" t="s">
        <v>144</v>
      </c>
      <c r="R211" s="30"/>
    </row>
    <row r="212" spans="1:39" ht="30" customHeight="1" x14ac:dyDescent="0.3">
      <c r="A212" s="26" t="str">
        <f t="shared" si="6"/>
        <v>2027중앙대</v>
      </c>
      <c r="B212" s="26">
        <f>COUNTIFS($A$4:A212,A212)</f>
        <v>15</v>
      </c>
      <c r="C212" s="26" t="str">
        <f t="shared" si="7"/>
        <v>2027중앙대15</v>
      </c>
      <c r="E212" s="26" t="s">
        <v>129</v>
      </c>
      <c r="F212" s="26" t="s">
        <v>17</v>
      </c>
      <c r="H212" s="27" t="s">
        <v>130</v>
      </c>
      <c r="I212" s="27">
        <v>2027</v>
      </c>
      <c r="J212" s="27" t="s">
        <v>50</v>
      </c>
      <c r="K212" s="28" t="s">
        <v>146</v>
      </c>
      <c r="L212" s="28" t="s">
        <v>24</v>
      </c>
      <c r="M212" s="28" t="s">
        <v>33</v>
      </c>
      <c r="N212" s="29" t="s">
        <v>33</v>
      </c>
      <c r="O212" s="28" t="s">
        <v>33</v>
      </c>
      <c r="P212" s="28" t="s">
        <v>33</v>
      </c>
      <c r="Q212" s="30" t="s">
        <v>144</v>
      </c>
      <c r="R212" s="30"/>
    </row>
    <row r="213" spans="1:39" ht="30" customHeight="1" x14ac:dyDescent="0.3">
      <c r="A213" s="26" t="str">
        <f t="shared" si="6"/>
        <v>2027중앙대</v>
      </c>
      <c r="B213" s="26">
        <f>COUNTIFS($A$4:A213,A213)</f>
        <v>16</v>
      </c>
      <c r="C213" s="26" t="str">
        <f t="shared" si="7"/>
        <v>2027중앙대16</v>
      </c>
      <c r="E213" s="26" t="s">
        <v>129</v>
      </c>
      <c r="F213" s="26" t="s">
        <v>17</v>
      </c>
      <c r="H213" s="27" t="s">
        <v>130</v>
      </c>
      <c r="I213" s="27">
        <v>2027</v>
      </c>
      <c r="J213" s="27" t="s">
        <v>50</v>
      </c>
      <c r="K213" s="28" t="s">
        <v>146</v>
      </c>
      <c r="L213" s="28" t="s">
        <v>24</v>
      </c>
      <c r="M213" s="28" t="s">
        <v>42</v>
      </c>
      <c r="N213" s="29" t="s">
        <v>147</v>
      </c>
      <c r="O213" s="28" t="s">
        <v>22</v>
      </c>
      <c r="P213" s="28" t="s">
        <v>22</v>
      </c>
      <c r="Q213" s="30" t="s">
        <v>144</v>
      </c>
      <c r="R213" s="30"/>
    </row>
    <row r="214" spans="1:39" ht="30" customHeight="1" x14ac:dyDescent="0.3">
      <c r="A214" s="26" t="str">
        <f t="shared" si="6"/>
        <v>2025중앙대(다빈치)</v>
      </c>
      <c r="B214" s="26">
        <f>COUNTIFS($A$4:A214,A214)</f>
        <v>1</v>
      </c>
      <c r="C214" s="26" t="str">
        <f t="shared" si="7"/>
        <v>2025중앙대(다빈치)1</v>
      </c>
      <c r="E214" s="39" t="s">
        <v>148</v>
      </c>
      <c r="F214" s="26" t="s">
        <v>17</v>
      </c>
      <c r="H214" s="27" t="s">
        <v>149</v>
      </c>
      <c r="I214" s="27">
        <v>2025</v>
      </c>
      <c r="J214" s="27" t="s">
        <v>38</v>
      </c>
      <c r="K214" s="28" t="s">
        <v>20</v>
      </c>
      <c r="L214" s="28" t="s">
        <v>24</v>
      </c>
      <c r="M214" s="28" t="s">
        <v>22</v>
      </c>
      <c r="N214" s="29" t="s">
        <v>33</v>
      </c>
      <c r="O214" s="28" t="s">
        <v>33</v>
      </c>
      <c r="P214" s="28" t="s">
        <v>33</v>
      </c>
      <c r="Q214" s="30"/>
      <c r="R214" s="30"/>
    </row>
    <row r="215" spans="1:39" ht="30" customHeight="1" x14ac:dyDescent="0.3">
      <c r="A215" s="26" t="str">
        <f t="shared" si="6"/>
        <v>2025중앙대(다빈치)</v>
      </c>
      <c r="B215" s="26">
        <f>COUNTIFS($A$4:A215,A215)</f>
        <v>2</v>
      </c>
      <c r="C215" s="26" t="str">
        <f t="shared" si="7"/>
        <v>2025중앙대(다빈치)2</v>
      </c>
      <c r="E215" s="39" t="s">
        <v>148</v>
      </c>
      <c r="F215" s="26" t="s">
        <v>17</v>
      </c>
      <c r="H215" s="27" t="s">
        <v>149</v>
      </c>
      <c r="I215" s="27">
        <v>2025</v>
      </c>
      <c r="J215" s="27" t="s">
        <v>19</v>
      </c>
      <c r="K215" s="28" t="s">
        <v>133</v>
      </c>
      <c r="L215" s="28" t="s">
        <v>24</v>
      </c>
      <c r="M215" s="28" t="s">
        <v>22</v>
      </c>
      <c r="N215" s="29" t="s">
        <v>33</v>
      </c>
      <c r="O215" s="28" t="s">
        <v>33</v>
      </c>
      <c r="P215" s="28" t="s">
        <v>33</v>
      </c>
      <c r="Q215" s="30"/>
      <c r="R215" s="30"/>
    </row>
    <row r="216" spans="1:39" s="11" customFormat="1" ht="30" customHeight="1" x14ac:dyDescent="0.3">
      <c r="A216" s="26" t="str">
        <f t="shared" si="6"/>
        <v>2025중앙대(다빈치)</v>
      </c>
      <c r="B216" s="26">
        <f>COUNTIFS($A$4:A216,A216)</f>
        <v>3</v>
      </c>
      <c r="C216" s="26" t="str">
        <f t="shared" si="7"/>
        <v>2025중앙대(다빈치)3</v>
      </c>
      <c r="D216" s="3"/>
      <c r="E216" s="39" t="s">
        <v>148</v>
      </c>
      <c r="F216" s="26" t="s">
        <v>17</v>
      </c>
      <c r="G216" s="3"/>
      <c r="H216" s="27" t="s">
        <v>149</v>
      </c>
      <c r="I216" s="27">
        <v>2025</v>
      </c>
      <c r="J216" s="27" t="s">
        <v>19</v>
      </c>
      <c r="K216" s="28" t="s">
        <v>134</v>
      </c>
      <c r="L216" s="28" t="s">
        <v>24</v>
      </c>
      <c r="M216" s="28" t="s">
        <v>22</v>
      </c>
      <c r="N216" s="29" t="s">
        <v>33</v>
      </c>
      <c r="O216" s="28" t="s">
        <v>33</v>
      </c>
      <c r="P216" s="28" t="s">
        <v>33</v>
      </c>
      <c r="Q216" s="30"/>
      <c r="R216" s="30"/>
      <c r="S216" s="10"/>
      <c r="AE216"/>
      <c r="AF216"/>
      <c r="AG216"/>
      <c r="AH216"/>
      <c r="AI216"/>
      <c r="AJ216"/>
      <c r="AK216"/>
      <c r="AL216"/>
      <c r="AM216"/>
    </row>
    <row r="217" spans="1:39" s="11" customFormat="1" ht="30" customHeight="1" x14ac:dyDescent="0.3">
      <c r="A217" s="26" t="str">
        <f t="shared" si="6"/>
        <v>2025중앙대(다빈치)</v>
      </c>
      <c r="B217" s="26">
        <f>COUNTIFS($A$4:A217,A217)</f>
        <v>4</v>
      </c>
      <c r="C217" s="26" t="str">
        <f t="shared" si="7"/>
        <v>2025중앙대(다빈치)4</v>
      </c>
      <c r="D217" s="3"/>
      <c r="E217" s="39" t="s">
        <v>148</v>
      </c>
      <c r="F217" s="26" t="s">
        <v>17</v>
      </c>
      <c r="G217" s="3"/>
      <c r="H217" s="27" t="s">
        <v>149</v>
      </c>
      <c r="I217" s="27">
        <v>2025</v>
      </c>
      <c r="J217" s="27" t="s">
        <v>50</v>
      </c>
      <c r="K217" s="28" t="s">
        <v>50</v>
      </c>
      <c r="L217" s="28" t="s">
        <v>24</v>
      </c>
      <c r="M217" s="28" t="s">
        <v>22</v>
      </c>
      <c r="N217" s="29" t="s">
        <v>150</v>
      </c>
      <c r="O217" s="28" t="s">
        <v>33</v>
      </c>
      <c r="P217" s="28" t="s">
        <v>33</v>
      </c>
      <c r="Q217" s="30"/>
      <c r="R217" s="32"/>
      <c r="S217" s="10"/>
      <c r="AE217"/>
      <c r="AF217"/>
      <c r="AG217"/>
      <c r="AH217"/>
      <c r="AI217"/>
      <c r="AJ217"/>
      <c r="AK217"/>
      <c r="AL217"/>
      <c r="AM217"/>
    </row>
    <row r="218" spans="1:39" s="11" customFormat="1" ht="30" customHeight="1" x14ac:dyDescent="0.3">
      <c r="A218" s="26" t="str">
        <f t="shared" si="6"/>
        <v>2026중앙대(다빈치)</v>
      </c>
      <c r="B218" s="26">
        <f>COUNTIFS($A$4:A218,A218)</f>
        <v>1</v>
      </c>
      <c r="C218" s="26" t="str">
        <f t="shared" si="7"/>
        <v>2026중앙대(다빈치)1</v>
      </c>
      <c r="D218" s="3"/>
      <c r="E218" s="39" t="s">
        <v>148</v>
      </c>
      <c r="F218" s="26" t="s">
        <v>17</v>
      </c>
      <c r="G218" s="3"/>
      <c r="H218" s="27" t="s">
        <v>149</v>
      </c>
      <c r="I218" s="27">
        <v>2026</v>
      </c>
      <c r="J218" s="27" t="s">
        <v>38</v>
      </c>
      <c r="K218" s="28" t="s">
        <v>20</v>
      </c>
      <c r="L218" s="28" t="s">
        <v>24</v>
      </c>
      <c r="M218" s="28" t="s">
        <v>22</v>
      </c>
      <c r="N218" s="29" t="s">
        <v>33</v>
      </c>
      <c r="O218" s="28" t="s">
        <v>33</v>
      </c>
      <c r="P218" s="28" t="s">
        <v>33</v>
      </c>
      <c r="Q218" s="30"/>
      <c r="R218" s="30"/>
      <c r="S218" s="10"/>
      <c r="AE218"/>
      <c r="AF218"/>
      <c r="AG218"/>
      <c r="AH218"/>
      <c r="AI218"/>
      <c r="AJ218"/>
      <c r="AK218"/>
      <c r="AL218"/>
      <c r="AM218"/>
    </row>
    <row r="219" spans="1:39" s="11" customFormat="1" ht="30" customHeight="1" x14ac:dyDescent="0.3">
      <c r="A219" s="26" t="str">
        <f t="shared" si="6"/>
        <v>2026중앙대(다빈치)</v>
      </c>
      <c r="B219" s="26">
        <f>COUNTIFS($A$4:A219,A219)</f>
        <v>2</v>
      </c>
      <c r="C219" s="26" t="str">
        <f t="shared" si="7"/>
        <v>2026중앙대(다빈치)2</v>
      </c>
      <c r="D219" s="3"/>
      <c r="E219" s="39" t="s">
        <v>148</v>
      </c>
      <c r="F219" s="26" t="s">
        <v>17</v>
      </c>
      <c r="G219" s="3"/>
      <c r="H219" s="28" t="s">
        <v>149</v>
      </c>
      <c r="I219" s="28">
        <v>2026</v>
      </c>
      <c r="J219" s="28" t="s">
        <v>19</v>
      </c>
      <c r="K219" s="28" t="s">
        <v>133</v>
      </c>
      <c r="L219" s="28" t="s">
        <v>24</v>
      </c>
      <c r="M219" s="28" t="s">
        <v>22</v>
      </c>
      <c r="N219" s="29"/>
      <c r="O219" s="28" t="s">
        <v>33</v>
      </c>
      <c r="P219" s="28" t="s">
        <v>33</v>
      </c>
      <c r="Q219" s="30"/>
      <c r="R219" s="30"/>
      <c r="S219" s="10"/>
      <c r="AD219"/>
      <c r="AE219"/>
      <c r="AF219"/>
      <c r="AG219"/>
      <c r="AH219"/>
      <c r="AI219"/>
      <c r="AJ219"/>
      <c r="AK219"/>
      <c r="AL219"/>
    </row>
    <row r="220" spans="1:39" s="11" customFormat="1" ht="30" customHeight="1" x14ac:dyDescent="0.3">
      <c r="A220" s="26" t="str">
        <f t="shared" si="6"/>
        <v>2026중앙대(다빈치)</v>
      </c>
      <c r="B220" s="26">
        <f>COUNTIFS($A$4:A220,A220)</f>
        <v>3</v>
      </c>
      <c r="C220" s="26" t="str">
        <f t="shared" si="7"/>
        <v>2026중앙대(다빈치)3</v>
      </c>
      <c r="D220" s="3"/>
      <c r="E220" s="39" t="s">
        <v>148</v>
      </c>
      <c r="F220" s="26" t="s">
        <v>17</v>
      </c>
      <c r="G220" s="3"/>
      <c r="H220" s="28" t="s">
        <v>149</v>
      </c>
      <c r="I220" s="28">
        <v>2026</v>
      </c>
      <c r="J220" s="28" t="s">
        <v>19</v>
      </c>
      <c r="K220" s="28" t="s">
        <v>134</v>
      </c>
      <c r="L220" s="28" t="s">
        <v>24</v>
      </c>
      <c r="M220" s="28" t="s">
        <v>22</v>
      </c>
      <c r="N220" s="29" t="s">
        <v>33</v>
      </c>
      <c r="O220" s="28" t="s">
        <v>33</v>
      </c>
      <c r="P220" s="28" t="s">
        <v>33</v>
      </c>
      <c r="Q220" s="30"/>
      <c r="R220" s="30"/>
      <c r="S220" s="10"/>
      <c r="AE220"/>
      <c r="AF220"/>
      <c r="AG220"/>
      <c r="AH220"/>
      <c r="AI220"/>
      <c r="AJ220"/>
      <c r="AK220"/>
      <c r="AL220"/>
      <c r="AM220"/>
    </row>
    <row r="221" spans="1:39" s="10" customFormat="1" ht="30" customHeight="1" x14ac:dyDescent="0.3">
      <c r="A221" s="26" t="str">
        <f t="shared" si="6"/>
        <v>2026중앙대(다빈치)</v>
      </c>
      <c r="B221" s="26">
        <f>COUNTIFS($A$4:A221,A221)</f>
        <v>4</v>
      </c>
      <c r="C221" s="26" t="str">
        <f t="shared" si="7"/>
        <v>2026중앙대(다빈치)4</v>
      </c>
      <c r="D221" s="3"/>
      <c r="E221" s="39" t="s">
        <v>148</v>
      </c>
      <c r="F221" s="26" t="s">
        <v>17</v>
      </c>
      <c r="G221" s="3"/>
      <c r="H221" s="27" t="s">
        <v>149</v>
      </c>
      <c r="I221" s="27">
        <v>2026</v>
      </c>
      <c r="J221" s="27" t="s">
        <v>50</v>
      </c>
      <c r="K221" s="28" t="s">
        <v>50</v>
      </c>
      <c r="L221" s="28" t="s">
        <v>24</v>
      </c>
      <c r="M221" s="28" t="s">
        <v>22</v>
      </c>
      <c r="N221" s="29" t="s">
        <v>150</v>
      </c>
      <c r="O221" s="28" t="s">
        <v>33</v>
      </c>
      <c r="P221" s="28" t="s">
        <v>33</v>
      </c>
      <c r="Q221" s="30"/>
      <c r="R221" s="3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/>
      <c r="AF221"/>
      <c r="AG221"/>
      <c r="AH221"/>
      <c r="AI221"/>
      <c r="AJ221"/>
      <c r="AK221"/>
      <c r="AL221"/>
      <c r="AM221"/>
    </row>
    <row r="222" spans="1:39" s="10" customFormat="1" ht="30" customHeight="1" x14ac:dyDescent="0.3">
      <c r="A222" s="26" t="str">
        <f t="shared" si="6"/>
        <v>2027중앙대(다빈치)</v>
      </c>
      <c r="B222" s="26">
        <f>COUNTIFS($A$4:A222,A222)</f>
        <v>1</v>
      </c>
      <c r="C222" s="26" t="str">
        <f t="shared" si="7"/>
        <v>2027중앙대(다빈치)1</v>
      </c>
      <c r="D222" s="3"/>
      <c r="E222" s="39" t="s">
        <v>148</v>
      </c>
      <c r="F222" s="26" t="s">
        <v>17</v>
      </c>
      <c r="G222" s="3"/>
      <c r="H222" s="27" t="s">
        <v>149</v>
      </c>
      <c r="I222" s="27">
        <v>2027</v>
      </c>
      <c r="J222" s="27" t="s">
        <v>38</v>
      </c>
      <c r="K222" s="28" t="s">
        <v>20</v>
      </c>
      <c r="L222" s="28" t="s">
        <v>24</v>
      </c>
      <c r="M222" s="28" t="s">
        <v>22</v>
      </c>
      <c r="N222" s="29" t="s">
        <v>33</v>
      </c>
      <c r="O222" s="28" t="s">
        <v>33</v>
      </c>
      <c r="P222" s="28" t="s">
        <v>33</v>
      </c>
      <c r="Q222" s="30"/>
      <c r="R222" s="32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/>
      <c r="AF222"/>
      <c r="AG222"/>
      <c r="AH222"/>
      <c r="AI222"/>
      <c r="AJ222"/>
      <c r="AK222"/>
      <c r="AL222"/>
      <c r="AM222"/>
    </row>
    <row r="223" spans="1:39" s="10" customFormat="1" ht="30" customHeight="1" x14ac:dyDescent="0.3">
      <c r="A223" s="26" t="str">
        <f t="shared" si="6"/>
        <v>2026중앙대(다빈치)</v>
      </c>
      <c r="B223" s="26">
        <f>COUNTIFS($A$4:A223,A223)</f>
        <v>5</v>
      </c>
      <c r="C223" s="26" t="str">
        <f t="shared" si="7"/>
        <v>2026중앙대(다빈치)5</v>
      </c>
      <c r="D223" s="3"/>
      <c r="E223" s="39" t="s">
        <v>148</v>
      </c>
      <c r="F223" s="26" t="s">
        <v>17</v>
      </c>
      <c r="G223" s="3"/>
      <c r="H223" s="28" t="s">
        <v>149</v>
      </c>
      <c r="I223" s="28">
        <v>2026</v>
      </c>
      <c r="J223" s="28" t="s">
        <v>19</v>
      </c>
      <c r="K223" s="28" t="s">
        <v>140</v>
      </c>
      <c r="L223" s="28" t="s">
        <v>24</v>
      </c>
      <c r="M223" s="28" t="s">
        <v>22</v>
      </c>
      <c r="N223" s="29" t="s">
        <v>22</v>
      </c>
      <c r="O223" s="28" t="s">
        <v>33</v>
      </c>
      <c r="P223" s="28" t="s">
        <v>33</v>
      </c>
      <c r="Q223" s="30"/>
      <c r="R223" s="32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/>
      <c r="AF223"/>
      <c r="AG223"/>
      <c r="AH223"/>
      <c r="AI223"/>
      <c r="AJ223"/>
      <c r="AK223"/>
      <c r="AL223"/>
      <c r="AM223"/>
    </row>
    <row r="224" spans="1:39" s="10" customFormat="1" ht="30" customHeight="1" x14ac:dyDescent="0.3">
      <c r="A224" s="26" t="str">
        <f t="shared" si="6"/>
        <v>2026중앙대(다빈치)</v>
      </c>
      <c r="B224" s="26">
        <f>COUNTIFS($A$4:A224,A224)</f>
        <v>6</v>
      </c>
      <c r="C224" s="26" t="str">
        <f t="shared" si="7"/>
        <v>2026중앙대(다빈치)6</v>
      </c>
      <c r="D224" s="3"/>
      <c r="E224" s="39" t="s">
        <v>148</v>
      </c>
      <c r="F224" s="26" t="s">
        <v>17</v>
      </c>
      <c r="G224" s="3"/>
      <c r="H224" s="28" t="s">
        <v>149</v>
      </c>
      <c r="I224" s="28">
        <v>2026</v>
      </c>
      <c r="J224" s="28" t="s">
        <v>19</v>
      </c>
      <c r="K224" s="28" t="s">
        <v>142</v>
      </c>
      <c r="L224" s="28" t="s">
        <v>24</v>
      </c>
      <c r="M224" s="28" t="s">
        <v>22</v>
      </c>
      <c r="N224" s="29" t="s">
        <v>22</v>
      </c>
      <c r="O224" s="28" t="s">
        <v>33</v>
      </c>
      <c r="P224" s="28" t="s">
        <v>33</v>
      </c>
      <c r="Q224" s="30"/>
      <c r="R224" s="32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/>
      <c r="AF224"/>
      <c r="AG224"/>
      <c r="AH224"/>
      <c r="AI224"/>
      <c r="AJ224"/>
      <c r="AK224"/>
      <c r="AL224"/>
      <c r="AM224"/>
    </row>
    <row r="225" spans="1:39" s="10" customFormat="1" ht="30" customHeight="1" x14ac:dyDescent="0.3">
      <c r="A225" s="26" t="str">
        <f t="shared" si="6"/>
        <v>2027중앙대(다빈치)</v>
      </c>
      <c r="B225" s="26">
        <f>COUNTIFS($A$4:A225,A225)</f>
        <v>2</v>
      </c>
      <c r="C225" s="26" t="str">
        <f t="shared" si="7"/>
        <v>2027중앙대(다빈치)2</v>
      </c>
      <c r="D225" s="3"/>
      <c r="E225" s="39" t="s">
        <v>148</v>
      </c>
      <c r="F225" s="26" t="s">
        <v>17</v>
      </c>
      <c r="G225" s="3"/>
      <c r="H225" s="27" t="s">
        <v>149</v>
      </c>
      <c r="I225" s="27">
        <v>2027</v>
      </c>
      <c r="J225" s="27" t="s">
        <v>50</v>
      </c>
      <c r="K225" s="28" t="s">
        <v>145</v>
      </c>
      <c r="L225" s="28" t="s">
        <v>24</v>
      </c>
      <c r="M225" s="28" t="s">
        <v>22</v>
      </c>
      <c r="N225" s="29" t="s">
        <v>33</v>
      </c>
      <c r="O225" s="28" t="s">
        <v>33</v>
      </c>
      <c r="P225" s="28" t="s">
        <v>33</v>
      </c>
      <c r="Q225" s="30" t="s">
        <v>72</v>
      </c>
      <c r="R225" s="3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/>
      <c r="AF225"/>
      <c r="AG225"/>
      <c r="AH225"/>
      <c r="AI225"/>
      <c r="AJ225"/>
      <c r="AK225"/>
      <c r="AL225"/>
      <c r="AM225"/>
    </row>
    <row r="226" spans="1:39" s="10" customFormat="1" ht="30" customHeight="1" x14ac:dyDescent="0.3">
      <c r="A226" s="26" t="str">
        <f t="shared" si="6"/>
        <v>2025경희대</v>
      </c>
      <c r="B226" s="26">
        <f>COUNTIFS($A$4:A226,A226)</f>
        <v>1</v>
      </c>
      <c r="C226" s="26" t="str">
        <f t="shared" si="7"/>
        <v>2025경희대1</v>
      </c>
      <c r="D226" s="3"/>
      <c r="E226" s="26" t="s">
        <v>129</v>
      </c>
      <c r="F226" s="26" t="s">
        <v>17</v>
      </c>
      <c r="G226" s="3"/>
      <c r="H226" s="28" t="s">
        <v>151</v>
      </c>
      <c r="I226" s="28">
        <v>2025</v>
      </c>
      <c r="J226" s="28" t="s">
        <v>38</v>
      </c>
      <c r="K226" s="28" t="s">
        <v>20</v>
      </c>
      <c r="L226" s="28" t="s">
        <v>21</v>
      </c>
      <c r="M226" s="28" t="s">
        <v>22</v>
      </c>
      <c r="N226" s="29" t="s">
        <v>152</v>
      </c>
      <c r="O226" s="28" t="s">
        <v>33</v>
      </c>
      <c r="P226" s="28" t="s">
        <v>33</v>
      </c>
      <c r="Q226" s="30"/>
      <c r="R226" s="32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/>
      <c r="AF226"/>
      <c r="AG226"/>
      <c r="AH226"/>
      <c r="AI226"/>
      <c r="AJ226"/>
      <c r="AK226"/>
      <c r="AL226"/>
      <c r="AM226"/>
    </row>
    <row r="227" spans="1:39" s="10" customFormat="1" ht="30" customHeight="1" x14ac:dyDescent="0.3">
      <c r="A227" s="26" t="str">
        <f t="shared" si="6"/>
        <v>2026경희대</v>
      </c>
      <c r="B227" s="26">
        <f>COUNTIFS($A$4:A227,A227)</f>
        <v>1</v>
      </c>
      <c r="C227" s="26" t="str">
        <f t="shared" si="7"/>
        <v>2026경희대1</v>
      </c>
      <c r="D227" s="3"/>
      <c r="E227" s="26" t="s">
        <v>129</v>
      </c>
      <c r="F227" s="26" t="s">
        <v>17</v>
      </c>
      <c r="G227" s="3"/>
      <c r="H227" s="27" t="s">
        <v>151</v>
      </c>
      <c r="I227" s="27">
        <v>2026</v>
      </c>
      <c r="J227" s="27" t="s">
        <v>38</v>
      </c>
      <c r="K227" s="28" t="s">
        <v>20</v>
      </c>
      <c r="L227" s="28" t="s">
        <v>21</v>
      </c>
      <c r="M227" s="28" t="s">
        <v>42</v>
      </c>
      <c r="N227" s="29" t="s">
        <v>153</v>
      </c>
      <c r="O227" s="28"/>
      <c r="P227" s="28"/>
      <c r="Q227" s="30"/>
      <c r="R227" s="32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/>
      <c r="AF227"/>
      <c r="AG227"/>
      <c r="AH227"/>
      <c r="AI227"/>
      <c r="AJ227"/>
      <c r="AK227"/>
      <c r="AL227"/>
      <c r="AM227"/>
    </row>
    <row r="228" spans="1:39" s="10" customFormat="1" ht="30" customHeight="1" x14ac:dyDescent="0.3">
      <c r="A228" s="26" t="str">
        <f t="shared" si="6"/>
        <v>2025경희대</v>
      </c>
      <c r="B228" s="26">
        <f>COUNTIFS($A$4:A228,A228)</f>
        <v>2</v>
      </c>
      <c r="C228" s="26" t="str">
        <f t="shared" si="7"/>
        <v>2025경희대2</v>
      </c>
      <c r="D228" s="3"/>
      <c r="E228" s="26" t="s">
        <v>129</v>
      </c>
      <c r="F228" s="26" t="s">
        <v>17</v>
      </c>
      <c r="G228" s="3"/>
      <c r="H228" s="27" t="s">
        <v>151</v>
      </c>
      <c r="I228" s="27">
        <v>2025</v>
      </c>
      <c r="J228" s="27" t="s">
        <v>38</v>
      </c>
      <c r="K228" s="28" t="s">
        <v>20</v>
      </c>
      <c r="L228" s="28" t="s">
        <v>24</v>
      </c>
      <c r="M228" s="28" t="s">
        <v>22</v>
      </c>
      <c r="N228" s="29" t="s">
        <v>152</v>
      </c>
      <c r="O228" s="28" t="s">
        <v>33</v>
      </c>
      <c r="P228" s="28" t="s">
        <v>33</v>
      </c>
      <c r="Q228" s="30"/>
      <c r="R228" s="3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/>
      <c r="AF228"/>
      <c r="AG228"/>
      <c r="AH228"/>
      <c r="AI228"/>
      <c r="AJ228"/>
      <c r="AK228"/>
      <c r="AL228"/>
      <c r="AM228"/>
    </row>
    <row r="229" spans="1:39" s="10" customFormat="1" ht="30" customHeight="1" x14ac:dyDescent="0.3">
      <c r="A229" s="26" t="str">
        <f t="shared" si="6"/>
        <v>2025경희대</v>
      </c>
      <c r="B229" s="26">
        <f>COUNTIFS($A$4:A229,A229)</f>
        <v>3</v>
      </c>
      <c r="C229" s="26" t="str">
        <f t="shared" si="7"/>
        <v>2025경희대3</v>
      </c>
      <c r="D229" s="3"/>
      <c r="E229" s="26" t="s">
        <v>129</v>
      </c>
      <c r="F229" s="26" t="s">
        <v>17</v>
      </c>
      <c r="G229" s="3"/>
      <c r="H229" s="27" t="s">
        <v>151</v>
      </c>
      <c r="I229" s="27">
        <v>2025</v>
      </c>
      <c r="J229" s="27" t="s">
        <v>38</v>
      </c>
      <c r="K229" s="28" t="s">
        <v>20</v>
      </c>
      <c r="L229" s="28" t="s">
        <v>24</v>
      </c>
      <c r="M229" s="28" t="s">
        <v>42</v>
      </c>
      <c r="N229" s="29" t="s">
        <v>154</v>
      </c>
      <c r="O229" s="28" t="s">
        <v>33</v>
      </c>
      <c r="P229" s="28" t="s">
        <v>33</v>
      </c>
      <c r="Q229" s="30"/>
      <c r="R229" s="3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/>
      <c r="AF229"/>
      <c r="AG229"/>
      <c r="AH229"/>
      <c r="AI229"/>
      <c r="AJ229"/>
      <c r="AK229"/>
      <c r="AL229"/>
      <c r="AM229"/>
    </row>
    <row r="230" spans="1:39" s="10" customFormat="1" ht="30" customHeight="1" x14ac:dyDescent="0.3">
      <c r="A230" s="26" t="str">
        <f t="shared" si="6"/>
        <v>2025경희대</v>
      </c>
      <c r="B230" s="26">
        <f>COUNTIFS($A$4:A230,A230)</f>
        <v>4</v>
      </c>
      <c r="C230" s="26" t="str">
        <f t="shared" si="7"/>
        <v>2025경희대4</v>
      </c>
      <c r="D230" s="3"/>
      <c r="E230" s="26" t="s">
        <v>129</v>
      </c>
      <c r="F230" s="26" t="s">
        <v>17</v>
      </c>
      <c r="G230" s="3"/>
      <c r="H230" s="27" t="s">
        <v>151</v>
      </c>
      <c r="I230" s="27">
        <v>2025</v>
      </c>
      <c r="J230" s="27" t="s">
        <v>19</v>
      </c>
      <c r="K230" s="28" t="s">
        <v>155</v>
      </c>
      <c r="L230" s="28" t="s">
        <v>21</v>
      </c>
      <c r="M230" s="28" t="s">
        <v>22</v>
      </c>
      <c r="N230" s="29" t="s">
        <v>33</v>
      </c>
      <c r="O230" s="28" t="s">
        <v>33</v>
      </c>
      <c r="P230" s="28" t="s">
        <v>33</v>
      </c>
      <c r="Q230" s="30"/>
      <c r="R230" s="32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/>
      <c r="AF230"/>
      <c r="AG230"/>
      <c r="AH230"/>
      <c r="AI230"/>
      <c r="AJ230"/>
      <c r="AK230"/>
      <c r="AL230"/>
      <c r="AM230"/>
    </row>
    <row r="231" spans="1:39" s="10" customFormat="1" ht="30" customHeight="1" x14ac:dyDescent="0.3">
      <c r="A231" s="26" t="str">
        <f t="shared" si="6"/>
        <v>2025경희대</v>
      </c>
      <c r="B231" s="26">
        <f>COUNTIFS($A$4:A231,A231)</f>
        <v>5</v>
      </c>
      <c r="C231" s="26" t="str">
        <f t="shared" si="7"/>
        <v>2025경희대5</v>
      </c>
      <c r="D231" s="3"/>
      <c r="E231" s="26" t="s">
        <v>129</v>
      </c>
      <c r="F231" s="26" t="s">
        <v>17</v>
      </c>
      <c r="G231" s="3"/>
      <c r="H231" s="27" t="s">
        <v>151</v>
      </c>
      <c r="I231" s="27">
        <v>2025</v>
      </c>
      <c r="J231" s="27" t="s">
        <v>19</v>
      </c>
      <c r="K231" s="28" t="s">
        <v>155</v>
      </c>
      <c r="L231" s="28" t="s">
        <v>24</v>
      </c>
      <c r="M231" s="28" t="s">
        <v>22</v>
      </c>
      <c r="N231" s="29" t="s">
        <v>33</v>
      </c>
      <c r="O231" s="28" t="s">
        <v>33</v>
      </c>
      <c r="P231" s="28" t="s">
        <v>33</v>
      </c>
      <c r="Q231" s="30"/>
      <c r="R231" s="32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/>
      <c r="AF231"/>
      <c r="AG231"/>
      <c r="AH231"/>
      <c r="AI231"/>
      <c r="AJ231"/>
      <c r="AK231"/>
      <c r="AL231"/>
      <c r="AM231"/>
    </row>
    <row r="232" spans="1:39" s="10" customFormat="1" ht="30" customHeight="1" x14ac:dyDescent="0.3">
      <c r="A232" s="26" t="str">
        <f t="shared" si="6"/>
        <v>2025경희대</v>
      </c>
      <c r="B232" s="26">
        <f>COUNTIFS($A$4:A232,A232)</f>
        <v>6</v>
      </c>
      <c r="C232" s="26" t="str">
        <f t="shared" si="7"/>
        <v>2025경희대6</v>
      </c>
      <c r="D232" s="3"/>
      <c r="E232" s="26" t="s">
        <v>129</v>
      </c>
      <c r="F232" s="26" t="s">
        <v>17</v>
      </c>
      <c r="G232" s="3"/>
      <c r="H232" s="27" t="s">
        <v>151</v>
      </c>
      <c r="I232" s="27">
        <v>2025</v>
      </c>
      <c r="J232" s="27" t="s">
        <v>50</v>
      </c>
      <c r="K232" s="28" t="s">
        <v>156</v>
      </c>
      <c r="L232" s="28" t="s">
        <v>21</v>
      </c>
      <c r="M232" s="28" t="s">
        <v>22</v>
      </c>
      <c r="N232" s="29" t="s">
        <v>152</v>
      </c>
      <c r="O232" s="28" t="s">
        <v>33</v>
      </c>
      <c r="P232" s="28" t="s">
        <v>33</v>
      </c>
      <c r="Q232" s="30"/>
      <c r="R232" s="32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/>
      <c r="AF232"/>
      <c r="AG232"/>
      <c r="AH232"/>
      <c r="AI232"/>
      <c r="AJ232"/>
      <c r="AK232"/>
      <c r="AL232"/>
      <c r="AM232"/>
    </row>
    <row r="233" spans="1:39" s="10" customFormat="1" ht="30" customHeight="1" x14ac:dyDescent="0.3">
      <c r="A233" s="26" t="str">
        <f t="shared" si="6"/>
        <v>2025경희대</v>
      </c>
      <c r="B233" s="26">
        <f>COUNTIFS($A$4:A233,A233)</f>
        <v>7</v>
      </c>
      <c r="C233" s="26" t="str">
        <f t="shared" si="7"/>
        <v>2025경희대7</v>
      </c>
      <c r="D233" s="3"/>
      <c r="E233" s="26" t="s">
        <v>129</v>
      </c>
      <c r="F233" s="26" t="s">
        <v>17</v>
      </c>
      <c r="G233" s="3"/>
      <c r="H233" s="28" t="s">
        <v>151</v>
      </c>
      <c r="I233" s="27">
        <v>2025</v>
      </c>
      <c r="J233" s="27" t="s">
        <v>50</v>
      </c>
      <c r="K233" s="28" t="s">
        <v>156</v>
      </c>
      <c r="L233" s="28" t="s">
        <v>21</v>
      </c>
      <c r="M233" s="28" t="s">
        <v>42</v>
      </c>
      <c r="N233" s="29" t="s">
        <v>153</v>
      </c>
      <c r="O233" s="28" t="s">
        <v>33</v>
      </c>
      <c r="P233" s="28" t="s">
        <v>33</v>
      </c>
      <c r="Q233" s="30"/>
      <c r="R233" s="3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/>
      <c r="AF233"/>
      <c r="AG233"/>
      <c r="AH233"/>
      <c r="AI233"/>
      <c r="AJ233"/>
      <c r="AK233"/>
      <c r="AL233"/>
      <c r="AM233"/>
    </row>
    <row r="234" spans="1:39" s="10" customFormat="1" ht="30" customHeight="1" x14ac:dyDescent="0.3">
      <c r="A234" s="26" t="str">
        <f t="shared" si="6"/>
        <v>2025경희대</v>
      </c>
      <c r="B234" s="26">
        <f>COUNTIFS($A$4:A234,A234)</f>
        <v>8</v>
      </c>
      <c r="C234" s="26" t="str">
        <f t="shared" si="7"/>
        <v>2025경희대8</v>
      </c>
      <c r="D234" s="3"/>
      <c r="E234" s="26" t="s">
        <v>129</v>
      </c>
      <c r="F234" s="26" t="s">
        <v>17</v>
      </c>
      <c r="G234" s="3"/>
      <c r="H234" s="28" t="s">
        <v>151</v>
      </c>
      <c r="I234" s="28">
        <v>2025</v>
      </c>
      <c r="J234" s="28" t="s">
        <v>50</v>
      </c>
      <c r="K234" s="28" t="s">
        <v>156</v>
      </c>
      <c r="L234" s="28" t="s">
        <v>24</v>
      </c>
      <c r="M234" s="28" t="s">
        <v>22</v>
      </c>
      <c r="N234" s="29" t="s">
        <v>152</v>
      </c>
      <c r="O234" s="28" t="s">
        <v>33</v>
      </c>
      <c r="P234" s="28" t="s">
        <v>33</v>
      </c>
      <c r="Q234" s="30"/>
      <c r="R234" s="3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/>
      <c r="AF234"/>
      <c r="AG234"/>
      <c r="AH234"/>
      <c r="AI234"/>
      <c r="AJ234"/>
      <c r="AK234"/>
      <c r="AL234"/>
      <c r="AM234"/>
    </row>
    <row r="235" spans="1:39" s="10" customFormat="1" ht="30" customHeight="1" x14ac:dyDescent="0.3">
      <c r="A235" s="26" t="str">
        <f t="shared" si="6"/>
        <v>2025경희대</v>
      </c>
      <c r="B235" s="26">
        <f>COUNTIFS($A$4:A235,A235)</f>
        <v>9</v>
      </c>
      <c r="C235" s="26" t="str">
        <f t="shared" si="7"/>
        <v>2025경희대9</v>
      </c>
      <c r="D235" s="3"/>
      <c r="E235" s="26" t="s">
        <v>129</v>
      </c>
      <c r="F235" s="26" t="s">
        <v>17</v>
      </c>
      <c r="G235" s="3"/>
      <c r="H235" s="28" t="s">
        <v>151</v>
      </c>
      <c r="I235" s="28">
        <v>2025</v>
      </c>
      <c r="J235" s="28" t="s">
        <v>50</v>
      </c>
      <c r="K235" s="28" t="s">
        <v>156</v>
      </c>
      <c r="L235" s="28" t="s">
        <v>24</v>
      </c>
      <c r="M235" s="28" t="s">
        <v>42</v>
      </c>
      <c r="N235" s="29" t="s">
        <v>154</v>
      </c>
      <c r="O235" s="28" t="s">
        <v>33</v>
      </c>
      <c r="P235" s="28" t="s">
        <v>33</v>
      </c>
      <c r="Q235" s="30"/>
      <c r="R235" s="3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/>
      <c r="AF235"/>
      <c r="AG235"/>
      <c r="AH235"/>
      <c r="AI235"/>
      <c r="AJ235"/>
      <c r="AK235"/>
      <c r="AL235"/>
      <c r="AM235"/>
    </row>
    <row r="236" spans="1:39" s="10" customFormat="1" ht="30" customHeight="1" x14ac:dyDescent="0.3">
      <c r="A236" s="26" t="str">
        <f t="shared" si="6"/>
        <v>2026경희대</v>
      </c>
      <c r="B236" s="26">
        <f>COUNTIFS($A$4:A236,A236)</f>
        <v>2</v>
      </c>
      <c r="C236" s="26" t="str">
        <f t="shared" si="7"/>
        <v>2026경희대2</v>
      </c>
      <c r="D236" s="3"/>
      <c r="E236" s="26" t="s">
        <v>129</v>
      </c>
      <c r="F236" s="26" t="s">
        <v>17</v>
      </c>
      <c r="G236" s="3"/>
      <c r="H236" s="27" t="s">
        <v>151</v>
      </c>
      <c r="I236" s="27">
        <v>2026</v>
      </c>
      <c r="J236" s="27" t="s">
        <v>38</v>
      </c>
      <c r="K236" s="28" t="s">
        <v>20</v>
      </c>
      <c r="L236" s="28" t="s">
        <v>21</v>
      </c>
      <c r="M236" s="28" t="s">
        <v>22</v>
      </c>
      <c r="N236" s="29" t="s">
        <v>152</v>
      </c>
      <c r="O236" s="28" t="s">
        <v>33</v>
      </c>
      <c r="P236" s="28" t="s">
        <v>33</v>
      </c>
      <c r="Q236" s="30"/>
      <c r="R236" s="3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/>
      <c r="AF236"/>
      <c r="AG236"/>
      <c r="AH236"/>
      <c r="AI236"/>
      <c r="AJ236"/>
      <c r="AK236"/>
      <c r="AL236"/>
      <c r="AM236"/>
    </row>
    <row r="237" spans="1:39" s="10" customFormat="1" ht="30" customHeight="1" x14ac:dyDescent="0.3">
      <c r="A237" s="26" t="str">
        <f t="shared" si="6"/>
        <v>2026경희대</v>
      </c>
      <c r="B237" s="26">
        <f>COUNTIFS($A$4:A237,A237)</f>
        <v>3</v>
      </c>
      <c r="C237" s="26" t="str">
        <f t="shared" si="7"/>
        <v>2026경희대3</v>
      </c>
      <c r="D237" s="3"/>
      <c r="E237" s="26" t="s">
        <v>129</v>
      </c>
      <c r="F237" s="26" t="s">
        <v>17</v>
      </c>
      <c r="G237" s="3"/>
      <c r="H237" s="27" t="s">
        <v>151</v>
      </c>
      <c r="I237" s="27">
        <v>2026</v>
      </c>
      <c r="J237" s="27" t="s">
        <v>38</v>
      </c>
      <c r="K237" s="28" t="s">
        <v>20</v>
      </c>
      <c r="L237" s="28" t="s">
        <v>21</v>
      </c>
      <c r="M237" s="28" t="s">
        <v>42</v>
      </c>
      <c r="N237" s="29" t="s">
        <v>153</v>
      </c>
      <c r="O237" s="28" t="s">
        <v>33</v>
      </c>
      <c r="P237" s="28" t="s">
        <v>33</v>
      </c>
      <c r="Q237" s="30"/>
      <c r="R237" s="3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/>
      <c r="AF237"/>
      <c r="AG237"/>
      <c r="AH237"/>
      <c r="AI237"/>
      <c r="AJ237"/>
      <c r="AK237"/>
      <c r="AL237"/>
      <c r="AM237"/>
    </row>
    <row r="238" spans="1:39" s="10" customFormat="1" ht="30" customHeight="1" x14ac:dyDescent="0.3">
      <c r="A238" s="26" t="str">
        <f t="shared" si="6"/>
        <v>2026경희대</v>
      </c>
      <c r="B238" s="26">
        <f>COUNTIFS($A$4:A238,A238)</f>
        <v>4</v>
      </c>
      <c r="C238" s="26" t="str">
        <f t="shared" si="7"/>
        <v>2026경희대4</v>
      </c>
      <c r="D238" s="3"/>
      <c r="E238" s="26" t="s">
        <v>129</v>
      </c>
      <c r="F238" s="26" t="s">
        <v>17</v>
      </c>
      <c r="G238" s="3"/>
      <c r="H238" s="27" t="s">
        <v>151</v>
      </c>
      <c r="I238" s="27">
        <v>2026</v>
      </c>
      <c r="J238" s="27" t="s">
        <v>38</v>
      </c>
      <c r="K238" s="28" t="s">
        <v>20</v>
      </c>
      <c r="L238" s="28" t="s">
        <v>24</v>
      </c>
      <c r="M238" s="28" t="s">
        <v>22</v>
      </c>
      <c r="N238" s="29" t="s">
        <v>152</v>
      </c>
      <c r="O238" s="28" t="s">
        <v>33</v>
      </c>
      <c r="P238" s="28" t="s">
        <v>33</v>
      </c>
      <c r="Q238" s="30"/>
      <c r="R238" s="3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/>
      <c r="AF238"/>
      <c r="AG238"/>
      <c r="AH238"/>
      <c r="AI238"/>
      <c r="AJ238"/>
      <c r="AK238"/>
      <c r="AL238"/>
      <c r="AM238"/>
    </row>
    <row r="239" spans="1:39" s="10" customFormat="1" ht="30" customHeight="1" x14ac:dyDescent="0.3">
      <c r="A239" s="26" t="str">
        <f t="shared" si="6"/>
        <v>2026경희대</v>
      </c>
      <c r="B239" s="26">
        <f>COUNTIFS($A$4:A239,A239)</f>
        <v>5</v>
      </c>
      <c r="C239" s="26" t="str">
        <f t="shared" si="7"/>
        <v>2026경희대5</v>
      </c>
      <c r="D239" s="3"/>
      <c r="E239" s="26" t="s">
        <v>129</v>
      </c>
      <c r="F239" s="26" t="s">
        <v>17</v>
      </c>
      <c r="G239" s="3"/>
      <c r="H239" s="27" t="s">
        <v>151</v>
      </c>
      <c r="I239" s="27">
        <v>2026</v>
      </c>
      <c r="J239" s="27" t="s">
        <v>38</v>
      </c>
      <c r="K239" s="28" t="s">
        <v>20</v>
      </c>
      <c r="L239" s="28" t="s">
        <v>24</v>
      </c>
      <c r="M239" s="28" t="s">
        <v>42</v>
      </c>
      <c r="N239" s="29" t="s">
        <v>154</v>
      </c>
      <c r="O239" s="28" t="s">
        <v>33</v>
      </c>
      <c r="P239" s="28" t="s">
        <v>33</v>
      </c>
      <c r="Q239" s="30"/>
      <c r="R239" s="3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/>
      <c r="AF239"/>
      <c r="AG239"/>
      <c r="AH239"/>
      <c r="AI239"/>
      <c r="AJ239"/>
      <c r="AK239"/>
      <c r="AL239"/>
      <c r="AM239"/>
    </row>
    <row r="240" spans="1:39" s="10" customFormat="1" ht="30" customHeight="1" x14ac:dyDescent="0.3">
      <c r="A240" s="26" t="str">
        <f t="shared" si="6"/>
        <v>2026경희대</v>
      </c>
      <c r="B240" s="26">
        <f>COUNTIFS($A$4:A240,A240)</f>
        <v>6</v>
      </c>
      <c r="C240" s="26" t="str">
        <f t="shared" si="7"/>
        <v>2026경희대6</v>
      </c>
      <c r="D240" s="3"/>
      <c r="E240" s="26" t="s">
        <v>129</v>
      </c>
      <c r="F240" s="26" t="s">
        <v>17</v>
      </c>
      <c r="G240" s="3"/>
      <c r="H240" s="27" t="s">
        <v>151</v>
      </c>
      <c r="I240" s="27">
        <v>2026</v>
      </c>
      <c r="J240" s="27" t="s">
        <v>19</v>
      </c>
      <c r="K240" s="28" t="s">
        <v>155</v>
      </c>
      <c r="L240" s="28" t="s">
        <v>21</v>
      </c>
      <c r="M240" s="28" t="s">
        <v>22</v>
      </c>
      <c r="N240" s="29" t="s">
        <v>33</v>
      </c>
      <c r="O240" s="28" t="s">
        <v>33</v>
      </c>
      <c r="P240" s="28" t="s">
        <v>33</v>
      </c>
      <c r="Q240" s="30"/>
      <c r="R240" s="3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/>
      <c r="AF240"/>
      <c r="AG240"/>
      <c r="AH240"/>
      <c r="AI240"/>
      <c r="AJ240"/>
      <c r="AK240"/>
      <c r="AL240"/>
      <c r="AM240"/>
    </row>
    <row r="241" spans="1:39" s="10" customFormat="1" ht="30" customHeight="1" x14ac:dyDescent="0.3">
      <c r="A241" s="26" t="str">
        <f t="shared" si="6"/>
        <v>2026경희대</v>
      </c>
      <c r="B241" s="26">
        <f>COUNTIFS($A$4:A241,A241)</f>
        <v>7</v>
      </c>
      <c r="C241" s="26" t="str">
        <f t="shared" si="7"/>
        <v>2026경희대7</v>
      </c>
      <c r="D241" s="3"/>
      <c r="E241" s="26" t="s">
        <v>129</v>
      </c>
      <c r="F241" s="26" t="s">
        <v>17</v>
      </c>
      <c r="G241" s="3"/>
      <c r="H241" s="27" t="s">
        <v>151</v>
      </c>
      <c r="I241" s="27">
        <v>2026</v>
      </c>
      <c r="J241" s="27" t="s">
        <v>19</v>
      </c>
      <c r="K241" s="28" t="s">
        <v>155</v>
      </c>
      <c r="L241" s="28" t="s">
        <v>21</v>
      </c>
      <c r="M241" s="28" t="s">
        <v>42</v>
      </c>
      <c r="N241" s="29" t="s">
        <v>157</v>
      </c>
      <c r="O241" s="28" t="s">
        <v>33</v>
      </c>
      <c r="P241" s="28" t="s">
        <v>33</v>
      </c>
      <c r="Q241" s="30" t="s">
        <v>105</v>
      </c>
      <c r="R241" s="3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/>
      <c r="AF241"/>
      <c r="AG241"/>
      <c r="AH241"/>
      <c r="AI241"/>
      <c r="AJ241"/>
      <c r="AK241"/>
      <c r="AL241"/>
      <c r="AM241"/>
    </row>
    <row r="242" spans="1:39" s="10" customFormat="1" ht="30" customHeight="1" x14ac:dyDescent="0.3">
      <c r="A242" s="26" t="str">
        <f t="shared" si="6"/>
        <v>2026경희대</v>
      </c>
      <c r="B242" s="26">
        <f>COUNTIFS($A$4:A242,A242)</f>
        <v>8</v>
      </c>
      <c r="C242" s="26" t="str">
        <f t="shared" si="7"/>
        <v>2026경희대8</v>
      </c>
      <c r="D242" s="3"/>
      <c r="E242" s="26" t="s">
        <v>129</v>
      </c>
      <c r="F242" s="26" t="s">
        <v>17</v>
      </c>
      <c r="G242" s="3"/>
      <c r="H242" s="27" t="s">
        <v>151</v>
      </c>
      <c r="I242" s="27">
        <v>2026</v>
      </c>
      <c r="J242" s="27" t="s">
        <v>19</v>
      </c>
      <c r="K242" s="28" t="s">
        <v>155</v>
      </c>
      <c r="L242" s="28" t="s">
        <v>24</v>
      </c>
      <c r="M242" s="28" t="s">
        <v>22</v>
      </c>
      <c r="N242" s="29" t="s">
        <v>33</v>
      </c>
      <c r="O242" s="28" t="s">
        <v>33</v>
      </c>
      <c r="P242" s="28" t="s">
        <v>33</v>
      </c>
      <c r="Q242" s="30"/>
      <c r="R242" s="3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/>
      <c r="AF242"/>
      <c r="AG242"/>
      <c r="AH242"/>
      <c r="AI242"/>
      <c r="AJ242"/>
      <c r="AK242"/>
      <c r="AL242"/>
      <c r="AM242"/>
    </row>
    <row r="243" spans="1:39" s="10" customFormat="1" ht="30" customHeight="1" x14ac:dyDescent="0.3">
      <c r="A243" s="26" t="str">
        <f t="shared" si="6"/>
        <v>2026경희대</v>
      </c>
      <c r="B243" s="26">
        <f>COUNTIFS($A$4:A243,A243)</f>
        <v>9</v>
      </c>
      <c r="C243" s="26" t="str">
        <f t="shared" si="7"/>
        <v>2026경희대9</v>
      </c>
      <c r="D243" s="3"/>
      <c r="E243" s="26" t="s">
        <v>129</v>
      </c>
      <c r="F243" s="26" t="s">
        <v>17</v>
      </c>
      <c r="G243" s="3"/>
      <c r="H243" s="27" t="s">
        <v>151</v>
      </c>
      <c r="I243" s="27">
        <v>2026</v>
      </c>
      <c r="J243" s="27" t="s">
        <v>19</v>
      </c>
      <c r="K243" s="28" t="s">
        <v>155</v>
      </c>
      <c r="L243" s="28" t="s">
        <v>24</v>
      </c>
      <c r="M243" s="28" t="s">
        <v>42</v>
      </c>
      <c r="N243" s="29" t="s">
        <v>154</v>
      </c>
      <c r="O243" s="28" t="s">
        <v>33</v>
      </c>
      <c r="P243" s="28" t="s">
        <v>33</v>
      </c>
      <c r="Q243" s="30" t="s">
        <v>105</v>
      </c>
      <c r="R243" s="3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/>
      <c r="AF243"/>
      <c r="AG243"/>
      <c r="AH243"/>
      <c r="AI243"/>
      <c r="AJ243"/>
      <c r="AK243"/>
      <c r="AL243"/>
      <c r="AM243"/>
    </row>
    <row r="244" spans="1:39" s="11" customFormat="1" ht="30" customHeight="1" x14ac:dyDescent="0.3">
      <c r="A244" s="26" t="str">
        <f t="shared" si="6"/>
        <v>2026경희대</v>
      </c>
      <c r="B244" s="26">
        <f>COUNTIFS($A$4:A244,A244)</f>
        <v>10</v>
      </c>
      <c r="C244" s="26" t="str">
        <f t="shared" si="7"/>
        <v>2026경희대10</v>
      </c>
      <c r="D244" s="3"/>
      <c r="E244" s="26" t="s">
        <v>129</v>
      </c>
      <c r="F244" s="26" t="s">
        <v>17</v>
      </c>
      <c r="G244" s="3"/>
      <c r="H244" s="28" t="s">
        <v>151</v>
      </c>
      <c r="I244" s="27">
        <v>2026</v>
      </c>
      <c r="J244" s="27" t="s">
        <v>50</v>
      </c>
      <c r="K244" s="28" t="s">
        <v>156</v>
      </c>
      <c r="L244" s="28" t="s">
        <v>21</v>
      </c>
      <c r="M244" s="28" t="s">
        <v>22</v>
      </c>
      <c r="N244" s="29" t="s">
        <v>152</v>
      </c>
      <c r="O244" s="28" t="s">
        <v>33</v>
      </c>
      <c r="P244" s="28" t="s">
        <v>33</v>
      </c>
      <c r="Q244" s="30"/>
      <c r="R244" s="30"/>
      <c r="S244" s="10"/>
      <c r="AE244"/>
      <c r="AF244"/>
      <c r="AG244"/>
      <c r="AH244"/>
      <c r="AI244"/>
      <c r="AJ244"/>
      <c r="AK244"/>
      <c r="AL244"/>
      <c r="AM244"/>
    </row>
    <row r="245" spans="1:39" s="11" customFormat="1" ht="30" customHeight="1" x14ac:dyDescent="0.3">
      <c r="A245" s="26" t="str">
        <f t="shared" si="6"/>
        <v>2026경희대</v>
      </c>
      <c r="B245" s="26">
        <f>COUNTIFS($A$4:A245,A245)</f>
        <v>11</v>
      </c>
      <c r="C245" s="26" t="str">
        <f t="shared" si="7"/>
        <v>2026경희대11</v>
      </c>
      <c r="D245" s="3"/>
      <c r="E245" s="26" t="s">
        <v>129</v>
      </c>
      <c r="F245" s="26" t="s">
        <v>17</v>
      </c>
      <c r="G245" s="3"/>
      <c r="H245" s="28" t="s">
        <v>151</v>
      </c>
      <c r="I245" s="27">
        <v>2026</v>
      </c>
      <c r="J245" s="27" t="s">
        <v>50</v>
      </c>
      <c r="K245" s="28" t="s">
        <v>156</v>
      </c>
      <c r="L245" s="28" t="s">
        <v>21</v>
      </c>
      <c r="M245" s="28" t="s">
        <v>42</v>
      </c>
      <c r="N245" s="29" t="s">
        <v>153</v>
      </c>
      <c r="O245" s="28" t="s">
        <v>33</v>
      </c>
      <c r="P245" s="28" t="s">
        <v>33</v>
      </c>
      <c r="Q245" s="30"/>
      <c r="R245" s="30"/>
      <c r="S245" s="10"/>
      <c r="AE245"/>
      <c r="AF245"/>
      <c r="AG245"/>
      <c r="AH245"/>
      <c r="AI245"/>
      <c r="AJ245"/>
      <c r="AK245"/>
      <c r="AL245"/>
      <c r="AM245"/>
    </row>
    <row r="246" spans="1:39" s="11" customFormat="1" ht="30" customHeight="1" x14ac:dyDescent="0.3">
      <c r="A246" s="26" t="str">
        <f t="shared" si="6"/>
        <v>2026경희대</v>
      </c>
      <c r="B246" s="26">
        <f>COUNTIFS($A$4:A246,A246)</f>
        <v>12</v>
      </c>
      <c r="C246" s="26" t="str">
        <f t="shared" si="7"/>
        <v>2026경희대12</v>
      </c>
      <c r="D246" s="3"/>
      <c r="E246" s="26" t="s">
        <v>129</v>
      </c>
      <c r="F246" s="26" t="s">
        <v>17</v>
      </c>
      <c r="G246" s="3"/>
      <c r="H246" s="27" t="s">
        <v>151</v>
      </c>
      <c r="I246" s="27">
        <v>2026</v>
      </c>
      <c r="J246" s="27" t="s">
        <v>50</v>
      </c>
      <c r="K246" s="28" t="s">
        <v>156</v>
      </c>
      <c r="L246" s="28" t="s">
        <v>24</v>
      </c>
      <c r="M246" s="28" t="s">
        <v>22</v>
      </c>
      <c r="N246" s="29" t="s">
        <v>152</v>
      </c>
      <c r="O246" s="28" t="s">
        <v>33</v>
      </c>
      <c r="P246" s="28" t="s">
        <v>33</v>
      </c>
      <c r="Q246" s="30"/>
      <c r="R246" s="30"/>
      <c r="S246" s="10"/>
      <c r="AE246"/>
      <c r="AF246"/>
      <c r="AG246"/>
      <c r="AH246"/>
      <c r="AI246"/>
      <c r="AJ246"/>
      <c r="AK246"/>
      <c r="AL246"/>
      <c r="AM246"/>
    </row>
    <row r="247" spans="1:39" s="11" customFormat="1" ht="30" customHeight="1" x14ac:dyDescent="0.3">
      <c r="A247" s="26" t="str">
        <f t="shared" si="6"/>
        <v>2026경희대</v>
      </c>
      <c r="B247" s="26">
        <f>COUNTIFS($A$4:A247,A247)</f>
        <v>13</v>
      </c>
      <c r="C247" s="26" t="str">
        <f t="shared" si="7"/>
        <v>2026경희대13</v>
      </c>
      <c r="D247" s="3"/>
      <c r="E247" s="26" t="s">
        <v>129</v>
      </c>
      <c r="F247" s="26" t="s">
        <v>17</v>
      </c>
      <c r="G247" s="3"/>
      <c r="H247" s="27" t="s">
        <v>151</v>
      </c>
      <c r="I247" s="27">
        <v>2026</v>
      </c>
      <c r="J247" s="27" t="s">
        <v>50</v>
      </c>
      <c r="K247" s="28" t="s">
        <v>156</v>
      </c>
      <c r="L247" s="28" t="s">
        <v>24</v>
      </c>
      <c r="M247" s="28" t="s">
        <v>42</v>
      </c>
      <c r="N247" s="29" t="s">
        <v>154</v>
      </c>
      <c r="O247" s="28" t="s">
        <v>33</v>
      </c>
      <c r="P247" s="28" t="s">
        <v>33</v>
      </c>
      <c r="Q247" s="30"/>
      <c r="R247" s="30"/>
      <c r="S247" s="10"/>
      <c r="AE247"/>
      <c r="AF247"/>
      <c r="AG247"/>
      <c r="AH247"/>
      <c r="AI247"/>
      <c r="AJ247"/>
      <c r="AK247"/>
      <c r="AL247"/>
      <c r="AM247"/>
    </row>
    <row r="248" spans="1:39" s="11" customFormat="1" ht="30" customHeight="1" x14ac:dyDescent="0.3">
      <c r="A248" s="26" t="str">
        <f t="shared" si="6"/>
        <v>2027경희대</v>
      </c>
      <c r="B248" s="26">
        <f>COUNTIFS($A$4:A248,A248)</f>
        <v>1</v>
      </c>
      <c r="C248" s="26" t="str">
        <f t="shared" si="7"/>
        <v>2027경희대1</v>
      </c>
      <c r="D248" s="3"/>
      <c r="E248" s="26" t="s">
        <v>129</v>
      </c>
      <c r="F248" s="26" t="s">
        <v>17</v>
      </c>
      <c r="G248" s="3"/>
      <c r="H248" s="27" t="s">
        <v>151</v>
      </c>
      <c r="I248" s="27">
        <v>2027</v>
      </c>
      <c r="J248" s="27" t="s">
        <v>38</v>
      </c>
      <c r="K248" s="28" t="s">
        <v>20</v>
      </c>
      <c r="L248" s="28" t="s">
        <v>21</v>
      </c>
      <c r="M248" s="28" t="s">
        <v>22</v>
      </c>
      <c r="N248" s="29" t="s">
        <v>152</v>
      </c>
      <c r="O248" s="28" t="s">
        <v>33</v>
      </c>
      <c r="P248" s="28" t="s">
        <v>33</v>
      </c>
      <c r="Q248" s="30"/>
      <c r="R248" s="30"/>
      <c r="S248" s="10"/>
      <c r="AE248"/>
      <c r="AF248"/>
      <c r="AG248"/>
      <c r="AH248"/>
      <c r="AI248"/>
      <c r="AJ248"/>
      <c r="AK248"/>
      <c r="AL248"/>
      <c r="AM248"/>
    </row>
    <row r="249" spans="1:39" s="11" customFormat="1" ht="30" customHeight="1" x14ac:dyDescent="0.3">
      <c r="A249" s="26" t="str">
        <f t="shared" si="6"/>
        <v>2027경희대</v>
      </c>
      <c r="B249" s="26">
        <f>COUNTIFS($A$4:A249,A249)</f>
        <v>2</v>
      </c>
      <c r="C249" s="26" t="str">
        <f t="shared" si="7"/>
        <v>2027경희대2</v>
      </c>
      <c r="D249" s="3"/>
      <c r="E249" s="26" t="s">
        <v>129</v>
      </c>
      <c r="F249" s="26" t="s">
        <v>17</v>
      </c>
      <c r="G249" s="3"/>
      <c r="H249" s="27" t="s">
        <v>151</v>
      </c>
      <c r="I249" s="27">
        <v>2027</v>
      </c>
      <c r="J249" s="27" t="s">
        <v>38</v>
      </c>
      <c r="K249" s="28" t="s">
        <v>20</v>
      </c>
      <c r="L249" s="28" t="s">
        <v>21</v>
      </c>
      <c r="M249" s="28" t="s">
        <v>42</v>
      </c>
      <c r="N249" s="29" t="s">
        <v>153</v>
      </c>
      <c r="O249" s="28" t="s">
        <v>33</v>
      </c>
      <c r="P249" s="28" t="s">
        <v>33</v>
      </c>
      <c r="Q249" s="30"/>
      <c r="R249" s="30"/>
      <c r="S249" s="10"/>
      <c r="AE249"/>
      <c r="AF249"/>
      <c r="AG249"/>
      <c r="AH249"/>
      <c r="AI249"/>
      <c r="AJ249"/>
      <c r="AK249"/>
      <c r="AL249"/>
      <c r="AM249"/>
    </row>
    <row r="250" spans="1:39" s="11" customFormat="1" ht="30" customHeight="1" x14ac:dyDescent="0.3">
      <c r="A250" s="26" t="str">
        <f t="shared" si="6"/>
        <v>2027경희대</v>
      </c>
      <c r="B250" s="26">
        <f>COUNTIFS($A$4:A250,A250)</f>
        <v>3</v>
      </c>
      <c r="C250" s="26" t="str">
        <f t="shared" si="7"/>
        <v>2027경희대3</v>
      </c>
      <c r="D250" s="3"/>
      <c r="E250" s="26" t="s">
        <v>129</v>
      </c>
      <c r="F250" s="26" t="s">
        <v>17</v>
      </c>
      <c r="G250" s="3"/>
      <c r="H250" s="27" t="s">
        <v>151</v>
      </c>
      <c r="I250" s="27">
        <v>2027</v>
      </c>
      <c r="J250" s="27" t="s">
        <v>38</v>
      </c>
      <c r="K250" s="28" t="s">
        <v>20</v>
      </c>
      <c r="L250" s="28" t="s">
        <v>24</v>
      </c>
      <c r="M250" s="28" t="s">
        <v>22</v>
      </c>
      <c r="N250" s="29" t="s">
        <v>152</v>
      </c>
      <c r="O250" s="28" t="s">
        <v>33</v>
      </c>
      <c r="P250" s="28" t="s">
        <v>33</v>
      </c>
      <c r="Q250" s="30"/>
      <c r="R250" s="30"/>
      <c r="S250" s="10"/>
      <c r="AE250"/>
      <c r="AF250"/>
      <c r="AG250"/>
      <c r="AH250"/>
      <c r="AI250"/>
      <c r="AJ250"/>
      <c r="AK250"/>
      <c r="AL250"/>
      <c r="AM250"/>
    </row>
    <row r="251" spans="1:39" s="11" customFormat="1" ht="30" customHeight="1" x14ac:dyDescent="0.3">
      <c r="A251" s="26" t="str">
        <f t="shared" si="6"/>
        <v>2027경희대</v>
      </c>
      <c r="B251" s="26">
        <f>COUNTIFS($A$4:A251,A251)</f>
        <v>4</v>
      </c>
      <c r="C251" s="26" t="str">
        <f t="shared" si="7"/>
        <v>2027경희대4</v>
      </c>
      <c r="D251" s="3"/>
      <c r="E251" s="26" t="s">
        <v>129</v>
      </c>
      <c r="F251" s="26" t="s">
        <v>17</v>
      </c>
      <c r="G251" s="3"/>
      <c r="H251" s="27" t="s">
        <v>151</v>
      </c>
      <c r="I251" s="27">
        <v>2027</v>
      </c>
      <c r="J251" s="27" t="s">
        <v>38</v>
      </c>
      <c r="K251" s="28" t="s">
        <v>20</v>
      </c>
      <c r="L251" s="28" t="s">
        <v>24</v>
      </c>
      <c r="M251" s="28" t="s">
        <v>42</v>
      </c>
      <c r="N251" s="29" t="s">
        <v>154</v>
      </c>
      <c r="O251" s="28" t="s">
        <v>33</v>
      </c>
      <c r="P251" s="28" t="s">
        <v>33</v>
      </c>
      <c r="Q251" s="30"/>
      <c r="R251" s="30"/>
      <c r="S251" s="10"/>
      <c r="AE251"/>
      <c r="AF251"/>
      <c r="AG251"/>
      <c r="AH251"/>
      <c r="AI251"/>
      <c r="AJ251"/>
      <c r="AK251"/>
      <c r="AL251"/>
      <c r="AM251"/>
    </row>
    <row r="252" spans="1:39" s="11" customFormat="1" ht="30" customHeight="1" x14ac:dyDescent="0.3">
      <c r="A252" s="26" t="str">
        <f t="shared" si="6"/>
        <v>2027경희대</v>
      </c>
      <c r="B252" s="26">
        <f>COUNTIFS($A$4:A252,A252)</f>
        <v>5</v>
      </c>
      <c r="C252" s="26" t="str">
        <f t="shared" si="7"/>
        <v>2027경희대5</v>
      </c>
      <c r="D252" s="3"/>
      <c r="E252" s="26" t="s">
        <v>129</v>
      </c>
      <c r="F252" s="26" t="s">
        <v>17</v>
      </c>
      <c r="G252" s="3"/>
      <c r="H252" s="28" t="s">
        <v>151</v>
      </c>
      <c r="I252" s="28">
        <v>2027</v>
      </c>
      <c r="J252" s="28" t="s">
        <v>19</v>
      </c>
      <c r="K252" s="28" t="s">
        <v>155</v>
      </c>
      <c r="L252" s="28" t="s">
        <v>21</v>
      </c>
      <c r="M252" s="28" t="s">
        <v>22</v>
      </c>
      <c r="N252" s="29" t="s">
        <v>33</v>
      </c>
      <c r="O252" s="28" t="s">
        <v>33</v>
      </c>
      <c r="P252" s="28" t="s">
        <v>33</v>
      </c>
      <c r="Q252" s="30"/>
      <c r="R252" s="30"/>
      <c r="S252" s="10"/>
      <c r="AE252"/>
      <c r="AF252"/>
      <c r="AG252"/>
      <c r="AH252"/>
      <c r="AI252"/>
      <c r="AJ252"/>
      <c r="AK252"/>
      <c r="AL252"/>
      <c r="AM252"/>
    </row>
    <row r="253" spans="1:39" s="11" customFormat="1" ht="30" customHeight="1" x14ac:dyDescent="0.3">
      <c r="A253" s="26" t="str">
        <f t="shared" si="6"/>
        <v>2027경희대</v>
      </c>
      <c r="B253" s="26">
        <f>COUNTIFS($A$4:A253,A253)</f>
        <v>6</v>
      </c>
      <c r="C253" s="26" t="str">
        <f t="shared" si="7"/>
        <v>2027경희대6</v>
      </c>
      <c r="D253" s="3"/>
      <c r="E253" s="26" t="s">
        <v>129</v>
      </c>
      <c r="F253" s="26" t="s">
        <v>17</v>
      </c>
      <c r="G253" s="3"/>
      <c r="H253" s="28" t="s">
        <v>151</v>
      </c>
      <c r="I253" s="28">
        <v>2027</v>
      </c>
      <c r="J253" s="28" t="s">
        <v>19</v>
      </c>
      <c r="K253" s="28" t="s">
        <v>155</v>
      </c>
      <c r="L253" s="28" t="s">
        <v>21</v>
      </c>
      <c r="M253" s="28" t="s">
        <v>42</v>
      </c>
      <c r="N253" s="29" t="s">
        <v>157</v>
      </c>
      <c r="O253" s="28" t="s">
        <v>33</v>
      </c>
      <c r="P253" s="28" t="s">
        <v>33</v>
      </c>
      <c r="Q253" s="30"/>
      <c r="R253" s="30"/>
      <c r="S253" s="10"/>
      <c r="AE253"/>
      <c r="AF253"/>
      <c r="AG253"/>
      <c r="AH253"/>
      <c r="AI253"/>
      <c r="AJ253"/>
      <c r="AK253"/>
      <c r="AL253"/>
      <c r="AM253"/>
    </row>
    <row r="254" spans="1:39" s="11" customFormat="1" ht="30" customHeight="1" x14ac:dyDescent="0.3">
      <c r="A254" s="26" t="str">
        <f t="shared" si="6"/>
        <v>2027경희대</v>
      </c>
      <c r="B254" s="26">
        <f>COUNTIFS($A$4:A254,A254)</f>
        <v>7</v>
      </c>
      <c r="C254" s="26" t="str">
        <f t="shared" si="7"/>
        <v>2027경희대7</v>
      </c>
      <c r="D254" s="3"/>
      <c r="E254" s="26" t="s">
        <v>129</v>
      </c>
      <c r="F254" s="26" t="s">
        <v>17</v>
      </c>
      <c r="G254" s="3"/>
      <c r="H254" s="28" t="s">
        <v>151</v>
      </c>
      <c r="I254" s="28">
        <v>2027</v>
      </c>
      <c r="J254" s="28" t="s">
        <v>19</v>
      </c>
      <c r="K254" s="28" t="s">
        <v>155</v>
      </c>
      <c r="L254" s="28" t="s">
        <v>24</v>
      </c>
      <c r="M254" s="28" t="s">
        <v>22</v>
      </c>
      <c r="N254" s="29" t="s">
        <v>33</v>
      </c>
      <c r="O254" s="28" t="s">
        <v>33</v>
      </c>
      <c r="P254" s="28" t="s">
        <v>33</v>
      </c>
      <c r="Q254" s="30"/>
      <c r="R254" s="30"/>
      <c r="S254" s="10"/>
      <c r="AE254"/>
      <c r="AF254"/>
      <c r="AG254"/>
      <c r="AH254"/>
      <c r="AI254"/>
      <c r="AJ254"/>
      <c r="AK254"/>
      <c r="AL254"/>
      <c r="AM254"/>
    </row>
    <row r="255" spans="1:39" s="11" customFormat="1" ht="30" customHeight="1" x14ac:dyDescent="0.3">
      <c r="A255" s="26" t="str">
        <f t="shared" si="6"/>
        <v>2027경희대</v>
      </c>
      <c r="B255" s="26">
        <f>COUNTIFS($A$4:A255,A255)</f>
        <v>8</v>
      </c>
      <c r="C255" s="26" t="str">
        <f t="shared" si="7"/>
        <v>2027경희대8</v>
      </c>
      <c r="D255" s="3"/>
      <c r="E255" s="26" t="s">
        <v>129</v>
      </c>
      <c r="F255" s="26" t="s">
        <v>17</v>
      </c>
      <c r="G255" s="3"/>
      <c r="H255" s="28" t="s">
        <v>151</v>
      </c>
      <c r="I255" s="28">
        <v>2027</v>
      </c>
      <c r="J255" s="28" t="s">
        <v>19</v>
      </c>
      <c r="K255" s="28" t="s">
        <v>155</v>
      </c>
      <c r="L255" s="28" t="s">
        <v>24</v>
      </c>
      <c r="M255" s="28" t="s">
        <v>42</v>
      </c>
      <c r="N255" s="29" t="s">
        <v>154</v>
      </c>
      <c r="O255" s="28" t="s">
        <v>33</v>
      </c>
      <c r="P255" s="28" t="s">
        <v>33</v>
      </c>
      <c r="Q255" s="30"/>
      <c r="R255" s="30"/>
      <c r="S255" s="10"/>
      <c r="AE255"/>
      <c r="AF255"/>
      <c r="AG255"/>
      <c r="AH255"/>
      <c r="AI255"/>
      <c r="AJ255"/>
      <c r="AK255"/>
      <c r="AL255"/>
      <c r="AM255"/>
    </row>
    <row r="256" spans="1:39" s="11" customFormat="1" ht="30" customHeight="1" x14ac:dyDescent="0.3">
      <c r="A256" s="26" t="str">
        <f t="shared" si="6"/>
        <v>2027경희대</v>
      </c>
      <c r="B256" s="26">
        <f>COUNTIFS($A$4:A256,A256)</f>
        <v>9</v>
      </c>
      <c r="C256" s="26" t="str">
        <f t="shared" si="7"/>
        <v>2027경희대9</v>
      </c>
      <c r="D256" s="3"/>
      <c r="E256" s="26" t="s">
        <v>129</v>
      </c>
      <c r="F256" s="26" t="s">
        <v>17</v>
      </c>
      <c r="G256" s="3"/>
      <c r="H256" s="28" t="s">
        <v>151</v>
      </c>
      <c r="I256" s="28">
        <v>2027</v>
      </c>
      <c r="J256" s="28" t="s">
        <v>50</v>
      </c>
      <c r="K256" s="28" t="s">
        <v>156</v>
      </c>
      <c r="L256" s="28" t="s">
        <v>21</v>
      </c>
      <c r="M256" s="28" t="s">
        <v>22</v>
      </c>
      <c r="N256" s="29" t="s">
        <v>152</v>
      </c>
      <c r="O256" s="28" t="s">
        <v>33</v>
      </c>
      <c r="P256" s="28" t="s">
        <v>33</v>
      </c>
      <c r="Q256" s="30"/>
      <c r="R256" s="30"/>
      <c r="S256" s="10"/>
      <c r="AE256"/>
      <c r="AF256"/>
      <c r="AG256"/>
      <c r="AH256"/>
      <c r="AI256"/>
      <c r="AJ256"/>
      <c r="AK256"/>
      <c r="AL256"/>
      <c r="AM256"/>
    </row>
    <row r="257" spans="1:39" s="11" customFormat="1" ht="30" customHeight="1" x14ac:dyDescent="0.3">
      <c r="A257" s="26" t="str">
        <f t="shared" si="6"/>
        <v>2027경희대</v>
      </c>
      <c r="B257" s="26">
        <f>COUNTIFS($A$4:A257,A257)</f>
        <v>10</v>
      </c>
      <c r="C257" s="26" t="str">
        <f t="shared" si="7"/>
        <v>2027경희대10</v>
      </c>
      <c r="D257" s="3"/>
      <c r="E257" s="26" t="s">
        <v>129</v>
      </c>
      <c r="F257" s="26" t="s">
        <v>17</v>
      </c>
      <c r="G257" s="3"/>
      <c r="H257" s="28" t="s">
        <v>151</v>
      </c>
      <c r="I257" s="28">
        <v>2027</v>
      </c>
      <c r="J257" s="28" t="s">
        <v>50</v>
      </c>
      <c r="K257" s="28" t="s">
        <v>156</v>
      </c>
      <c r="L257" s="28" t="s">
        <v>21</v>
      </c>
      <c r="M257" s="28" t="s">
        <v>42</v>
      </c>
      <c r="N257" s="29" t="s">
        <v>153</v>
      </c>
      <c r="O257" s="28" t="s">
        <v>33</v>
      </c>
      <c r="P257" s="28" t="s">
        <v>33</v>
      </c>
      <c r="Q257" s="30"/>
      <c r="R257" s="30"/>
      <c r="S257" s="10"/>
      <c r="AE257"/>
      <c r="AF257"/>
      <c r="AG257"/>
      <c r="AH257"/>
      <c r="AI257"/>
      <c r="AJ257"/>
      <c r="AK257"/>
      <c r="AL257"/>
      <c r="AM257"/>
    </row>
    <row r="258" spans="1:39" s="11" customFormat="1" ht="30" customHeight="1" x14ac:dyDescent="0.3">
      <c r="A258" s="26" t="str">
        <f t="shared" si="6"/>
        <v>2027경희대</v>
      </c>
      <c r="B258" s="26">
        <f>COUNTIFS($A$4:A258,A258)</f>
        <v>11</v>
      </c>
      <c r="C258" s="26" t="str">
        <f t="shared" si="7"/>
        <v>2027경희대11</v>
      </c>
      <c r="D258" s="3"/>
      <c r="E258" s="26" t="s">
        <v>129</v>
      </c>
      <c r="F258" s="26" t="s">
        <v>17</v>
      </c>
      <c r="G258" s="3"/>
      <c r="H258" s="27" t="s">
        <v>151</v>
      </c>
      <c r="I258" s="27">
        <v>2027</v>
      </c>
      <c r="J258" s="27" t="s">
        <v>50</v>
      </c>
      <c r="K258" s="28" t="s">
        <v>156</v>
      </c>
      <c r="L258" s="28" t="s">
        <v>24</v>
      </c>
      <c r="M258" s="28" t="s">
        <v>22</v>
      </c>
      <c r="N258" s="29" t="s">
        <v>152</v>
      </c>
      <c r="O258" s="28" t="s">
        <v>33</v>
      </c>
      <c r="P258" s="28" t="s">
        <v>33</v>
      </c>
      <c r="Q258" s="30"/>
      <c r="R258" s="32"/>
      <c r="S258" s="10"/>
      <c r="AE258"/>
      <c r="AF258"/>
      <c r="AG258"/>
      <c r="AH258"/>
      <c r="AI258"/>
      <c r="AJ258"/>
      <c r="AK258"/>
      <c r="AL258"/>
      <c r="AM258"/>
    </row>
    <row r="259" spans="1:39" s="11" customFormat="1" ht="30" customHeight="1" x14ac:dyDescent="0.3">
      <c r="A259" s="26" t="str">
        <f t="shared" si="6"/>
        <v>2027경희대</v>
      </c>
      <c r="B259" s="26">
        <f>COUNTIFS($A$4:A259,A259)</f>
        <v>12</v>
      </c>
      <c r="C259" s="26" t="str">
        <f t="shared" si="7"/>
        <v>2027경희대12</v>
      </c>
      <c r="D259" s="3"/>
      <c r="E259" s="26" t="s">
        <v>129</v>
      </c>
      <c r="F259" s="26" t="s">
        <v>17</v>
      </c>
      <c r="G259" s="3"/>
      <c r="H259" s="27" t="s">
        <v>151</v>
      </c>
      <c r="I259" s="27">
        <v>2027</v>
      </c>
      <c r="J259" s="27" t="s">
        <v>50</v>
      </c>
      <c r="K259" s="28" t="s">
        <v>156</v>
      </c>
      <c r="L259" s="28" t="s">
        <v>24</v>
      </c>
      <c r="M259" s="28" t="s">
        <v>42</v>
      </c>
      <c r="N259" s="29" t="s">
        <v>154</v>
      </c>
      <c r="O259" s="28" t="s">
        <v>33</v>
      </c>
      <c r="P259" s="28" t="s">
        <v>33</v>
      </c>
      <c r="Q259" s="30"/>
      <c r="R259" s="32"/>
      <c r="S259" s="10"/>
      <c r="AE259"/>
      <c r="AF259"/>
      <c r="AG259"/>
      <c r="AH259"/>
      <c r="AI259"/>
      <c r="AJ259"/>
      <c r="AK259"/>
      <c r="AL259"/>
      <c r="AM259"/>
    </row>
    <row r="260" spans="1:39" s="11" customFormat="1" ht="30" customHeight="1" x14ac:dyDescent="0.3">
      <c r="A260" s="26" t="str">
        <f t="shared" ref="A260:A323" si="8">I260&amp;H260</f>
        <v>2025한국외대</v>
      </c>
      <c r="B260" s="26">
        <f>COUNTIFS($A$4:A260,A260)</f>
        <v>1</v>
      </c>
      <c r="C260" s="26" t="str">
        <f t="shared" ref="C260:C323" si="9">A260&amp;B260</f>
        <v>2025한국외대1</v>
      </c>
      <c r="D260" s="3"/>
      <c r="E260" s="26" t="s">
        <v>129</v>
      </c>
      <c r="F260" s="26" t="s">
        <v>17</v>
      </c>
      <c r="G260" s="3"/>
      <c r="H260" s="27" t="s">
        <v>158</v>
      </c>
      <c r="I260" s="27">
        <v>2025</v>
      </c>
      <c r="J260" s="27" t="s">
        <v>38</v>
      </c>
      <c r="K260" s="28" t="s">
        <v>80</v>
      </c>
      <c r="L260" s="28" t="s">
        <v>21</v>
      </c>
      <c r="M260" s="28" t="s">
        <v>22</v>
      </c>
      <c r="N260" s="29" t="s">
        <v>159</v>
      </c>
      <c r="O260" s="28" t="s">
        <v>33</v>
      </c>
      <c r="P260" s="28" t="s">
        <v>33</v>
      </c>
      <c r="Q260" s="30"/>
      <c r="R260" s="32"/>
      <c r="S260" s="10"/>
      <c r="AE260"/>
      <c r="AF260"/>
      <c r="AG260"/>
      <c r="AH260"/>
      <c r="AI260"/>
      <c r="AJ260"/>
      <c r="AK260"/>
      <c r="AL260"/>
      <c r="AM260"/>
    </row>
    <row r="261" spans="1:39" s="11" customFormat="1" ht="30" customHeight="1" x14ac:dyDescent="0.3">
      <c r="A261" s="26" t="str">
        <f t="shared" si="8"/>
        <v>2025한국외대</v>
      </c>
      <c r="B261" s="26">
        <f>COUNTIFS($A$4:A261,A261)</f>
        <v>2</v>
      </c>
      <c r="C261" s="26" t="str">
        <f t="shared" si="9"/>
        <v>2025한국외대2</v>
      </c>
      <c r="D261" s="3"/>
      <c r="E261" s="26" t="s">
        <v>129</v>
      </c>
      <c r="F261" s="26" t="s">
        <v>17</v>
      </c>
      <c r="G261" s="3"/>
      <c r="H261" s="27" t="s">
        <v>158</v>
      </c>
      <c r="I261" s="27">
        <v>2025</v>
      </c>
      <c r="J261" s="27" t="s">
        <v>38</v>
      </c>
      <c r="K261" s="28" t="s">
        <v>80</v>
      </c>
      <c r="L261" s="28" t="s">
        <v>95</v>
      </c>
      <c r="M261" s="28" t="s">
        <v>22</v>
      </c>
      <c r="N261" s="29" t="s">
        <v>159</v>
      </c>
      <c r="O261" s="28" t="s">
        <v>33</v>
      </c>
      <c r="P261" s="28" t="s">
        <v>33</v>
      </c>
      <c r="Q261" s="30"/>
      <c r="R261" s="32"/>
      <c r="S261" s="10"/>
      <c r="AE261"/>
      <c r="AF261"/>
      <c r="AG261"/>
      <c r="AH261"/>
      <c r="AI261"/>
      <c r="AJ261"/>
      <c r="AK261"/>
      <c r="AL261"/>
      <c r="AM261"/>
    </row>
    <row r="262" spans="1:39" s="11" customFormat="1" ht="30" customHeight="1" x14ac:dyDescent="0.3">
      <c r="A262" s="26" t="str">
        <f t="shared" si="8"/>
        <v>2025한국외대</v>
      </c>
      <c r="B262" s="26">
        <f>COUNTIFS($A$4:A262,A262)</f>
        <v>3</v>
      </c>
      <c r="C262" s="26" t="str">
        <f t="shared" si="9"/>
        <v>2025한국외대3</v>
      </c>
      <c r="D262" s="3"/>
      <c r="E262" s="26" t="s">
        <v>129</v>
      </c>
      <c r="F262" s="26" t="s">
        <v>17</v>
      </c>
      <c r="G262" s="3"/>
      <c r="H262" s="27" t="s">
        <v>158</v>
      </c>
      <c r="I262" s="27">
        <v>2025</v>
      </c>
      <c r="J262" s="27" t="s">
        <v>19</v>
      </c>
      <c r="K262" s="28" t="s">
        <v>160</v>
      </c>
      <c r="L262" s="28" t="s">
        <v>21</v>
      </c>
      <c r="M262" s="28" t="s">
        <v>22</v>
      </c>
      <c r="N262" s="29" t="s">
        <v>33</v>
      </c>
      <c r="O262" s="28" t="s">
        <v>33</v>
      </c>
      <c r="P262" s="28" t="s">
        <v>33</v>
      </c>
      <c r="Q262" s="30"/>
      <c r="R262" s="30"/>
      <c r="S262" s="10"/>
      <c r="AE262"/>
      <c r="AF262"/>
      <c r="AG262"/>
      <c r="AH262"/>
      <c r="AI262"/>
      <c r="AJ262"/>
      <c r="AK262"/>
      <c r="AL262"/>
      <c r="AM262"/>
    </row>
    <row r="263" spans="1:39" s="11" customFormat="1" ht="30" customHeight="1" x14ac:dyDescent="0.3">
      <c r="A263" s="26" t="str">
        <f t="shared" si="8"/>
        <v>2025한국외대</v>
      </c>
      <c r="B263" s="26">
        <f>COUNTIFS($A$4:A263,A263)</f>
        <v>4</v>
      </c>
      <c r="C263" s="26" t="str">
        <f t="shared" si="9"/>
        <v>2025한국외대4</v>
      </c>
      <c r="D263" s="3"/>
      <c r="E263" s="26" t="s">
        <v>129</v>
      </c>
      <c r="F263" s="26" t="s">
        <v>17</v>
      </c>
      <c r="G263" s="3"/>
      <c r="H263" s="27" t="s">
        <v>158</v>
      </c>
      <c r="I263" s="27">
        <v>2025</v>
      </c>
      <c r="J263" s="27" t="s">
        <v>19</v>
      </c>
      <c r="K263" s="28" t="s">
        <v>160</v>
      </c>
      <c r="L263" s="28" t="s">
        <v>24</v>
      </c>
      <c r="M263" s="28" t="s">
        <v>22</v>
      </c>
      <c r="N263" s="29" t="s">
        <v>33</v>
      </c>
      <c r="O263" s="28" t="s">
        <v>33</v>
      </c>
      <c r="P263" s="28" t="s">
        <v>33</v>
      </c>
      <c r="Q263" s="30"/>
      <c r="R263" s="30"/>
      <c r="S263" s="10"/>
      <c r="AE263"/>
      <c r="AF263"/>
      <c r="AG263"/>
      <c r="AH263"/>
      <c r="AI263"/>
      <c r="AJ263"/>
      <c r="AK263"/>
      <c r="AL263"/>
      <c r="AM263"/>
    </row>
    <row r="264" spans="1:39" s="11" customFormat="1" ht="30" customHeight="1" x14ac:dyDescent="0.3">
      <c r="A264" s="26" t="str">
        <f t="shared" si="8"/>
        <v>2025한국외대</v>
      </c>
      <c r="B264" s="26">
        <f>COUNTIFS($A$4:A264,A264)</f>
        <v>5</v>
      </c>
      <c r="C264" s="26" t="str">
        <f t="shared" si="9"/>
        <v>2025한국외대5</v>
      </c>
      <c r="D264" s="3"/>
      <c r="E264" s="26" t="s">
        <v>129</v>
      </c>
      <c r="F264" s="26" t="s">
        <v>17</v>
      </c>
      <c r="G264" s="3"/>
      <c r="H264" s="27" t="s">
        <v>158</v>
      </c>
      <c r="I264" s="27">
        <v>2025</v>
      </c>
      <c r="J264" s="27" t="s">
        <v>19</v>
      </c>
      <c r="K264" s="28" t="s">
        <v>161</v>
      </c>
      <c r="L264" s="28" t="s">
        <v>21</v>
      </c>
      <c r="M264" s="28" t="s">
        <v>22</v>
      </c>
      <c r="N264" s="29" t="s">
        <v>33</v>
      </c>
      <c r="O264" s="28" t="s">
        <v>33</v>
      </c>
      <c r="P264" s="28" t="s">
        <v>33</v>
      </c>
      <c r="Q264" s="30"/>
      <c r="R264" s="30"/>
      <c r="S264" s="10"/>
      <c r="AE264"/>
      <c r="AF264"/>
      <c r="AG264"/>
      <c r="AH264"/>
      <c r="AI264"/>
      <c r="AJ264"/>
      <c r="AK264"/>
      <c r="AL264"/>
      <c r="AM264"/>
    </row>
    <row r="265" spans="1:39" s="11" customFormat="1" ht="30" customHeight="1" x14ac:dyDescent="0.3">
      <c r="A265" s="26" t="str">
        <f t="shared" si="8"/>
        <v>2025한국외대</v>
      </c>
      <c r="B265" s="26">
        <f>COUNTIFS($A$4:A265,A265)</f>
        <v>6</v>
      </c>
      <c r="C265" s="26" t="str">
        <f t="shared" si="9"/>
        <v>2025한국외대6</v>
      </c>
      <c r="D265" s="3"/>
      <c r="E265" s="26" t="s">
        <v>129</v>
      </c>
      <c r="F265" s="26" t="s">
        <v>17</v>
      </c>
      <c r="G265" s="3"/>
      <c r="H265" s="28" t="s">
        <v>158</v>
      </c>
      <c r="I265" s="28">
        <v>2025</v>
      </c>
      <c r="J265" s="28" t="s">
        <v>19</v>
      </c>
      <c r="K265" s="28" t="s">
        <v>161</v>
      </c>
      <c r="L265" s="28" t="s">
        <v>24</v>
      </c>
      <c r="M265" s="28" t="s">
        <v>22</v>
      </c>
      <c r="N265" s="29" t="s">
        <v>33</v>
      </c>
      <c r="O265" s="28" t="s">
        <v>33</v>
      </c>
      <c r="P265" s="28" t="s">
        <v>33</v>
      </c>
      <c r="Q265" s="30"/>
      <c r="R265" s="30"/>
      <c r="S265" s="10"/>
      <c r="AE265"/>
      <c r="AF265"/>
      <c r="AG265"/>
      <c r="AH265"/>
      <c r="AI265"/>
      <c r="AJ265"/>
      <c r="AK265"/>
      <c r="AL265"/>
      <c r="AM265"/>
    </row>
    <row r="266" spans="1:39" s="11" customFormat="1" ht="60" x14ac:dyDescent="0.3">
      <c r="A266" s="26" t="str">
        <f t="shared" si="8"/>
        <v>2025한국외대</v>
      </c>
      <c r="B266" s="26">
        <f>COUNTIFS($A$4:A266,A266)</f>
        <v>7</v>
      </c>
      <c r="C266" s="26" t="str">
        <f t="shared" si="9"/>
        <v>2025한국외대7</v>
      </c>
      <c r="D266" s="3"/>
      <c r="E266" s="26" t="s">
        <v>129</v>
      </c>
      <c r="F266" s="26" t="s">
        <v>17</v>
      </c>
      <c r="G266" s="3"/>
      <c r="H266" s="28" t="s">
        <v>158</v>
      </c>
      <c r="I266" s="28">
        <v>2025</v>
      </c>
      <c r="J266" s="28" t="s">
        <v>50</v>
      </c>
      <c r="K266" s="28" t="s">
        <v>50</v>
      </c>
      <c r="L266" s="28" t="s">
        <v>21</v>
      </c>
      <c r="M266" s="28" t="s">
        <v>22</v>
      </c>
      <c r="N266" s="29" t="s">
        <v>162</v>
      </c>
      <c r="O266" s="28" t="s">
        <v>33</v>
      </c>
      <c r="P266" s="28" t="s">
        <v>33</v>
      </c>
      <c r="Q266" s="30"/>
      <c r="R266" s="30"/>
      <c r="S266" s="10"/>
      <c r="AE266"/>
      <c r="AF266"/>
      <c r="AG266"/>
      <c r="AH266"/>
      <c r="AI266"/>
      <c r="AJ266"/>
      <c r="AK266"/>
      <c r="AL266"/>
      <c r="AM266"/>
    </row>
    <row r="267" spans="1:39" s="11" customFormat="1" ht="30" customHeight="1" x14ac:dyDescent="0.3">
      <c r="A267" s="26" t="str">
        <f t="shared" si="8"/>
        <v>2025한국외대</v>
      </c>
      <c r="B267" s="26">
        <f>COUNTIFS($A$4:A267,A267)</f>
        <v>8</v>
      </c>
      <c r="C267" s="26" t="str">
        <f t="shared" si="9"/>
        <v>2025한국외대8</v>
      </c>
      <c r="D267" s="3"/>
      <c r="E267" s="26" t="s">
        <v>129</v>
      </c>
      <c r="F267" s="26" t="s">
        <v>17</v>
      </c>
      <c r="G267" s="3"/>
      <c r="H267" s="28" t="s">
        <v>158</v>
      </c>
      <c r="I267" s="28">
        <v>2025</v>
      </c>
      <c r="J267" s="28" t="s">
        <v>50</v>
      </c>
      <c r="K267" s="28" t="s">
        <v>50</v>
      </c>
      <c r="L267" s="28" t="s">
        <v>95</v>
      </c>
      <c r="M267" s="28" t="s">
        <v>22</v>
      </c>
      <c r="N267" s="29" t="s">
        <v>159</v>
      </c>
      <c r="O267" s="28" t="s">
        <v>33</v>
      </c>
      <c r="P267" s="28" t="s">
        <v>33</v>
      </c>
      <c r="Q267" s="30"/>
      <c r="R267" s="30"/>
      <c r="S267" s="10"/>
      <c r="AE267"/>
      <c r="AF267"/>
      <c r="AG267"/>
      <c r="AH267"/>
      <c r="AI267"/>
      <c r="AJ267"/>
      <c r="AK267"/>
      <c r="AL267"/>
      <c r="AM267"/>
    </row>
    <row r="268" spans="1:39" s="11" customFormat="1" ht="30" customHeight="1" x14ac:dyDescent="0.3">
      <c r="A268" s="26" t="str">
        <f t="shared" si="8"/>
        <v>2026한국외대</v>
      </c>
      <c r="B268" s="26">
        <f>COUNTIFS($A$4:A268,A268)</f>
        <v>1</v>
      </c>
      <c r="C268" s="26" t="str">
        <f t="shared" si="9"/>
        <v>2026한국외대1</v>
      </c>
      <c r="D268" s="3"/>
      <c r="E268" s="26" t="s">
        <v>129</v>
      </c>
      <c r="F268" s="26" t="s">
        <v>17</v>
      </c>
      <c r="G268" s="3"/>
      <c r="H268" s="38" t="s">
        <v>158</v>
      </c>
      <c r="I268" s="38">
        <v>2026</v>
      </c>
      <c r="J268" s="38" t="s">
        <v>38</v>
      </c>
      <c r="K268" s="38" t="s">
        <v>80</v>
      </c>
      <c r="L268" s="38" t="s">
        <v>21</v>
      </c>
      <c r="M268" s="28" t="s">
        <v>22</v>
      </c>
      <c r="N268" s="29" t="s">
        <v>159</v>
      </c>
      <c r="O268" s="28" t="s">
        <v>33</v>
      </c>
      <c r="P268" s="28" t="s">
        <v>33</v>
      </c>
      <c r="Q268" s="25"/>
      <c r="R268" s="25"/>
      <c r="S268" s="10"/>
      <c r="AE268"/>
      <c r="AF268"/>
      <c r="AG268"/>
      <c r="AH268"/>
      <c r="AI268"/>
      <c r="AJ268"/>
      <c r="AK268"/>
      <c r="AL268"/>
      <c r="AM268"/>
    </row>
    <row r="269" spans="1:39" s="11" customFormat="1" ht="30" customHeight="1" x14ac:dyDescent="0.3">
      <c r="A269" s="26" t="str">
        <f t="shared" si="8"/>
        <v>2026한국외대</v>
      </c>
      <c r="B269" s="26">
        <f>COUNTIFS($A$4:A269,A269)</f>
        <v>2</v>
      </c>
      <c r="C269" s="26" t="str">
        <f t="shared" si="9"/>
        <v>2026한국외대2</v>
      </c>
      <c r="D269" s="3"/>
      <c r="E269" s="26" t="s">
        <v>129</v>
      </c>
      <c r="F269" s="26" t="s">
        <v>17</v>
      </c>
      <c r="G269" s="3"/>
      <c r="H269" s="28" t="s">
        <v>158</v>
      </c>
      <c r="I269" s="28">
        <v>2026</v>
      </c>
      <c r="J269" s="28" t="s">
        <v>38</v>
      </c>
      <c r="K269" s="28" t="s">
        <v>80</v>
      </c>
      <c r="L269" s="28" t="s">
        <v>24</v>
      </c>
      <c r="M269" s="28" t="s">
        <v>22</v>
      </c>
      <c r="N269" s="29" t="s">
        <v>159</v>
      </c>
      <c r="O269" s="28" t="s">
        <v>33</v>
      </c>
      <c r="P269" s="28" t="s">
        <v>33</v>
      </c>
      <c r="Q269" s="32"/>
      <c r="R269" s="30"/>
      <c r="S269" s="10"/>
      <c r="AE269"/>
      <c r="AF269"/>
      <c r="AG269"/>
      <c r="AH269"/>
      <c r="AI269"/>
      <c r="AJ269"/>
      <c r="AK269"/>
      <c r="AL269"/>
      <c r="AM269"/>
    </row>
    <row r="270" spans="1:39" s="11" customFormat="1" ht="30" customHeight="1" x14ac:dyDescent="0.3">
      <c r="A270" s="26" t="str">
        <f t="shared" si="8"/>
        <v>2026한국외대</v>
      </c>
      <c r="B270" s="26">
        <f>COUNTIFS($A$4:A270,A270)</f>
        <v>3</v>
      </c>
      <c r="C270" s="26" t="str">
        <f t="shared" si="9"/>
        <v>2026한국외대3</v>
      </c>
      <c r="D270" s="3"/>
      <c r="E270" s="26" t="s">
        <v>129</v>
      </c>
      <c r="F270" s="26" t="s">
        <v>17</v>
      </c>
      <c r="G270" s="3"/>
      <c r="H270" s="28" t="s">
        <v>158</v>
      </c>
      <c r="I270" s="28">
        <v>2026</v>
      </c>
      <c r="J270" s="28" t="s">
        <v>19</v>
      </c>
      <c r="K270" s="28" t="s">
        <v>160</v>
      </c>
      <c r="L270" s="28" t="s">
        <v>21</v>
      </c>
      <c r="M270" s="28" t="s">
        <v>22</v>
      </c>
      <c r="N270" s="29" t="s">
        <v>33</v>
      </c>
      <c r="O270" s="28" t="s">
        <v>33</v>
      </c>
      <c r="P270" s="28" t="s">
        <v>33</v>
      </c>
      <c r="Q270" s="32"/>
      <c r="R270" s="30"/>
      <c r="S270" s="10"/>
      <c r="AE270"/>
      <c r="AF270"/>
      <c r="AG270"/>
      <c r="AH270"/>
      <c r="AI270"/>
      <c r="AJ270"/>
      <c r="AK270"/>
      <c r="AL270"/>
      <c r="AM270"/>
    </row>
    <row r="271" spans="1:39" s="11" customFormat="1" ht="30" customHeight="1" x14ac:dyDescent="0.3">
      <c r="A271" s="26" t="str">
        <f t="shared" si="8"/>
        <v>2026한국외대</v>
      </c>
      <c r="B271" s="26">
        <f>COUNTIFS($A$4:A271,A271)</f>
        <v>4</v>
      </c>
      <c r="C271" s="26" t="str">
        <f t="shared" si="9"/>
        <v>2026한국외대4</v>
      </c>
      <c r="D271" s="3"/>
      <c r="E271" s="26" t="s">
        <v>129</v>
      </c>
      <c r="F271" s="26" t="s">
        <v>17</v>
      </c>
      <c r="G271" s="3"/>
      <c r="H271" s="28" t="s">
        <v>158</v>
      </c>
      <c r="I271" s="28">
        <v>2026</v>
      </c>
      <c r="J271" s="28" t="s">
        <v>19</v>
      </c>
      <c r="K271" s="28" t="s">
        <v>160</v>
      </c>
      <c r="L271" s="28" t="s">
        <v>24</v>
      </c>
      <c r="M271" s="28" t="s">
        <v>22</v>
      </c>
      <c r="N271" s="29" t="s">
        <v>33</v>
      </c>
      <c r="O271" s="28" t="s">
        <v>33</v>
      </c>
      <c r="P271" s="28" t="s">
        <v>33</v>
      </c>
      <c r="Q271" s="32"/>
      <c r="R271" s="30"/>
      <c r="S271" s="10"/>
      <c r="AE271"/>
      <c r="AF271"/>
      <c r="AG271"/>
      <c r="AH271"/>
      <c r="AI271"/>
      <c r="AJ271"/>
      <c r="AK271"/>
      <c r="AL271"/>
      <c r="AM271"/>
    </row>
    <row r="272" spans="1:39" s="11" customFormat="1" ht="30" customHeight="1" x14ac:dyDescent="0.3">
      <c r="A272" s="26" t="str">
        <f t="shared" si="8"/>
        <v>2026한국외대</v>
      </c>
      <c r="B272" s="26">
        <f>COUNTIFS($A$4:A272,A272)</f>
        <v>5</v>
      </c>
      <c r="C272" s="26" t="str">
        <f t="shared" si="9"/>
        <v>2026한국외대5</v>
      </c>
      <c r="D272" s="3"/>
      <c r="E272" s="26" t="s">
        <v>129</v>
      </c>
      <c r="F272" s="26" t="s">
        <v>17</v>
      </c>
      <c r="G272" s="3"/>
      <c r="H272" s="28" t="s">
        <v>158</v>
      </c>
      <c r="I272" s="28">
        <v>2026</v>
      </c>
      <c r="J272" s="28" t="s">
        <v>19</v>
      </c>
      <c r="K272" s="28" t="s">
        <v>161</v>
      </c>
      <c r="L272" s="28" t="s">
        <v>21</v>
      </c>
      <c r="M272" s="28" t="s">
        <v>22</v>
      </c>
      <c r="N272" s="29" t="s">
        <v>33</v>
      </c>
      <c r="O272" s="28" t="s">
        <v>33</v>
      </c>
      <c r="P272" s="28" t="s">
        <v>33</v>
      </c>
      <c r="Q272" s="32"/>
      <c r="R272" s="30"/>
      <c r="S272" s="10"/>
      <c r="AE272"/>
      <c r="AF272"/>
      <c r="AG272"/>
      <c r="AH272"/>
      <c r="AI272"/>
      <c r="AJ272"/>
      <c r="AK272"/>
      <c r="AL272"/>
      <c r="AM272"/>
    </row>
    <row r="273" spans="1:39" s="11" customFormat="1" ht="30" customHeight="1" x14ac:dyDescent="0.3">
      <c r="A273" s="26" t="str">
        <f t="shared" si="8"/>
        <v>2026한국외대</v>
      </c>
      <c r="B273" s="26">
        <f>COUNTIFS($A$4:A273,A273)</f>
        <v>6</v>
      </c>
      <c r="C273" s="26" t="str">
        <f t="shared" si="9"/>
        <v>2026한국외대6</v>
      </c>
      <c r="D273" s="3"/>
      <c r="E273" s="26" t="s">
        <v>129</v>
      </c>
      <c r="F273" s="26" t="s">
        <v>17</v>
      </c>
      <c r="G273" s="3"/>
      <c r="H273" s="28" t="s">
        <v>158</v>
      </c>
      <c r="I273" s="28">
        <v>2026</v>
      </c>
      <c r="J273" s="28" t="s">
        <v>19</v>
      </c>
      <c r="K273" s="28" t="s">
        <v>161</v>
      </c>
      <c r="L273" s="28" t="s">
        <v>24</v>
      </c>
      <c r="M273" s="28" t="s">
        <v>22</v>
      </c>
      <c r="N273" s="29" t="s">
        <v>33</v>
      </c>
      <c r="O273" s="28" t="s">
        <v>33</v>
      </c>
      <c r="P273" s="28" t="s">
        <v>33</v>
      </c>
      <c r="Q273" s="32"/>
      <c r="R273" s="30"/>
      <c r="S273" s="10"/>
      <c r="AE273"/>
      <c r="AF273"/>
      <c r="AG273"/>
      <c r="AH273"/>
      <c r="AI273"/>
      <c r="AJ273"/>
      <c r="AK273"/>
      <c r="AL273"/>
      <c r="AM273"/>
    </row>
    <row r="274" spans="1:39" s="11" customFormat="1" ht="60" x14ac:dyDescent="0.3">
      <c r="A274" s="26" t="str">
        <f t="shared" si="8"/>
        <v>2026한국외대</v>
      </c>
      <c r="B274" s="26">
        <f>COUNTIFS($A$4:A274,A274)</f>
        <v>7</v>
      </c>
      <c r="C274" s="26" t="str">
        <f t="shared" si="9"/>
        <v>2026한국외대7</v>
      </c>
      <c r="D274" s="3"/>
      <c r="E274" s="26" t="s">
        <v>129</v>
      </c>
      <c r="F274" s="26" t="s">
        <v>17</v>
      </c>
      <c r="G274" s="3"/>
      <c r="H274" s="28" t="s">
        <v>158</v>
      </c>
      <c r="I274" s="28">
        <v>2026</v>
      </c>
      <c r="J274" s="28" t="s">
        <v>50</v>
      </c>
      <c r="K274" s="28" t="s">
        <v>50</v>
      </c>
      <c r="L274" s="28" t="s">
        <v>21</v>
      </c>
      <c r="M274" s="28" t="s">
        <v>22</v>
      </c>
      <c r="N274" s="29" t="s">
        <v>162</v>
      </c>
      <c r="O274" s="28" t="s">
        <v>33</v>
      </c>
      <c r="P274" s="28" t="s">
        <v>33</v>
      </c>
      <c r="Q274" s="32"/>
      <c r="R274" s="30"/>
      <c r="S274" s="10"/>
      <c r="AE274"/>
      <c r="AF274"/>
      <c r="AG274"/>
      <c r="AH274"/>
      <c r="AI274"/>
      <c r="AJ274"/>
      <c r="AK274"/>
      <c r="AL274"/>
      <c r="AM274"/>
    </row>
    <row r="275" spans="1:39" s="11" customFormat="1" ht="30" customHeight="1" x14ac:dyDescent="0.3">
      <c r="A275" s="26" t="str">
        <f t="shared" si="8"/>
        <v>2026한국외대</v>
      </c>
      <c r="B275" s="26">
        <f>COUNTIFS($A$4:A275,A275)</f>
        <v>8</v>
      </c>
      <c r="C275" s="26" t="str">
        <f t="shared" si="9"/>
        <v>2026한국외대8</v>
      </c>
      <c r="D275" s="3"/>
      <c r="E275" s="26" t="s">
        <v>129</v>
      </c>
      <c r="F275" s="26" t="s">
        <v>17</v>
      </c>
      <c r="G275" s="3"/>
      <c r="H275" s="28" t="s">
        <v>158</v>
      </c>
      <c r="I275" s="28">
        <v>2026</v>
      </c>
      <c r="J275" s="28" t="s">
        <v>50</v>
      </c>
      <c r="K275" s="28" t="s">
        <v>50</v>
      </c>
      <c r="L275" s="28" t="s">
        <v>95</v>
      </c>
      <c r="M275" s="28" t="s">
        <v>22</v>
      </c>
      <c r="N275" s="29" t="s">
        <v>159</v>
      </c>
      <c r="O275" s="28" t="s">
        <v>33</v>
      </c>
      <c r="P275" s="28" t="s">
        <v>33</v>
      </c>
      <c r="Q275" s="32"/>
      <c r="R275" s="30"/>
      <c r="S275" s="10"/>
      <c r="AE275"/>
      <c r="AF275"/>
      <c r="AG275"/>
      <c r="AH275"/>
      <c r="AI275"/>
      <c r="AJ275"/>
      <c r="AK275"/>
      <c r="AL275"/>
      <c r="AM275"/>
    </row>
    <row r="276" spans="1:39" s="11" customFormat="1" ht="30" customHeight="1" x14ac:dyDescent="0.3">
      <c r="A276" s="26" t="str">
        <f t="shared" si="8"/>
        <v>2027한국외대</v>
      </c>
      <c r="B276" s="26">
        <f>COUNTIFS($A$4:A276,A276)</f>
        <v>1</v>
      </c>
      <c r="C276" s="26" t="str">
        <f t="shared" si="9"/>
        <v>2027한국외대1</v>
      </c>
      <c r="D276" s="3"/>
      <c r="E276" s="26" t="s">
        <v>129</v>
      </c>
      <c r="F276" s="26" t="s">
        <v>17</v>
      </c>
      <c r="G276" s="3"/>
      <c r="H276" s="28" t="s">
        <v>158</v>
      </c>
      <c r="I276" s="28">
        <v>2027</v>
      </c>
      <c r="J276" s="28" t="s">
        <v>38</v>
      </c>
      <c r="K276" s="28" t="s">
        <v>80</v>
      </c>
      <c r="L276" s="28" t="s">
        <v>21</v>
      </c>
      <c r="M276" s="28" t="s">
        <v>22</v>
      </c>
      <c r="N276" s="29" t="s">
        <v>163</v>
      </c>
      <c r="O276" s="28" t="s">
        <v>33</v>
      </c>
      <c r="P276" s="28" t="s">
        <v>33</v>
      </c>
      <c r="Q276" s="32" t="s">
        <v>164</v>
      </c>
      <c r="R276" s="30"/>
      <c r="S276" s="10"/>
      <c r="AE276"/>
      <c r="AF276"/>
      <c r="AG276"/>
      <c r="AH276"/>
      <c r="AI276"/>
      <c r="AJ276"/>
      <c r="AK276"/>
      <c r="AL276"/>
      <c r="AM276"/>
    </row>
    <row r="277" spans="1:39" s="11" customFormat="1" ht="30" customHeight="1" x14ac:dyDescent="0.3">
      <c r="A277" s="26" t="str">
        <f t="shared" si="8"/>
        <v>2027한국외대</v>
      </c>
      <c r="B277" s="26">
        <f>COUNTIFS($A$4:A277,A277)</f>
        <v>2</v>
      </c>
      <c r="C277" s="26" t="str">
        <f t="shared" si="9"/>
        <v>2027한국외대2</v>
      </c>
      <c r="D277" s="3"/>
      <c r="E277" s="26" t="s">
        <v>129</v>
      </c>
      <c r="F277" s="26" t="s">
        <v>17</v>
      </c>
      <c r="G277" s="3"/>
      <c r="H277" s="28" t="s">
        <v>158</v>
      </c>
      <c r="I277" s="28">
        <v>2027</v>
      </c>
      <c r="J277" s="28" t="s">
        <v>38</v>
      </c>
      <c r="K277" s="28" t="s">
        <v>80</v>
      </c>
      <c r="L277" s="28" t="s">
        <v>95</v>
      </c>
      <c r="M277" s="28" t="s">
        <v>22</v>
      </c>
      <c r="N277" s="29" t="s">
        <v>163</v>
      </c>
      <c r="O277" s="28" t="s">
        <v>33</v>
      </c>
      <c r="P277" s="28" t="s">
        <v>33</v>
      </c>
      <c r="Q277" s="32" t="s">
        <v>164</v>
      </c>
      <c r="R277" s="30"/>
      <c r="S277" s="10"/>
      <c r="AE277"/>
      <c r="AF277"/>
      <c r="AG277"/>
      <c r="AH277"/>
      <c r="AI277"/>
      <c r="AJ277"/>
      <c r="AK277"/>
      <c r="AL277"/>
      <c r="AM277"/>
    </row>
    <row r="278" spans="1:39" s="11" customFormat="1" ht="30" customHeight="1" x14ac:dyDescent="0.3">
      <c r="A278" s="26" t="str">
        <f t="shared" si="8"/>
        <v>2027한국외대</v>
      </c>
      <c r="B278" s="26">
        <f>COUNTIFS($A$4:A278,A278)</f>
        <v>3</v>
      </c>
      <c r="C278" s="26" t="str">
        <f t="shared" si="9"/>
        <v>2027한국외대3</v>
      </c>
      <c r="D278" s="3"/>
      <c r="E278" s="26" t="s">
        <v>129</v>
      </c>
      <c r="F278" s="26" t="s">
        <v>17</v>
      </c>
      <c r="G278" s="3"/>
      <c r="H278" s="28" t="s">
        <v>158</v>
      </c>
      <c r="I278" s="28">
        <v>2027</v>
      </c>
      <c r="J278" s="28" t="s">
        <v>19</v>
      </c>
      <c r="K278" s="28" t="s">
        <v>160</v>
      </c>
      <c r="L278" s="28" t="s">
        <v>21</v>
      </c>
      <c r="M278" s="28" t="s">
        <v>22</v>
      </c>
      <c r="N278" s="29" t="s">
        <v>33</v>
      </c>
      <c r="O278" s="28" t="s">
        <v>33</v>
      </c>
      <c r="P278" s="28" t="s">
        <v>33</v>
      </c>
      <c r="Q278" s="32"/>
      <c r="R278" s="30"/>
      <c r="S278" s="10"/>
      <c r="AE278"/>
      <c r="AF278"/>
      <c r="AG278"/>
      <c r="AH278"/>
      <c r="AI278"/>
      <c r="AJ278"/>
      <c r="AK278"/>
      <c r="AL278"/>
      <c r="AM278"/>
    </row>
    <row r="279" spans="1:39" s="11" customFormat="1" ht="30" customHeight="1" x14ac:dyDescent="0.3">
      <c r="A279" s="26" t="str">
        <f t="shared" si="8"/>
        <v>2027한국외대</v>
      </c>
      <c r="B279" s="26">
        <f>COUNTIFS($A$4:A279,A279)</f>
        <v>4</v>
      </c>
      <c r="C279" s="26" t="str">
        <f t="shared" si="9"/>
        <v>2027한국외대4</v>
      </c>
      <c r="D279" s="3"/>
      <c r="E279" s="26" t="s">
        <v>129</v>
      </c>
      <c r="F279" s="26" t="s">
        <v>17</v>
      </c>
      <c r="G279" s="3"/>
      <c r="H279" s="28" t="s">
        <v>158</v>
      </c>
      <c r="I279" s="28">
        <v>2027</v>
      </c>
      <c r="J279" s="28" t="s">
        <v>19</v>
      </c>
      <c r="K279" s="28" t="s">
        <v>160</v>
      </c>
      <c r="L279" s="28" t="s">
        <v>24</v>
      </c>
      <c r="M279" s="28" t="s">
        <v>22</v>
      </c>
      <c r="N279" s="29" t="s">
        <v>33</v>
      </c>
      <c r="O279" s="28" t="s">
        <v>33</v>
      </c>
      <c r="P279" s="28" t="s">
        <v>33</v>
      </c>
      <c r="Q279" s="32"/>
      <c r="R279" s="30"/>
      <c r="S279" s="10"/>
      <c r="AE279"/>
      <c r="AF279"/>
      <c r="AG279"/>
      <c r="AH279"/>
      <c r="AI279"/>
      <c r="AJ279"/>
      <c r="AK279"/>
      <c r="AL279"/>
      <c r="AM279"/>
    </row>
    <row r="280" spans="1:39" s="11" customFormat="1" ht="30" customHeight="1" x14ac:dyDescent="0.3">
      <c r="A280" s="26" t="str">
        <f t="shared" si="8"/>
        <v>2027한국외대</v>
      </c>
      <c r="B280" s="26">
        <f>COUNTIFS($A$4:A280,A280)</f>
        <v>5</v>
      </c>
      <c r="C280" s="26" t="str">
        <f t="shared" si="9"/>
        <v>2027한국외대5</v>
      </c>
      <c r="D280" s="3"/>
      <c r="E280" s="26" t="s">
        <v>129</v>
      </c>
      <c r="F280" s="26" t="s">
        <v>17</v>
      </c>
      <c r="G280" s="3"/>
      <c r="H280" s="28" t="s">
        <v>158</v>
      </c>
      <c r="I280" s="28">
        <v>2027</v>
      </c>
      <c r="J280" s="28" t="s">
        <v>19</v>
      </c>
      <c r="K280" s="28" t="s">
        <v>161</v>
      </c>
      <c r="L280" s="28" t="s">
        <v>21</v>
      </c>
      <c r="M280" s="28" t="s">
        <v>22</v>
      </c>
      <c r="N280" s="29" t="s">
        <v>33</v>
      </c>
      <c r="O280" s="28" t="s">
        <v>33</v>
      </c>
      <c r="P280" s="28" t="s">
        <v>33</v>
      </c>
      <c r="Q280" s="32"/>
      <c r="R280" s="30"/>
      <c r="S280" s="10"/>
      <c r="AE280"/>
      <c r="AF280"/>
      <c r="AG280"/>
      <c r="AH280"/>
      <c r="AI280"/>
      <c r="AJ280"/>
      <c r="AK280"/>
      <c r="AL280"/>
      <c r="AM280"/>
    </row>
    <row r="281" spans="1:39" s="11" customFormat="1" ht="30" customHeight="1" x14ac:dyDescent="0.3">
      <c r="A281" s="26" t="str">
        <f t="shared" si="8"/>
        <v>2027한국외대</v>
      </c>
      <c r="B281" s="26">
        <f>COUNTIFS($A$4:A281,A281)</f>
        <v>6</v>
      </c>
      <c r="C281" s="26" t="str">
        <f t="shared" si="9"/>
        <v>2027한국외대6</v>
      </c>
      <c r="D281" s="3"/>
      <c r="E281" s="26" t="s">
        <v>129</v>
      </c>
      <c r="F281" s="26" t="s">
        <v>17</v>
      </c>
      <c r="G281" s="3"/>
      <c r="H281" s="28" t="s">
        <v>158</v>
      </c>
      <c r="I281" s="28">
        <v>2027</v>
      </c>
      <c r="J281" s="28" t="s">
        <v>19</v>
      </c>
      <c r="K281" s="28" t="s">
        <v>161</v>
      </c>
      <c r="L281" s="28" t="s">
        <v>24</v>
      </c>
      <c r="M281" s="28" t="s">
        <v>22</v>
      </c>
      <c r="N281" s="29" t="s">
        <v>33</v>
      </c>
      <c r="O281" s="28" t="s">
        <v>33</v>
      </c>
      <c r="P281" s="28" t="s">
        <v>33</v>
      </c>
      <c r="Q281" s="32"/>
      <c r="R281" s="30"/>
      <c r="S281" s="10"/>
      <c r="AE281"/>
      <c r="AF281"/>
      <c r="AG281"/>
      <c r="AH281"/>
      <c r="AI281"/>
      <c r="AJ281"/>
      <c r="AK281"/>
      <c r="AL281"/>
      <c r="AM281"/>
    </row>
    <row r="282" spans="1:39" s="11" customFormat="1" ht="30" customHeight="1" x14ac:dyDescent="0.3">
      <c r="A282" s="26" t="str">
        <f t="shared" si="8"/>
        <v>2027한국외대</v>
      </c>
      <c r="B282" s="26">
        <f>COUNTIFS($A$4:A282,A282)</f>
        <v>7</v>
      </c>
      <c r="C282" s="26" t="str">
        <f t="shared" si="9"/>
        <v>2027한국외대7</v>
      </c>
      <c r="D282" s="3"/>
      <c r="E282" s="26" t="s">
        <v>129</v>
      </c>
      <c r="F282" s="26" t="s">
        <v>17</v>
      </c>
      <c r="G282" s="3"/>
      <c r="H282" s="28" t="s">
        <v>158</v>
      </c>
      <c r="I282" s="28">
        <v>2027</v>
      </c>
      <c r="J282" s="28" t="s">
        <v>50</v>
      </c>
      <c r="K282" s="28" t="s">
        <v>50</v>
      </c>
      <c r="L282" s="28" t="s">
        <v>21</v>
      </c>
      <c r="M282" s="28" t="s">
        <v>22</v>
      </c>
      <c r="N282" s="29" t="s">
        <v>163</v>
      </c>
      <c r="O282" s="28" t="s">
        <v>33</v>
      </c>
      <c r="P282" s="28" t="s">
        <v>33</v>
      </c>
      <c r="Q282" s="30" t="s">
        <v>165</v>
      </c>
      <c r="R282" s="30"/>
      <c r="S282" s="10"/>
      <c r="AE282"/>
      <c r="AF282"/>
      <c r="AG282"/>
      <c r="AH282"/>
      <c r="AI282"/>
      <c r="AJ282"/>
      <c r="AK282"/>
      <c r="AL282"/>
      <c r="AM282"/>
    </row>
    <row r="283" spans="1:39" s="11" customFormat="1" ht="30" customHeight="1" x14ac:dyDescent="0.3">
      <c r="A283" s="26" t="str">
        <f t="shared" si="8"/>
        <v>2027한국외대</v>
      </c>
      <c r="B283" s="26">
        <f>COUNTIFS($A$4:A283,A283)</f>
        <v>8</v>
      </c>
      <c r="C283" s="26" t="str">
        <f t="shared" si="9"/>
        <v>2027한국외대8</v>
      </c>
      <c r="D283" s="3"/>
      <c r="E283" s="26" t="s">
        <v>129</v>
      </c>
      <c r="F283" s="26" t="s">
        <v>17</v>
      </c>
      <c r="G283" s="3"/>
      <c r="H283" s="28" t="s">
        <v>158</v>
      </c>
      <c r="I283" s="28">
        <v>2027</v>
      </c>
      <c r="J283" s="28" t="s">
        <v>50</v>
      </c>
      <c r="K283" s="28" t="s">
        <v>50</v>
      </c>
      <c r="L283" s="28" t="s">
        <v>24</v>
      </c>
      <c r="M283" s="28" t="s">
        <v>22</v>
      </c>
      <c r="N283" s="29" t="s">
        <v>163</v>
      </c>
      <c r="O283" s="28" t="s">
        <v>33</v>
      </c>
      <c r="P283" s="28" t="s">
        <v>33</v>
      </c>
      <c r="Q283" s="32" t="s">
        <v>164</v>
      </c>
      <c r="R283" s="30"/>
      <c r="S283" s="10"/>
      <c r="AE283"/>
      <c r="AF283"/>
      <c r="AG283"/>
      <c r="AH283"/>
      <c r="AI283"/>
      <c r="AJ283"/>
      <c r="AK283"/>
      <c r="AL283"/>
      <c r="AM283"/>
    </row>
    <row r="284" spans="1:39" s="11" customFormat="1" ht="30" customHeight="1" x14ac:dyDescent="0.3">
      <c r="A284" s="26" t="str">
        <f t="shared" si="8"/>
        <v>2025한국외대(글로벌)</v>
      </c>
      <c r="B284" s="26">
        <f>COUNTIFS($A$4:A284,A284)</f>
        <v>1</v>
      </c>
      <c r="C284" s="26" t="str">
        <f t="shared" si="9"/>
        <v>2025한국외대(글로벌)1</v>
      </c>
      <c r="D284" s="3"/>
      <c r="E284" s="39" t="s">
        <v>148</v>
      </c>
      <c r="F284" s="26" t="s">
        <v>17</v>
      </c>
      <c r="G284" s="3"/>
      <c r="H284" s="28" t="s">
        <v>166</v>
      </c>
      <c r="I284" s="28">
        <v>2025</v>
      </c>
      <c r="J284" s="28" t="s">
        <v>38</v>
      </c>
      <c r="K284" s="28" t="s">
        <v>80</v>
      </c>
      <c r="L284" s="28" t="s">
        <v>21</v>
      </c>
      <c r="M284" s="28" t="s">
        <v>22</v>
      </c>
      <c r="N284" s="29" t="s">
        <v>167</v>
      </c>
      <c r="O284" s="28" t="s">
        <v>33</v>
      </c>
      <c r="P284" s="28" t="s">
        <v>33</v>
      </c>
      <c r="Q284" s="32"/>
      <c r="R284" s="30"/>
      <c r="S284" s="10"/>
      <c r="AE284"/>
      <c r="AF284"/>
      <c r="AG284"/>
      <c r="AH284"/>
      <c r="AI284"/>
      <c r="AJ284"/>
      <c r="AK284"/>
      <c r="AL284"/>
      <c r="AM284"/>
    </row>
    <row r="285" spans="1:39" s="11" customFormat="1" ht="30" customHeight="1" x14ac:dyDescent="0.3">
      <c r="A285" s="26" t="str">
        <f t="shared" si="8"/>
        <v>2025한국외대(글로벌)</v>
      </c>
      <c r="B285" s="26">
        <f>COUNTIFS($A$4:A285,A285)</f>
        <v>2</v>
      </c>
      <c r="C285" s="26" t="str">
        <f t="shared" si="9"/>
        <v>2025한국외대(글로벌)2</v>
      </c>
      <c r="D285" s="3"/>
      <c r="E285" s="39" t="s">
        <v>148</v>
      </c>
      <c r="F285" s="26" t="s">
        <v>17</v>
      </c>
      <c r="G285" s="3"/>
      <c r="H285" s="28" t="s">
        <v>166</v>
      </c>
      <c r="I285" s="28">
        <v>2025</v>
      </c>
      <c r="J285" s="28" t="s">
        <v>38</v>
      </c>
      <c r="K285" s="28" t="s">
        <v>80</v>
      </c>
      <c r="L285" s="28" t="s">
        <v>24</v>
      </c>
      <c r="M285" s="28" t="s">
        <v>22</v>
      </c>
      <c r="N285" s="29" t="s">
        <v>167</v>
      </c>
      <c r="O285" s="28" t="s">
        <v>33</v>
      </c>
      <c r="P285" s="28" t="s">
        <v>22</v>
      </c>
      <c r="Q285" s="32"/>
      <c r="R285" s="30"/>
      <c r="S285" s="10"/>
      <c r="AE285"/>
      <c r="AF285"/>
      <c r="AG285"/>
      <c r="AH285"/>
      <c r="AI285"/>
      <c r="AJ285"/>
      <c r="AK285"/>
      <c r="AL285"/>
      <c r="AM285"/>
    </row>
    <row r="286" spans="1:39" s="11" customFormat="1" ht="30" customHeight="1" x14ac:dyDescent="0.3">
      <c r="A286" s="26" t="str">
        <f t="shared" si="8"/>
        <v>2025한국외대(글로벌)</v>
      </c>
      <c r="B286" s="26">
        <f>COUNTIFS($A$4:A286,A286)</f>
        <v>3</v>
      </c>
      <c r="C286" s="26" t="str">
        <f t="shared" si="9"/>
        <v>2025한국외대(글로벌)3</v>
      </c>
      <c r="D286" s="3"/>
      <c r="E286" s="39" t="s">
        <v>148</v>
      </c>
      <c r="F286" s="26" t="s">
        <v>17</v>
      </c>
      <c r="G286" s="3"/>
      <c r="H286" s="28" t="s">
        <v>166</v>
      </c>
      <c r="I286" s="28">
        <v>2025</v>
      </c>
      <c r="J286" s="28" t="s">
        <v>19</v>
      </c>
      <c r="K286" s="28" t="s">
        <v>160</v>
      </c>
      <c r="L286" s="28" t="s">
        <v>21</v>
      </c>
      <c r="M286" s="28" t="s">
        <v>22</v>
      </c>
      <c r="N286" s="29" t="s">
        <v>33</v>
      </c>
      <c r="O286" s="28" t="s">
        <v>33</v>
      </c>
      <c r="P286" s="28" t="s">
        <v>33</v>
      </c>
      <c r="Q286" s="32"/>
      <c r="R286" s="30"/>
      <c r="S286" s="10"/>
      <c r="AE286"/>
      <c r="AF286"/>
      <c r="AG286"/>
      <c r="AH286"/>
      <c r="AI286"/>
      <c r="AJ286"/>
      <c r="AK286"/>
      <c r="AL286"/>
      <c r="AM286"/>
    </row>
    <row r="287" spans="1:39" s="11" customFormat="1" ht="30" customHeight="1" x14ac:dyDescent="0.3">
      <c r="A287" s="26" t="str">
        <f t="shared" si="8"/>
        <v>2025한국외대(글로벌)</v>
      </c>
      <c r="B287" s="26">
        <f>COUNTIFS($A$4:A287,A287)</f>
        <v>4</v>
      </c>
      <c r="C287" s="26" t="str">
        <f t="shared" si="9"/>
        <v>2025한국외대(글로벌)4</v>
      </c>
      <c r="D287" s="3"/>
      <c r="E287" s="39" t="s">
        <v>148</v>
      </c>
      <c r="F287" s="26" t="s">
        <v>17</v>
      </c>
      <c r="G287" s="3"/>
      <c r="H287" s="28" t="s">
        <v>166</v>
      </c>
      <c r="I287" s="28">
        <v>2025</v>
      </c>
      <c r="J287" s="28" t="s">
        <v>19</v>
      </c>
      <c r="K287" s="28" t="s">
        <v>160</v>
      </c>
      <c r="L287" s="28" t="s">
        <v>24</v>
      </c>
      <c r="M287" s="28" t="s">
        <v>22</v>
      </c>
      <c r="N287" s="29" t="s">
        <v>33</v>
      </c>
      <c r="O287" s="28" t="s">
        <v>33</v>
      </c>
      <c r="P287" s="28" t="s">
        <v>33</v>
      </c>
      <c r="Q287" s="32"/>
      <c r="R287" s="30"/>
      <c r="S287" s="10"/>
      <c r="AE287"/>
      <c r="AF287"/>
      <c r="AG287"/>
      <c r="AH287"/>
      <c r="AI287"/>
      <c r="AJ287"/>
      <c r="AK287"/>
      <c r="AL287"/>
      <c r="AM287"/>
    </row>
    <row r="288" spans="1:39" s="11" customFormat="1" ht="30" customHeight="1" x14ac:dyDescent="0.3">
      <c r="A288" s="26" t="str">
        <f t="shared" si="8"/>
        <v>2025한국외대(글로벌)</v>
      </c>
      <c r="B288" s="26">
        <f>COUNTIFS($A$4:A288,A288)</f>
        <v>5</v>
      </c>
      <c r="C288" s="26" t="str">
        <f t="shared" si="9"/>
        <v>2025한국외대(글로벌)5</v>
      </c>
      <c r="D288" s="3"/>
      <c r="E288" s="39" t="s">
        <v>148</v>
      </c>
      <c r="F288" s="26" t="s">
        <v>17</v>
      </c>
      <c r="G288" s="3"/>
      <c r="H288" s="28" t="s">
        <v>166</v>
      </c>
      <c r="I288" s="33">
        <v>2025</v>
      </c>
      <c r="J288" s="33" t="s">
        <v>19</v>
      </c>
      <c r="K288" s="33" t="s">
        <v>168</v>
      </c>
      <c r="L288" s="33" t="s">
        <v>24</v>
      </c>
      <c r="M288" s="33" t="s">
        <v>22</v>
      </c>
      <c r="N288" s="34" t="s">
        <v>33</v>
      </c>
      <c r="O288" s="33" t="s">
        <v>33</v>
      </c>
      <c r="P288" s="33" t="s">
        <v>33</v>
      </c>
      <c r="Q288" s="35"/>
      <c r="R288" s="36"/>
      <c r="S288" s="10"/>
      <c r="AE288"/>
      <c r="AF288"/>
      <c r="AG288"/>
      <c r="AH288"/>
      <c r="AI288"/>
      <c r="AJ288"/>
      <c r="AK288"/>
      <c r="AL288"/>
      <c r="AM288"/>
    </row>
    <row r="289" spans="1:39" s="11" customFormat="1" ht="30" customHeight="1" x14ac:dyDescent="0.3">
      <c r="A289" s="26" t="str">
        <f t="shared" si="8"/>
        <v>2025한국외대(글로벌)</v>
      </c>
      <c r="B289" s="26">
        <f>COUNTIFS($A$4:A289,A289)</f>
        <v>6</v>
      </c>
      <c r="C289" s="26" t="str">
        <f t="shared" si="9"/>
        <v>2025한국외대(글로벌)6</v>
      </c>
      <c r="D289" s="3"/>
      <c r="E289" s="39" t="s">
        <v>148</v>
      </c>
      <c r="F289" s="26" t="s">
        <v>17</v>
      </c>
      <c r="G289" s="3"/>
      <c r="H289" s="28" t="s">
        <v>166</v>
      </c>
      <c r="I289" s="28">
        <v>2025</v>
      </c>
      <c r="J289" s="28" t="s">
        <v>19</v>
      </c>
      <c r="K289" s="28" t="s">
        <v>161</v>
      </c>
      <c r="L289" s="28" t="s">
        <v>21</v>
      </c>
      <c r="M289" s="28" t="s">
        <v>22</v>
      </c>
      <c r="N289" s="29" t="s">
        <v>33</v>
      </c>
      <c r="O289" s="28" t="s">
        <v>33</v>
      </c>
      <c r="P289" s="28" t="s">
        <v>33</v>
      </c>
      <c r="Q289" s="32"/>
      <c r="R289" s="30"/>
      <c r="S289" s="10"/>
      <c r="AE289"/>
      <c r="AF289"/>
      <c r="AG289"/>
      <c r="AH289"/>
      <c r="AI289"/>
      <c r="AJ289"/>
      <c r="AK289"/>
      <c r="AL289"/>
      <c r="AM289"/>
    </row>
    <row r="290" spans="1:39" ht="30" customHeight="1" x14ac:dyDescent="0.3">
      <c r="A290" s="26" t="str">
        <f t="shared" si="8"/>
        <v>2025한국외대(글로벌)</v>
      </c>
      <c r="B290" s="26">
        <f>COUNTIFS($A$4:A290,A290)</f>
        <v>7</v>
      </c>
      <c r="C290" s="26" t="str">
        <f t="shared" si="9"/>
        <v>2025한국외대(글로벌)7</v>
      </c>
      <c r="E290" s="39" t="s">
        <v>148</v>
      </c>
      <c r="F290" s="26" t="s">
        <v>17</v>
      </c>
      <c r="H290" s="28" t="s">
        <v>166</v>
      </c>
      <c r="I290" s="28">
        <v>2025</v>
      </c>
      <c r="J290" s="28" t="s">
        <v>19</v>
      </c>
      <c r="K290" s="28" t="s">
        <v>161</v>
      </c>
      <c r="L290" s="28" t="s">
        <v>24</v>
      </c>
      <c r="M290" s="28" t="s">
        <v>22</v>
      </c>
      <c r="N290" s="29" t="s">
        <v>33</v>
      </c>
      <c r="O290" s="28" t="s">
        <v>33</v>
      </c>
      <c r="P290" s="28" t="s">
        <v>33</v>
      </c>
      <c r="Q290" s="32"/>
      <c r="R290" s="30"/>
    </row>
    <row r="291" spans="1:39" ht="30" customHeight="1" x14ac:dyDescent="0.3">
      <c r="A291" s="26" t="str">
        <f t="shared" si="8"/>
        <v>2025한국외대(글로벌)</v>
      </c>
      <c r="B291" s="26">
        <f>COUNTIFS($A$4:A291,A291)</f>
        <v>8</v>
      </c>
      <c r="C291" s="26" t="str">
        <f t="shared" si="9"/>
        <v>2025한국외대(글로벌)8</v>
      </c>
      <c r="E291" s="39" t="s">
        <v>148</v>
      </c>
      <c r="F291" s="26" t="s">
        <v>17</v>
      </c>
      <c r="H291" s="28" t="s">
        <v>166</v>
      </c>
      <c r="I291" s="28">
        <v>2025</v>
      </c>
      <c r="J291" s="28" t="s">
        <v>50</v>
      </c>
      <c r="K291" s="28" t="s">
        <v>50</v>
      </c>
      <c r="L291" s="28" t="s">
        <v>21</v>
      </c>
      <c r="M291" s="28" t="s">
        <v>22</v>
      </c>
      <c r="N291" s="29" t="s">
        <v>167</v>
      </c>
      <c r="O291" s="28" t="s">
        <v>33</v>
      </c>
      <c r="P291" s="28" t="s">
        <v>33</v>
      </c>
      <c r="Q291" s="32"/>
      <c r="R291" s="30"/>
    </row>
    <row r="292" spans="1:39" ht="30" customHeight="1" x14ac:dyDescent="0.3">
      <c r="A292" s="26" t="str">
        <f t="shared" si="8"/>
        <v>2025한국외대(글로벌)</v>
      </c>
      <c r="B292" s="26">
        <f>COUNTIFS($A$4:A292,A292)</f>
        <v>9</v>
      </c>
      <c r="C292" s="26" t="str">
        <f t="shared" si="9"/>
        <v>2025한국외대(글로벌)9</v>
      </c>
      <c r="E292" s="39" t="s">
        <v>148</v>
      </c>
      <c r="F292" s="26" t="s">
        <v>17</v>
      </c>
      <c r="H292" s="28" t="s">
        <v>166</v>
      </c>
      <c r="I292" s="28">
        <v>2025</v>
      </c>
      <c r="J292" s="28" t="s">
        <v>50</v>
      </c>
      <c r="K292" s="28" t="s">
        <v>50</v>
      </c>
      <c r="L292" s="28" t="s">
        <v>24</v>
      </c>
      <c r="M292" s="28" t="s">
        <v>22</v>
      </c>
      <c r="N292" s="29" t="s">
        <v>167</v>
      </c>
      <c r="O292" s="28" t="s">
        <v>33</v>
      </c>
      <c r="P292" s="28" t="s">
        <v>33</v>
      </c>
      <c r="Q292" s="32"/>
      <c r="R292" s="30"/>
    </row>
    <row r="293" spans="1:39" ht="30" customHeight="1" x14ac:dyDescent="0.3">
      <c r="A293" s="26" t="str">
        <f t="shared" si="8"/>
        <v>2026한국외대(글로벌)</v>
      </c>
      <c r="B293" s="26">
        <f>COUNTIFS($A$4:A293,A293)</f>
        <v>1</v>
      </c>
      <c r="C293" s="26" t="str">
        <f t="shared" si="9"/>
        <v>2026한국외대(글로벌)1</v>
      </c>
      <c r="E293" s="39" t="s">
        <v>148</v>
      </c>
      <c r="F293" s="26" t="s">
        <v>17</v>
      </c>
      <c r="H293" s="28" t="s">
        <v>166</v>
      </c>
      <c r="I293" s="28">
        <v>2026</v>
      </c>
      <c r="J293" s="28" t="s">
        <v>38</v>
      </c>
      <c r="K293" s="28" t="s">
        <v>80</v>
      </c>
      <c r="L293" s="28" t="s">
        <v>21</v>
      </c>
      <c r="M293" s="28" t="s">
        <v>22</v>
      </c>
      <c r="N293" s="29" t="s">
        <v>167</v>
      </c>
      <c r="O293" s="28" t="s">
        <v>33</v>
      </c>
      <c r="P293" s="28" t="s">
        <v>33</v>
      </c>
      <c r="Q293" s="32"/>
      <c r="R293" s="30"/>
    </row>
    <row r="294" spans="1:39" ht="30" customHeight="1" x14ac:dyDescent="0.3">
      <c r="A294" s="26" t="str">
        <f t="shared" si="8"/>
        <v>2026한국외대(글로벌)</v>
      </c>
      <c r="B294" s="26">
        <f>COUNTIFS($A$4:A294,A294)</f>
        <v>2</v>
      </c>
      <c r="C294" s="26" t="str">
        <f t="shared" si="9"/>
        <v>2026한국외대(글로벌)2</v>
      </c>
      <c r="E294" s="39" t="s">
        <v>148</v>
      </c>
      <c r="F294" s="26" t="s">
        <v>17</v>
      </c>
      <c r="H294" s="28" t="s">
        <v>166</v>
      </c>
      <c r="I294" s="28">
        <v>2026</v>
      </c>
      <c r="J294" s="28" t="s">
        <v>38</v>
      </c>
      <c r="K294" s="28" t="s">
        <v>80</v>
      </c>
      <c r="L294" s="28" t="s">
        <v>24</v>
      </c>
      <c r="M294" s="28" t="s">
        <v>22</v>
      </c>
      <c r="N294" s="29" t="s">
        <v>167</v>
      </c>
      <c r="O294" s="28" t="s">
        <v>33</v>
      </c>
      <c r="P294" s="28" t="s">
        <v>33</v>
      </c>
      <c r="Q294" s="32"/>
      <c r="R294" s="30"/>
    </row>
    <row r="295" spans="1:39" ht="30" customHeight="1" x14ac:dyDescent="0.3">
      <c r="A295" s="26" t="str">
        <f t="shared" si="8"/>
        <v>2026한국외대(글로벌)</v>
      </c>
      <c r="B295" s="26">
        <f>COUNTIFS($A$4:A295,A295)</f>
        <v>3</v>
      </c>
      <c r="C295" s="26" t="str">
        <f t="shared" si="9"/>
        <v>2026한국외대(글로벌)3</v>
      </c>
      <c r="E295" s="39" t="s">
        <v>148</v>
      </c>
      <c r="F295" s="26" t="s">
        <v>17</v>
      </c>
      <c r="H295" s="28" t="s">
        <v>166</v>
      </c>
      <c r="I295" s="28">
        <v>2026</v>
      </c>
      <c r="J295" s="28" t="s">
        <v>19</v>
      </c>
      <c r="K295" s="28" t="s">
        <v>160</v>
      </c>
      <c r="L295" s="28" t="s">
        <v>21</v>
      </c>
      <c r="M295" s="28" t="s">
        <v>22</v>
      </c>
      <c r="N295" s="29" t="s">
        <v>33</v>
      </c>
      <c r="O295" s="28" t="s">
        <v>33</v>
      </c>
      <c r="P295" s="28" t="s">
        <v>33</v>
      </c>
      <c r="Q295" s="32"/>
      <c r="R295" s="30"/>
    </row>
    <row r="296" spans="1:39" ht="30" customHeight="1" x14ac:dyDescent="0.3">
      <c r="A296" s="26" t="str">
        <f t="shared" si="8"/>
        <v>2026한국외대(글로벌)</v>
      </c>
      <c r="B296" s="26">
        <f>COUNTIFS($A$4:A296,A296)</f>
        <v>4</v>
      </c>
      <c r="C296" s="26" t="str">
        <f t="shared" si="9"/>
        <v>2026한국외대(글로벌)4</v>
      </c>
      <c r="E296" s="39" t="s">
        <v>148</v>
      </c>
      <c r="F296" s="26" t="s">
        <v>17</v>
      </c>
      <c r="H296" s="28" t="s">
        <v>166</v>
      </c>
      <c r="I296" s="28">
        <v>2026</v>
      </c>
      <c r="J296" s="28" t="s">
        <v>19</v>
      </c>
      <c r="K296" s="28" t="s">
        <v>160</v>
      </c>
      <c r="L296" s="28" t="s">
        <v>24</v>
      </c>
      <c r="M296" s="28" t="s">
        <v>22</v>
      </c>
      <c r="N296" s="29" t="s">
        <v>33</v>
      </c>
      <c r="O296" s="28" t="s">
        <v>33</v>
      </c>
      <c r="P296" s="28" t="s">
        <v>33</v>
      </c>
      <c r="Q296" s="32"/>
      <c r="R296" s="30"/>
    </row>
    <row r="297" spans="1:39" ht="30" customHeight="1" x14ac:dyDescent="0.3">
      <c r="A297" s="26" t="str">
        <f t="shared" si="8"/>
        <v>2026한국외대(글로벌)</v>
      </c>
      <c r="B297" s="26">
        <f>COUNTIFS($A$4:A297,A297)</f>
        <v>5</v>
      </c>
      <c r="C297" s="26" t="str">
        <f t="shared" si="9"/>
        <v>2026한국외대(글로벌)5</v>
      </c>
      <c r="E297" s="39" t="s">
        <v>148</v>
      </c>
      <c r="F297" s="26" t="s">
        <v>17</v>
      </c>
      <c r="H297" s="28" t="s">
        <v>166</v>
      </c>
      <c r="I297" s="28">
        <v>2026</v>
      </c>
      <c r="J297" s="28" t="s">
        <v>19</v>
      </c>
      <c r="K297" s="28" t="s">
        <v>168</v>
      </c>
      <c r="L297" s="28" t="s">
        <v>24</v>
      </c>
      <c r="M297" s="28" t="s">
        <v>22</v>
      </c>
      <c r="N297" s="29" t="s">
        <v>33</v>
      </c>
      <c r="O297" s="28" t="s">
        <v>33</v>
      </c>
      <c r="P297" s="28" t="s">
        <v>33</v>
      </c>
      <c r="Q297" s="32"/>
      <c r="R297" s="30"/>
    </row>
    <row r="298" spans="1:39" ht="30" customHeight="1" x14ac:dyDescent="0.3">
      <c r="A298" s="26" t="str">
        <f t="shared" si="8"/>
        <v>2026한국외대(글로벌)</v>
      </c>
      <c r="B298" s="26">
        <f>COUNTIFS($A$4:A298,A298)</f>
        <v>6</v>
      </c>
      <c r="C298" s="26" t="str">
        <f t="shared" si="9"/>
        <v>2026한국외대(글로벌)6</v>
      </c>
      <c r="E298" s="39" t="s">
        <v>148</v>
      </c>
      <c r="F298" s="26" t="s">
        <v>17</v>
      </c>
      <c r="H298" s="28" t="s">
        <v>166</v>
      </c>
      <c r="I298" s="28">
        <v>2026</v>
      </c>
      <c r="J298" s="28" t="s">
        <v>19</v>
      </c>
      <c r="K298" s="28" t="s">
        <v>161</v>
      </c>
      <c r="L298" s="28" t="s">
        <v>21</v>
      </c>
      <c r="M298" s="28" t="s">
        <v>22</v>
      </c>
      <c r="N298" s="29" t="s">
        <v>33</v>
      </c>
      <c r="O298" s="28" t="s">
        <v>33</v>
      </c>
      <c r="P298" s="28" t="s">
        <v>33</v>
      </c>
      <c r="Q298" s="32"/>
      <c r="R298" s="30"/>
    </row>
    <row r="299" spans="1:39" ht="30" customHeight="1" x14ac:dyDescent="0.3">
      <c r="A299" s="26" t="str">
        <f t="shared" si="8"/>
        <v>2026한국외대(글로벌)</v>
      </c>
      <c r="B299" s="26">
        <f>COUNTIFS($A$4:A299,A299)</f>
        <v>7</v>
      </c>
      <c r="C299" s="26" t="str">
        <f t="shared" si="9"/>
        <v>2026한국외대(글로벌)7</v>
      </c>
      <c r="E299" s="39" t="s">
        <v>148</v>
      </c>
      <c r="F299" s="26" t="s">
        <v>17</v>
      </c>
      <c r="H299" s="28" t="s">
        <v>166</v>
      </c>
      <c r="I299" s="28">
        <v>2026</v>
      </c>
      <c r="J299" s="28" t="s">
        <v>19</v>
      </c>
      <c r="K299" s="28" t="s">
        <v>161</v>
      </c>
      <c r="L299" s="28" t="s">
        <v>24</v>
      </c>
      <c r="M299" s="28" t="s">
        <v>22</v>
      </c>
      <c r="N299" s="29" t="s">
        <v>33</v>
      </c>
      <c r="O299" s="28" t="s">
        <v>33</v>
      </c>
      <c r="P299" s="28" t="s">
        <v>33</v>
      </c>
      <c r="Q299" s="32"/>
      <c r="R299" s="30"/>
    </row>
    <row r="300" spans="1:39" ht="30" customHeight="1" x14ac:dyDescent="0.3">
      <c r="A300" s="26" t="str">
        <f t="shared" si="8"/>
        <v>2026한국외대(글로벌)</v>
      </c>
      <c r="B300" s="26">
        <f>COUNTIFS($A$4:A300,A300)</f>
        <v>8</v>
      </c>
      <c r="C300" s="26" t="str">
        <f t="shared" si="9"/>
        <v>2026한국외대(글로벌)8</v>
      </c>
      <c r="E300" s="39" t="s">
        <v>148</v>
      </c>
      <c r="F300" s="26" t="s">
        <v>17</v>
      </c>
      <c r="H300" s="28" t="s">
        <v>166</v>
      </c>
      <c r="I300" s="28">
        <v>2026</v>
      </c>
      <c r="J300" s="28" t="s">
        <v>50</v>
      </c>
      <c r="K300" s="28" t="s">
        <v>50</v>
      </c>
      <c r="L300" s="28" t="s">
        <v>21</v>
      </c>
      <c r="M300" s="28" t="s">
        <v>22</v>
      </c>
      <c r="N300" s="29" t="s">
        <v>167</v>
      </c>
      <c r="O300" s="28" t="s">
        <v>33</v>
      </c>
      <c r="P300" s="28" t="s">
        <v>33</v>
      </c>
      <c r="Q300" s="32"/>
      <c r="R300" s="30"/>
    </row>
    <row r="301" spans="1:39" ht="30" customHeight="1" x14ac:dyDescent="0.3">
      <c r="A301" s="26" t="str">
        <f t="shared" si="8"/>
        <v>2026한국외대(글로벌)</v>
      </c>
      <c r="B301" s="26">
        <f>COUNTIFS($A$4:A301,A301)</f>
        <v>9</v>
      </c>
      <c r="C301" s="26" t="str">
        <f t="shared" si="9"/>
        <v>2026한국외대(글로벌)9</v>
      </c>
      <c r="E301" s="39" t="s">
        <v>148</v>
      </c>
      <c r="F301" s="26" t="s">
        <v>17</v>
      </c>
      <c r="H301" s="28" t="s">
        <v>166</v>
      </c>
      <c r="I301" s="28">
        <v>2026</v>
      </c>
      <c r="J301" s="28" t="s">
        <v>50</v>
      </c>
      <c r="K301" s="28" t="s">
        <v>50</v>
      </c>
      <c r="L301" s="28" t="s">
        <v>24</v>
      </c>
      <c r="M301" s="28" t="s">
        <v>22</v>
      </c>
      <c r="N301" s="29" t="s">
        <v>167</v>
      </c>
      <c r="O301" s="28" t="s">
        <v>33</v>
      </c>
      <c r="P301" s="28" t="s">
        <v>33</v>
      </c>
      <c r="Q301" s="32"/>
      <c r="R301" s="30"/>
    </row>
    <row r="302" spans="1:39" ht="30" customHeight="1" x14ac:dyDescent="0.3">
      <c r="A302" s="26" t="str">
        <f t="shared" si="8"/>
        <v>2027한국외대(글로벌)</v>
      </c>
      <c r="B302" s="26">
        <f>COUNTIFS($A$4:A302,A302)</f>
        <v>1</v>
      </c>
      <c r="C302" s="26" t="str">
        <f t="shared" si="9"/>
        <v>2027한국외대(글로벌)1</v>
      </c>
      <c r="E302" s="39" t="s">
        <v>148</v>
      </c>
      <c r="F302" s="26" t="s">
        <v>17</v>
      </c>
      <c r="H302" s="28" t="s">
        <v>166</v>
      </c>
      <c r="I302" s="28">
        <v>2027</v>
      </c>
      <c r="J302" s="28" t="s">
        <v>38</v>
      </c>
      <c r="K302" s="28" t="s">
        <v>80</v>
      </c>
      <c r="L302" s="28" t="s">
        <v>21</v>
      </c>
      <c r="M302" s="28" t="s">
        <v>22</v>
      </c>
      <c r="N302" s="29" t="s">
        <v>169</v>
      </c>
      <c r="O302" s="28" t="s">
        <v>33</v>
      </c>
      <c r="P302" s="28" t="s">
        <v>33</v>
      </c>
      <c r="Q302" s="32" t="s">
        <v>170</v>
      </c>
      <c r="R302" s="30"/>
    </row>
    <row r="303" spans="1:39" ht="30" customHeight="1" x14ac:dyDescent="0.3">
      <c r="A303" s="26" t="str">
        <f t="shared" si="8"/>
        <v>2027한국외대(글로벌)</v>
      </c>
      <c r="B303" s="26">
        <f>COUNTIFS($A$4:A303,A303)</f>
        <v>2</v>
      </c>
      <c r="C303" s="26" t="str">
        <f t="shared" si="9"/>
        <v>2027한국외대(글로벌)2</v>
      </c>
      <c r="E303" s="39" t="s">
        <v>148</v>
      </c>
      <c r="F303" s="26" t="s">
        <v>17</v>
      </c>
      <c r="H303" s="28" t="s">
        <v>166</v>
      </c>
      <c r="I303" s="28">
        <v>2027</v>
      </c>
      <c r="J303" s="28" t="s">
        <v>38</v>
      </c>
      <c r="K303" s="28" t="s">
        <v>80</v>
      </c>
      <c r="L303" s="28" t="s">
        <v>24</v>
      </c>
      <c r="M303" s="28" t="s">
        <v>22</v>
      </c>
      <c r="N303" s="29" t="s">
        <v>169</v>
      </c>
      <c r="O303" s="28" t="s">
        <v>33</v>
      </c>
      <c r="P303" s="28" t="s">
        <v>33</v>
      </c>
      <c r="Q303" s="32" t="s">
        <v>170</v>
      </c>
      <c r="R303" s="30"/>
    </row>
    <row r="304" spans="1:39" ht="30" customHeight="1" x14ac:dyDescent="0.3">
      <c r="A304" s="26" t="str">
        <f t="shared" si="8"/>
        <v>2027한국외대(글로벌)</v>
      </c>
      <c r="B304" s="26">
        <f>COUNTIFS($A$4:A304,A304)</f>
        <v>3</v>
      </c>
      <c r="C304" s="26" t="str">
        <f t="shared" si="9"/>
        <v>2027한국외대(글로벌)3</v>
      </c>
      <c r="E304" s="39" t="s">
        <v>148</v>
      </c>
      <c r="F304" s="26" t="s">
        <v>17</v>
      </c>
      <c r="H304" s="28" t="s">
        <v>166</v>
      </c>
      <c r="I304" s="28">
        <v>2027</v>
      </c>
      <c r="J304" s="28" t="s">
        <v>19</v>
      </c>
      <c r="K304" s="28" t="s">
        <v>160</v>
      </c>
      <c r="L304" s="28" t="s">
        <v>21</v>
      </c>
      <c r="M304" s="28" t="s">
        <v>22</v>
      </c>
      <c r="N304" s="29" t="s">
        <v>33</v>
      </c>
      <c r="O304" s="28" t="s">
        <v>33</v>
      </c>
      <c r="P304" s="28" t="s">
        <v>33</v>
      </c>
      <c r="Q304" s="32"/>
      <c r="R304" s="30"/>
    </row>
    <row r="305" spans="1:18" ht="30" customHeight="1" x14ac:dyDescent="0.3">
      <c r="A305" s="26" t="str">
        <f t="shared" si="8"/>
        <v>2027한국외대(글로벌)</v>
      </c>
      <c r="B305" s="26">
        <f>COUNTIFS($A$4:A305,A305)</f>
        <v>4</v>
      </c>
      <c r="C305" s="26" t="str">
        <f t="shared" si="9"/>
        <v>2027한국외대(글로벌)4</v>
      </c>
      <c r="E305" s="39" t="s">
        <v>148</v>
      </c>
      <c r="F305" s="26" t="s">
        <v>17</v>
      </c>
      <c r="H305" s="28" t="s">
        <v>166</v>
      </c>
      <c r="I305" s="28">
        <v>2027</v>
      </c>
      <c r="J305" s="28" t="s">
        <v>19</v>
      </c>
      <c r="K305" s="28" t="s">
        <v>160</v>
      </c>
      <c r="L305" s="28" t="s">
        <v>24</v>
      </c>
      <c r="M305" s="28" t="s">
        <v>22</v>
      </c>
      <c r="N305" s="29" t="s">
        <v>33</v>
      </c>
      <c r="O305" s="28" t="s">
        <v>33</v>
      </c>
      <c r="P305" s="28" t="s">
        <v>33</v>
      </c>
      <c r="Q305" s="32"/>
      <c r="R305" s="30"/>
    </row>
    <row r="306" spans="1:18" ht="30" customHeight="1" x14ac:dyDescent="0.3">
      <c r="A306" s="26" t="str">
        <f t="shared" si="8"/>
        <v>2027한국외대(글로벌)</v>
      </c>
      <c r="B306" s="26">
        <f>COUNTIFS($A$4:A306,A306)</f>
        <v>5</v>
      </c>
      <c r="C306" s="26" t="str">
        <f t="shared" si="9"/>
        <v>2027한국외대(글로벌)5</v>
      </c>
      <c r="E306" s="39" t="s">
        <v>148</v>
      </c>
      <c r="F306" s="26" t="s">
        <v>17</v>
      </c>
      <c r="H306" s="28" t="s">
        <v>166</v>
      </c>
      <c r="I306" s="28">
        <v>2027</v>
      </c>
      <c r="J306" s="28" t="s">
        <v>19</v>
      </c>
      <c r="K306" s="28" t="s">
        <v>168</v>
      </c>
      <c r="L306" s="28" t="s">
        <v>24</v>
      </c>
      <c r="M306" s="28" t="s">
        <v>22</v>
      </c>
      <c r="N306" s="29" t="s">
        <v>33</v>
      </c>
      <c r="O306" s="28" t="s">
        <v>33</v>
      </c>
      <c r="P306" s="28" t="s">
        <v>33</v>
      </c>
      <c r="Q306" s="32"/>
      <c r="R306" s="30"/>
    </row>
    <row r="307" spans="1:18" ht="30" customHeight="1" x14ac:dyDescent="0.3">
      <c r="A307" s="26" t="str">
        <f t="shared" si="8"/>
        <v>2027한국외대(글로벌)</v>
      </c>
      <c r="B307" s="26">
        <f>COUNTIFS($A$4:A307,A307)</f>
        <v>6</v>
      </c>
      <c r="C307" s="26" t="str">
        <f t="shared" si="9"/>
        <v>2027한국외대(글로벌)6</v>
      </c>
      <c r="E307" s="39" t="s">
        <v>148</v>
      </c>
      <c r="F307" s="26" t="s">
        <v>17</v>
      </c>
      <c r="H307" s="28" t="s">
        <v>166</v>
      </c>
      <c r="I307" s="28">
        <v>2027</v>
      </c>
      <c r="J307" s="28" t="s">
        <v>19</v>
      </c>
      <c r="K307" s="28" t="s">
        <v>161</v>
      </c>
      <c r="L307" s="28" t="s">
        <v>21</v>
      </c>
      <c r="M307" s="28" t="s">
        <v>22</v>
      </c>
      <c r="N307" s="29" t="s">
        <v>33</v>
      </c>
      <c r="O307" s="28" t="s">
        <v>33</v>
      </c>
      <c r="P307" s="28" t="s">
        <v>33</v>
      </c>
      <c r="Q307" s="32"/>
      <c r="R307" s="30"/>
    </row>
    <row r="308" spans="1:18" ht="30" customHeight="1" x14ac:dyDescent="0.3">
      <c r="A308" s="26" t="str">
        <f t="shared" si="8"/>
        <v>2027한국외대(글로벌)</v>
      </c>
      <c r="B308" s="26">
        <f>COUNTIFS($A$4:A308,A308)</f>
        <v>7</v>
      </c>
      <c r="C308" s="26" t="str">
        <f t="shared" si="9"/>
        <v>2027한국외대(글로벌)7</v>
      </c>
      <c r="E308" s="39" t="s">
        <v>148</v>
      </c>
      <c r="F308" s="26" t="s">
        <v>17</v>
      </c>
      <c r="H308" s="28" t="s">
        <v>166</v>
      </c>
      <c r="I308" s="28">
        <v>2027</v>
      </c>
      <c r="J308" s="28" t="s">
        <v>19</v>
      </c>
      <c r="K308" s="28" t="s">
        <v>161</v>
      </c>
      <c r="L308" s="28" t="s">
        <v>24</v>
      </c>
      <c r="M308" s="28" t="s">
        <v>22</v>
      </c>
      <c r="N308" s="29" t="s">
        <v>33</v>
      </c>
      <c r="O308" s="28" t="s">
        <v>33</v>
      </c>
      <c r="P308" s="28" t="s">
        <v>33</v>
      </c>
      <c r="Q308" s="32"/>
      <c r="R308" s="30"/>
    </row>
    <row r="309" spans="1:18" ht="30" customHeight="1" x14ac:dyDescent="0.3">
      <c r="A309" s="26" t="str">
        <f t="shared" si="8"/>
        <v>2027한국외대(글로벌)</v>
      </c>
      <c r="B309" s="26">
        <f>COUNTIFS($A$4:A309,A309)</f>
        <v>8</v>
      </c>
      <c r="C309" s="26" t="str">
        <f t="shared" si="9"/>
        <v>2027한국외대(글로벌)8</v>
      </c>
      <c r="E309" s="39" t="s">
        <v>148</v>
      </c>
      <c r="F309" s="26" t="s">
        <v>17</v>
      </c>
      <c r="H309" s="28" t="s">
        <v>166</v>
      </c>
      <c r="I309" s="28">
        <v>2027</v>
      </c>
      <c r="J309" s="28" t="s">
        <v>50</v>
      </c>
      <c r="K309" s="28" t="s">
        <v>50</v>
      </c>
      <c r="L309" s="28" t="s">
        <v>21</v>
      </c>
      <c r="M309" s="28" t="s">
        <v>22</v>
      </c>
      <c r="N309" s="29" t="s">
        <v>169</v>
      </c>
      <c r="O309" s="28" t="s">
        <v>33</v>
      </c>
      <c r="P309" s="28" t="s">
        <v>33</v>
      </c>
      <c r="Q309" s="32" t="s">
        <v>170</v>
      </c>
      <c r="R309" s="30"/>
    </row>
    <row r="310" spans="1:18" ht="30" customHeight="1" x14ac:dyDescent="0.3">
      <c r="A310" s="26" t="str">
        <f t="shared" si="8"/>
        <v>2027한국외대(글로벌)</v>
      </c>
      <c r="B310" s="26">
        <f>COUNTIFS($A$4:A310,A310)</f>
        <v>9</v>
      </c>
      <c r="C310" s="26" t="str">
        <f t="shared" si="9"/>
        <v>2027한국외대(글로벌)9</v>
      </c>
      <c r="E310" s="39" t="s">
        <v>148</v>
      </c>
      <c r="F310" s="26" t="s">
        <v>17</v>
      </c>
      <c r="H310" s="28" t="s">
        <v>166</v>
      </c>
      <c r="I310" s="28">
        <v>2027</v>
      </c>
      <c r="J310" s="28" t="s">
        <v>50</v>
      </c>
      <c r="K310" s="28" t="s">
        <v>50</v>
      </c>
      <c r="L310" s="28" t="s">
        <v>24</v>
      </c>
      <c r="M310" s="28" t="s">
        <v>22</v>
      </c>
      <c r="N310" s="29" t="s">
        <v>169</v>
      </c>
      <c r="O310" s="28" t="s">
        <v>33</v>
      </c>
      <c r="P310" s="28" t="s">
        <v>33</v>
      </c>
      <c r="Q310" s="32" t="s">
        <v>170</v>
      </c>
      <c r="R310" s="30"/>
    </row>
    <row r="311" spans="1:18" ht="30" customHeight="1" x14ac:dyDescent="0.3">
      <c r="A311" s="26" t="str">
        <f t="shared" si="8"/>
        <v>2025서울시립대</v>
      </c>
      <c r="B311" s="26">
        <f>COUNTIFS($A$4:A311,A311)</f>
        <v>1</v>
      </c>
      <c r="C311" s="26" t="str">
        <f t="shared" si="9"/>
        <v>2025서울시립대1</v>
      </c>
      <c r="E311" s="26" t="s">
        <v>129</v>
      </c>
      <c r="F311" s="26" t="s">
        <v>17</v>
      </c>
      <c r="H311" s="28" t="s">
        <v>171</v>
      </c>
      <c r="I311" s="28">
        <v>2025</v>
      </c>
      <c r="J311" s="28" t="s">
        <v>38</v>
      </c>
      <c r="K311" s="28" t="s">
        <v>172</v>
      </c>
      <c r="L311" s="28" t="s">
        <v>21</v>
      </c>
      <c r="M311" s="28" t="s">
        <v>22</v>
      </c>
      <c r="N311" s="29" t="s">
        <v>117</v>
      </c>
      <c r="O311" s="28" t="s">
        <v>33</v>
      </c>
      <c r="P311" s="28" t="s">
        <v>33</v>
      </c>
      <c r="Q311" s="32"/>
      <c r="R311" s="30"/>
    </row>
    <row r="312" spans="1:18" ht="60" x14ac:dyDescent="0.3">
      <c r="A312" s="26" t="str">
        <f t="shared" si="8"/>
        <v>2025서울시립대</v>
      </c>
      <c r="B312" s="26">
        <f>COUNTIFS($A$4:A312,A312)</f>
        <v>2</v>
      </c>
      <c r="C312" s="26" t="str">
        <f t="shared" si="9"/>
        <v>2025서울시립대2</v>
      </c>
      <c r="E312" s="26" t="s">
        <v>129</v>
      </c>
      <c r="F312" s="26" t="s">
        <v>17</v>
      </c>
      <c r="H312" s="28" t="s">
        <v>171</v>
      </c>
      <c r="I312" s="28">
        <v>2025</v>
      </c>
      <c r="J312" s="28" t="s">
        <v>38</v>
      </c>
      <c r="K312" s="28" t="s">
        <v>172</v>
      </c>
      <c r="L312" s="28" t="s">
        <v>24</v>
      </c>
      <c r="M312" s="28" t="s">
        <v>22</v>
      </c>
      <c r="N312" s="29" t="s">
        <v>173</v>
      </c>
      <c r="O312" s="28" t="s">
        <v>174</v>
      </c>
      <c r="P312" s="28" t="s">
        <v>55</v>
      </c>
      <c r="Q312" s="32"/>
      <c r="R312" s="30"/>
    </row>
    <row r="313" spans="1:18" ht="30" customHeight="1" x14ac:dyDescent="0.3">
      <c r="A313" s="26" t="str">
        <f t="shared" si="8"/>
        <v>2025서울시립대</v>
      </c>
      <c r="B313" s="26">
        <f>COUNTIFS($A$4:A313,A313)</f>
        <v>3</v>
      </c>
      <c r="C313" s="26" t="str">
        <f t="shared" si="9"/>
        <v>2025서울시립대3</v>
      </c>
      <c r="E313" s="26" t="s">
        <v>129</v>
      </c>
      <c r="F313" s="26" t="s">
        <v>17</v>
      </c>
      <c r="H313" s="28" t="s">
        <v>171</v>
      </c>
      <c r="I313" s="28">
        <v>2025</v>
      </c>
      <c r="J313" s="28" t="s">
        <v>19</v>
      </c>
      <c r="K313" s="28" t="s">
        <v>175</v>
      </c>
      <c r="L313" s="28" t="s">
        <v>21</v>
      </c>
      <c r="M313" s="28" t="s">
        <v>22</v>
      </c>
      <c r="N313" s="29" t="s">
        <v>33</v>
      </c>
      <c r="O313" s="28" t="s">
        <v>33</v>
      </c>
      <c r="P313" s="28" t="s">
        <v>33</v>
      </c>
      <c r="Q313" s="32"/>
      <c r="R313" s="30"/>
    </row>
    <row r="314" spans="1:18" ht="30" customHeight="1" x14ac:dyDescent="0.3">
      <c r="A314" s="26" t="str">
        <f t="shared" si="8"/>
        <v>2025서울시립대</v>
      </c>
      <c r="B314" s="26">
        <f>COUNTIFS($A$4:A314,A314)</f>
        <v>4</v>
      </c>
      <c r="C314" s="26" t="str">
        <f t="shared" si="9"/>
        <v>2025서울시립대4</v>
      </c>
      <c r="E314" s="26" t="s">
        <v>129</v>
      </c>
      <c r="F314" s="26" t="s">
        <v>17</v>
      </c>
      <c r="H314" s="28" t="s">
        <v>171</v>
      </c>
      <c r="I314" s="28">
        <v>2025</v>
      </c>
      <c r="J314" s="28" t="s">
        <v>19</v>
      </c>
      <c r="K314" s="28" t="s">
        <v>175</v>
      </c>
      <c r="L314" s="28" t="s">
        <v>24</v>
      </c>
      <c r="M314" s="28" t="s">
        <v>22</v>
      </c>
      <c r="N314" s="29" t="s">
        <v>33</v>
      </c>
      <c r="O314" s="28" t="s">
        <v>33</v>
      </c>
      <c r="P314" s="28" t="s">
        <v>33</v>
      </c>
      <c r="Q314" s="32"/>
      <c r="R314" s="30"/>
    </row>
    <row r="315" spans="1:18" ht="30" customHeight="1" x14ac:dyDescent="0.3">
      <c r="A315" s="26" t="str">
        <f t="shared" si="8"/>
        <v>2025서울시립대</v>
      </c>
      <c r="B315" s="26">
        <f>COUNTIFS($A$4:A315,A315)</f>
        <v>5</v>
      </c>
      <c r="C315" s="26" t="str">
        <f t="shared" si="9"/>
        <v>2025서울시립대5</v>
      </c>
      <c r="E315" s="26" t="s">
        <v>129</v>
      </c>
      <c r="F315" s="26" t="s">
        <v>17</v>
      </c>
      <c r="H315" s="28" t="s">
        <v>171</v>
      </c>
      <c r="I315" s="28">
        <v>2025</v>
      </c>
      <c r="J315" s="28" t="s">
        <v>19</v>
      </c>
      <c r="K315" s="28" t="s">
        <v>176</v>
      </c>
      <c r="L315" s="28" t="s">
        <v>21</v>
      </c>
      <c r="M315" s="28" t="s">
        <v>22</v>
      </c>
      <c r="N315" s="29" t="s">
        <v>177</v>
      </c>
      <c r="O315" s="28" t="s">
        <v>33</v>
      </c>
      <c r="P315" s="28" t="s">
        <v>33</v>
      </c>
      <c r="Q315" s="32" t="s">
        <v>105</v>
      </c>
      <c r="R315" s="30"/>
    </row>
    <row r="316" spans="1:18" ht="30" customHeight="1" x14ac:dyDescent="0.3">
      <c r="A316" s="26" t="str">
        <f t="shared" si="8"/>
        <v>2025서울시립대</v>
      </c>
      <c r="B316" s="26">
        <f>COUNTIFS($A$4:A316,A316)</f>
        <v>6</v>
      </c>
      <c r="C316" s="26" t="str">
        <f t="shared" si="9"/>
        <v>2025서울시립대6</v>
      </c>
      <c r="E316" s="26" t="s">
        <v>129</v>
      </c>
      <c r="F316" s="26" t="s">
        <v>17</v>
      </c>
      <c r="H316" s="28" t="s">
        <v>171</v>
      </c>
      <c r="I316" s="28">
        <v>2025</v>
      </c>
      <c r="J316" s="28" t="s">
        <v>19</v>
      </c>
      <c r="K316" s="28" t="s">
        <v>176</v>
      </c>
      <c r="L316" s="28" t="s">
        <v>24</v>
      </c>
      <c r="M316" s="28" t="s">
        <v>22</v>
      </c>
      <c r="N316" s="29" t="s">
        <v>178</v>
      </c>
      <c r="O316" s="28" t="s">
        <v>33</v>
      </c>
      <c r="P316" s="28" t="s">
        <v>33</v>
      </c>
      <c r="Q316" s="32" t="s">
        <v>105</v>
      </c>
      <c r="R316" s="30"/>
    </row>
    <row r="317" spans="1:18" ht="30" customHeight="1" x14ac:dyDescent="0.3">
      <c r="A317" s="26" t="str">
        <f t="shared" si="8"/>
        <v>2025서울시립대</v>
      </c>
      <c r="B317" s="26">
        <f>COUNTIFS($A$4:A317,A317)</f>
        <v>7</v>
      </c>
      <c r="C317" s="26" t="str">
        <f t="shared" si="9"/>
        <v>2025서울시립대7</v>
      </c>
      <c r="E317" s="26" t="s">
        <v>129</v>
      </c>
      <c r="F317" s="26" t="s">
        <v>17</v>
      </c>
      <c r="H317" s="28" t="s">
        <v>171</v>
      </c>
      <c r="I317" s="28">
        <v>2025</v>
      </c>
      <c r="J317" s="28" t="s">
        <v>50</v>
      </c>
      <c r="K317" s="28" t="s">
        <v>50</v>
      </c>
      <c r="L317" s="28" t="s">
        <v>24</v>
      </c>
      <c r="M317" s="28" t="s">
        <v>22</v>
      </c>
      <c r="N317" s="29" t="s">
        <v>33</v>
      </c>
      <c r="O317" s="28" t="s">
        <v>33</v>
      </c>
      <c r="P317" s="28" t="s">
        <v>33</v>
      </c>
      <c r="Q317" s="32"/>
      <c r="R317" s="30"/>
    </row>
    <row r="318" spans="1:18" ht="30" customHeight="1" x14ac:dyDescent="0.3">
      <c r="A318" s="26" t="str">
        <f t="shared" si="8"/>
        <v>2026서울시립대</v>
      </c>
      <c r="B318" s="26">
        <f>COUNTIFS($A$4:A318,A318)</f>
        <v>1</v>
      </c>
      <c r="C318" s="26" t="str">
        <f t="shared" si="9"/>
        <v>2026서울시립대1</v>
      </c>
      <c r="E318" s="26" t="s">
        <v>129</v>
      </c>
      <c r="F318" s="26" t="s">
        <v>17</v>
      </c>
      <c r="H318" s="28" t="s">
        <v>171</v>
      </c>
      <c r="I318" s="28">
        <v>2026</v>
      </c>
      <c r="J318" s="28" t="s">
        <v>38</v>
      </c>
      <c r="K318" s="28" t="s">
        <v>172</v>
      </c>
      <c r="L318" s="28" t="s">
        <v>21</v>
      </c>
      <c r="M318" s="28" t="s">
        <v>22</v>
      </c>
      <c r="N318" s="29" t="s">
        <v>179</v>
      </c>
      <c r="O318" s="28" t="s">
        <v>33</v>
      </c>
      <c r="P318" s="28" t="s">
        <v>33</v>
      </c>
      <c r="Q318" s="32" t="s">
        <v>180</v>
      </c>
      <c r="R318" s="30"/>
    </row>
    <row r="319" spans="1:18" ht="30" customHeight="1" x14ac:dyDescent="0.3">
      <c r="A319" s="26" t="str">
        <f t="shared" si="8"/>
        <v>2026서울시립대</v>
      </c>
      <c r="B319" s="26">
        <f>COUNTIFS($A$4:A319,A319)</f>
        <v>2</v>
      </c>
      <c r="C319" s="26" t="str">
        <f t="shared" si="9"/>
        <v>2026서울시립대2</v>
      </c>
      <c r="E319" s="26" t="s">
        <v>129</v>
      </c>
      <c r="F319" s="26" t="s">
        <v>17</v>
      </c>
      <c r="H319" s="28" t="s">
        <v>171</v>
      </c>
      <c r="I319" s="28">
        <v>2026</v>
      </c>
      <c r="J319" s="28" t="s">
        <v>38</v>
      </c>
      <c r="K319" s="28" t="s">
        <v>172</v>
      </c>
      <c r="L319" s="28" t="s">
        <v>24</v>
      </c>
      <c r="M319" s="28" t="s">
        <v>22</v>
      </c>
      <c r="N319" s="29" t="s">
        <v>179</v>
      </c>
      <c r="O319" s="28" t="s">
        <v>33</v>
      </c>
      <c r="P319" s="28" t="s">
        <v>33</v>
      </c>
      <c r="Q319" s="32" t="s">
        <v>181</v>
      </c>
      <c r="R319" s="30"/>
    </row>
    <row r="320" spans="1:18" ht="30" customHeight="1" x14ac:dyDescent="0.3">
      <c r="A320" s="26" t="str">
        <f t="shared" si="8"/>
        <v>2026서울시립대</v>
      </c>
      <c r="B320" s="26">
        <f>COUNTIFS($A$4:A320,A320)</f>
        <v>3</v>
      </c>
      <c r="C320" s="26" t="str">
        <f t="shared" si="9"/>
        <v>2026서울시립대3</v>
      </c>
      <c r="E320" s="26" t="s">
        <v>129</v>
      </c>
      <c r="F320" s="26" t="s">
        <v>17</v>
      </c>
      <c r="H320" s="28" t="s">
        <v>171</v>
      </c>
      <c r="I320" s="28">
        <v>2026</v>
      </c>
      <c r="J320" s="28" t="s">
        <v>19</v>
      </c>
      <c r="K320" s="28" t="s">
        <v>175</v>
      </c>
      <c r="L320" s="28" t="s">
        <v>21</v>
      </c>
      <c r="M320" s="28" t="s">
        <v>22</v>
      </c>
      <c r="N320" s="29" t="s">
        <v>33</v>
      </c>
      <c r="O320" s="28" t="s">
        <v>33</v>
      </c>
      <c r="P320" s="28" t="s">
        <v>33</v>
      </c>
      <c r="Q320" s="32"/>
      <c r="R320" s="30"/>
    </row>
    <row r="321" spans="1:18" ht="30" customHeight="1" x14ac:dyDescent="0.3">
      <c r="A321" s="26" t="str">
        <f t="shared" si="8"/>
        <v>2026서울시립대</v>
      </c>
      <c r="B321" s="26">
        <f>COUNTIFS($A$4:A321,A321)</f>
        <v>4</v>
      </c>
      <c r="C321" s="26" t="str">
        <f t="shared" si="9"/>
        <v>2026서울시립대4</v>
      </c>
      <c r="E321" s="26" t="s">
        <v>129</v>
      </c>
      <c r="F321" s="26" t="s">
        <v>17</v>
      </c>
      <c r="H321" s="28" t="s">
        <v>171</v>
      </c>
      <c r="I321" s="28">
        <v>2026</v>
      </c>
      <c r="J321" s="28" t="s">
        <v>19</v>
      </c>
      <c r="K321" s="28" t="s">
        <v>175</v>
      </c>
      <c r="L321" s="28" t="s">
        <v>24</v>
      </c>
      <c r="M321" s="28" t="s">
        <v>22</v>
      </c>
      <c r="N321" s="29" t="s">
        <v>33</v>
      </c>
      <c r="O321" s="28" t="s">
        <v>33</v>
      </c>
      <c r="P321" s="28" t="s">
        <v>33</v>
      </c>
      <c r="Q321" s="32"/>
      <c r="R321" s="30"/>
    </row>
    <row r="322" spans="1:18" ht="30" customHeight="1" x14ac:dyDescent="0.3">
      <c r="A322" s="26" t="str">
        <f t="shared" si="8"/>
        <v>2026서울시립대</v>
      </c>
      <c r="B322" s="26">
        <f>COUNTIFS($A$4:A322,A322)</f>
        <v>5</v>
      </c>
      <c r="C322" s="26" t="str">
        <f t="shared" si="9"/>
        <v>2026서울시립대5</v>
      </c>
      <c r="E322" s="26" t="s">
        <v>129</v>
      </c>
      <c r="F322" s="26" t="s">
        <v>17</v>
      </c>
      <c r="H322" s="28" t="s">
        <v>171</v>
      </c>
      <c r="I322" s="28">
        <v>2026</v>
      </c>
      <c r="J322" s="28" t="s">
        <v>19</v>
      </c>
      <c r="K322" s="28" t="s">
        <v>176</v>
      </c>
      <c r="L322" s="28" t="s">
        <v>21</v>
      </c>
      <c r="M322" s="28" t="s">
        <v>22</v>
      </c>
      <c r="N322" s="29" t="s">
        <v>33</v>
      </c>
      <c r="O322" s="28" t="s">
        <v>33</v>
      </c>
      <c r="P322" s="28" t="s">
        <v>33</v>
      </c>
      <c r="Q322" s="32" t="s">
        <v>72</v>
      </c>
      <c r="R322" s="30"/>
    </row>
    <row r="323" spans="1:18" ht="30" customHeight="1" x14ac:dyDescent="0.3">
      <c r="A323" s="26" t="str">
        <f t="shared" si="8"/>
        <v>2026서울시립대</v>
      </c>
      <c r="B323" s="26">
        <f>COUNTIFS($A$4:A323,A323)</f>
        <v>6</v>
      </c>
      <c r="C323" s="26" t="str">
        <f t="shared" si="9"/>
        <v>2026서울시립대6</v>
      </c>
      <c r="E323" s="26" t="s">
        <v>129</v>
      </c>
      <c r="F323" s="26" t="s">
        <v>17</v>
      </c>
      <c r="H323" s="28" t="s">
        <v>171</v>
      </c>
      <c r="I323" s="28">
        <v>2026</v>
      </c>
      <c r="J323" s="28" t="s">
        <v>19</v>
      </c>
      <c r="K323" s="28" t="s">
        <v>176</v>
      </c>
      <c r="L323" s="28" t="s">
        <v>24</v>
      </c>
      <c r="M323" s="28" t="s">
        <v>22</v>
      </c>
      <c r="N323" s="29" t="s">
        <v>33</v>
      </c>
      <c r="O323" s="28" t="s">
        <v>33</v>
      </c>
      <c r="P323" s="28" t="s">
        <v>33</v>
      </c>
      <c r="Q323" s="32" t="s">
        <v>72</v>
      </c>
      <c r="R323" s="30"/>
    </row>
    <row r="324" spans="1:18" ht="30" customHeight="1" x14ac:dyDescent="0.3">
      <c r="A324" s="26" t="str">
        <f t="shared" ref="A324:A387" si="10">I324&amp;H324</f>
        <v>2026서울시립대</v>
      </c>
      <c r="B324" s="26">
        <f>COUNTIFS($A$4:A324,A324)</f>
        <v>7</v>
      </c>
      <c r="C324" s="26" t="str">
        <f t="shared" ref="C324:C387" si="11">A324&amp;B324</f>
        <v>2026서울시립대7</v>
      </c>
      <c r="E324" s="26" t="s">
        <v>129</v>
      </c>
      <c r="F324" s="26" t="s">
        <v>17</v>
      </c>
      <c r="H324" s="28" t="s">
        <v>171</v>
      </c>
      <c r="I324" s="28">
        <v>2026</v>
      </c>
      <c r="J324" s="28" t="s">
        <v>50</v>
      </c>
      <c r="K324" s="28" t="s">
        <v>50</v>
      </c>
      <c r="L324" s="28" t="s">
        <v>21</v>
      </c>
      <c r="M324" s="28" t="s">
        <v>22</v>
      </c>
      <c r="N324" s="29" t="s">
        <v>33</v>
      </c>
      <c r="O324" s="28" t="s">
        <v>33</v>
      </c>
      <c r="P324" s="28" t="s">
        <v>33</v>
      </c>
      <c r="Q324" s="32"/>
      <c r="R324" s="30"/>
    </row>
    <row r="325" spans="1:18" ht="30" customHeight="1" x14ac:dyDescent="0.3">
      <c r="A325" s="26" t="str">
        <f t="shared" si="10"/>
        <v>2026서울시립대</v>
      </c>
      <c r="B325" s="26">
        <f>COUNTIFS($A$4:A325,A325)</f>
        <v>8</v>
      </c>
      <c r="C325" s="26" t="str">
        <f t="shared" si="11"/>
        <v>2026서울시립대8</v>
      </c>
      <c r="E325" s="26" t="s">
        <v>129</v>
      </c>
      <c r="F325" s="26" t="s">
        <v>17</v>
      </c>
      <c r="H325" s="28" t="s">
        <v>171</v>
      </c>
      <c r="I325" s="28">
        <v>2026</v>
      </c>
      <c r="J325" s="28" t="s">
        <v>50</v>
      </c>
      <c r="K325" s="28" t="s">
        <v>50</v>
      </c>
      <c r="L325" s="28" t="s">
        <v>24</v>
      </c>
      <c r="M325" s="28" t="s">
        <v>22</v>
      </c>
      <c r="N325" s="29" t="s">
        <v>33</v>
      </c>
      <c r="O325" s="28" t="s">
        <v>33</v>
      </c>
      <c r="P325" s="28" t="s">
        <v>33</v>
      </c>
      <c r="Q325" s="32"/>
      <c r="R325" s="30"/>
    </row>
    <row r="326" spans="1:18" ht="30" customHeight="1" x14ac:dyDescent="0.3">
      <c r="A326" s="26" t="str">
        <f t="shared" si="10"/>
        <v>2027서울시립대</v>
      </c>
      <c r="B326" s="26">
        <f>COUNTIFS($A$4:A326,A326)</f>
        <v>1</v>
      </c>
      <c r="C326" s="26" t="str">
        <f t="shared" si="11"/>
        <v>2027서울시립대1</v>
      </c>
      <c r="E326" s="26" t="s">
        <v>129</v>
      </c>
      <c r="F326" s="26" t="s">
        <v>17</v>
      </c>
      <c r="H326" s="28" t="s">
        <v>171</v>
      </c>
      <c r="I326" s="28">
        <v>2027</v>
      </c>
      <c r="J326" s="28" t="s">
        <v>38</v>
      </c>
      <c r="K326" s="28" t="s">
        <v>172</v>
      </c>
      <c r="L326" s="28" t="s">
        <v>21</v>
      </c>
      <c r="M326" s="28" t="s">
        <v>22</v>
      </c>
      <c r="N326" s="29" t="s">
        <v>179</v>
      </c>
      <c r="O326" s="28" t="s">
        <v>33</v>
      </c>
      <c r="P326" s="28" t="s">
        <v>33</v>
      </c>
      <c r="Q326" s="32"/>
      <c r="R326" s="30"/>
    </row>
    <row r="327" spans="1:18" ht="30" customHeight="1" x14ac:dyDescent="0.3">
      <c r="A327" s="26" t="str">
        <f t="shared" si="10"/>
        <v>2027서울시립대</v>
      </c>
      <c r="B327" s="26">
        <f>COUNTIFS($A$4:A327,A327)</f>
        <v>2</v>
      </c>
      <c r="C327" s="26" t="str">
        <f t="shared" si="11"/>
        <v>2027서울시립대2</v>
      </c>
      <c r="E327" s="26" t="s">
        <v>129</v>
      </c>
      <c r="F327" s="26" t="s">
        <v>17</v>
      </c>
      <c r="H327" s="28" t="s">
        <v>171</v>
      </c>
      <c r="I327" s="28">
        <v>2027</v>
      </c>
      <c r="J327" s="28" t="s">
        <v>38</v>
      </c>
      <c r="K327" s="28" t="s">
        <v>172</v>
      </c>
      <c r="L327" s="28" t="s">
        <v>24</v>
      </c>
      <c r="M327" s="28" t="s">
        <v>22</v>
      </c>
      <c r="N327" s="29" t="s">
        <v>179</v>
      </c>
      <c r="O327" s="28" t="s">
        <v>33</v>
      </c>
      <c r="P327" s="28" t="s">
        <v>33</v>
      </c>
      <c r="Q327" s="32"/>
      <c r="R327" s="30"/>
    </row>
    <row r="328" spans="1:18" ht="30" customHeight="1" x14ac:dyDescent="0.3">
      <c r="A328" s="26" t="str">
        <f t="shared" si="10"/>
        <v>2027서울시립대</v>
      </c>
      <c r="B328" s="26">
        <f>COUNTIFS($A$4:A328,A328)</f>
        <v>3</v>
      </c>
      <c r="C328" s="26" t="str">
        <f t="shared" si="11"/>
        <v>2027서울시립대3</v>
      </c>
      <c r="E328" s="26" t="s">
        <v>129</v>
      </c>
      <c r="F328" s="26" t="s">
        <v>17</v>
      </c>
      <c r="H328" s="28" t="s">
        <v>171</v>
      </c>
      <c r="I328" s="28">
        <v>2027</v>
      </c>
      <c r="J328" s="28" t="s">
        <v>19</v>
      </c>
      <c r="K328" s="28" t="s">
        <v>175</v>
      </c>
      <c r="L328" s="28" t="s">
        <v>21</v>
      </c>
      <c r="M328" s="28" t="s">
        <v>22</v>
      </c>
      <c r="N328" s="29" t="s">
        <v>33</v>
      </c>
      <c r="O328" s="28" t="s">
        <v>33</v>
      </c>
      <c r="P328" s="28" t="s">
        <v>33</v>
      </c>
      <c r="Q328" s="32"/>
      <c r="R328" s="30"/>
    </row>
    <row r="329" spans="1:18" ht="30" customHeight="1" x14ac:dyDescent="0.3">
      <c r="A329" s="26" t="str">
        <f t="shared" si="10"/>
        <v>2027서울시립대</v>
      </c>
      <c r="B329" s="26">
        <f>COUNTIFS($A$4:A329,A329)</f>
        <v>4</v>
      </c>
      <c r="C329" s="26" t="str">
        <f t="shared" si="11"/>
        <v>2027서울시립대4</v>
      </c>
      <c r="E329" s="26" t="s">
        <v>129</v>
      </c>
      <c r="F329" s="26" t="s">
        <v>17</v>
      </c>
      <c r="H329" s="28" t="s">
        <v>171</v>
      </c>
      <c r="I329" s="28">
        <v>2027</v>
      </c>
      <c r="J329" s="28" t="s">
        <v>19</v>
      </c>
      <c r="K329" s="28" t="s">
        <v>175</v>
      </c>
      <c r="L329" s="28" t="s">
        <v>24</v>
      </c>
      <c r="M329" s="28" t="s">
        <v>22</v>
      </c>
      <c r="N329" s="29" t="s">
        <v>33</v>
      </c>
      <c r="O329" s="28" t="s">
        <v>33</v>
      </c>
      <c r="P329" s="28" t="s">
        <v>33</v>
      </c>
      <c r="Q329" s="32"/>
      <c r="R329" s="30"/>
    </row>
    <row r="330" spans="1:18" ht="30" customHeight="1" x14ac:dyDescent="0.3">
      <c r="A330" s="26" t="str">
        <f t="shared" si="10"/>
        <v>2027서울시립대</v>
      </c>
      <c r="B330" s="26">
        <f>COUNTIFS($A$4:A330,A330)</f>
        <v>5</v>
      </c>
      <c r="C330" s="26" t="str">
        <f t="shared" si="11"/>
        <v>2027서울시립대5</v>
      </c>
      <c r="E330" s="26" t="s">
        <v>129</v>
      </c>
      <c r="F330" s="26" t="s">
        <v>17</v>
      </c>
      <c r="H330" s="28" t="s">
        <v>171</v>
      </c>
      <c r="I330" s="28">
        <v>2027</v>
      </c>
      <c r="J330" s="28" t="s">
        <v>19</v>
      </c>
      <c r="K330" s="28" t="s">
        <v>176</v>
      </c>
      <c r="L330" s="28" t="s">
        <v>21</v>
      </c>
      <c r="M330" s="28" t="s">
        <v>22</v>
      </c>
      <c r="N330" s="29" t="s">
        <v>33</v>
      </c>
      <c r="O330" s="28" t="s">
        <v>33</v>
      </c>
      <c r="P330" s="28" t="s">
        <v>33</v>
      </c>
      <c r="Q330" s="32"/>
      <c r="R330" s="30"/>
    </row>
    <row r="331" spans="1:18" ht="30" customHeight="1" x14ac:dyDescent="0.3">
      <c r="A331" s="26" t="str">
        <f t="shared" si="10"/>
        <v>2027서울시립대</v>
      </c>
      <c r="B331" s="26">
        <f>COUNTIFS($A$4:A331,A331)</f>
        <v>6</v>
      </c>
      <c r="C331" s="26" t="str">
        <f t="shared" si="11"/>
        <v>2027서울시립대6</v>
      </c>
      <c r="E331" s="26" t="s">
        <v>129</v>
      </c>
      <c r="F331" s="26" t="s">
        <v>17</v>
      </c>
      <c r="H331" s="28" t="s">
        <v>171</v>
      </c>
      <c r="I331" s="28">
        <v>2027</v>
      </c>
      <c r="J331" s="28" t="s">
        <v>19</v>
      </c>
      <c r="K331" s="28" t="s">
        <v>176</v>
      </c>
      <c r="L331" s="28" t="s">
        <v>24</v>
      </c>
      <c r="M331" s="28" t="s">
        <v>22</v>
      </c>
      <c r="N331" s="29" t="s">
        <v>33</v>
      </c>
      <c r="O331" s="28" t="s">
        <v>33</v>
      </c>
      <c r="P331" s="28" t="s">
        <v>33</v>
      </c>
      <c r="Q331" s="32"/>
      <c r="R331" s="30"/>
    </row>
    <row r="332" spans="1:18" ht="30" customHeight="1" x14ac:dyDescent="0.3">
      <c r="A332" s="26" t="str">
        <f t="shared" si="10"/>
        <v>2027서울시립대</v>
      </c>
      <c r="B332" s="26">
        <f>COUNTIFS($A$4:A332,A332)</f>
        <v>7</v>
      </c>
      <c r="C332" s="26" t="str">
        <f t="shared" si="11"/>
        <v>2027서울시립대7</v>
      </c>
      <c r="E332" s="26" t="s">
        <v>129</v>
      </c>
      <c r="F332" s="26" t="s">
        <v>17</v>
      </c>
      <c r="H332" s="28" t="s">
        <v>171</v>
      </c>
      <c r="I332" s="28">
        <v>2027</v>
      </c>
      <c r="J332" s="28" t="s">
        <v>50</v>
      </c>
      <c r="K332" s="28" t="s">
        <v>50</v>
      </c>
      <c r="L332" s="28" t="s">
        <v>21</v>
      </c>
      <c r="M332" s="28" t="s">
        <v>22</v>
      </c>
      <c r="N332" s="29" t="s">
        <v>33</v>
      </c>
      <c r="O332" s="28" t="s">
        <v>33</v>
      </c>
      <c r="P332" s="28" t="s">
        <v>33</v>
      </c>
      <c r="Q332" s="32"/>
      <c r="R332" s="30"/>
    </row>
    <row r="333" spans="1:18" ht="30" customHeight="1" x14ac:dyDescent="0.3">
      <c r="A333" s="26" t="str">
        <f t="shared" si="10"/>
        <v>2027서울시립대</v>
      </c>
      <c r="B333" s="26">
        <f>COUNTIFS($A$4:A333,A333)</f>
        <v>8</v>
      </c>
      <c r="C333" s="26" t="str">
        <f t="shared" si="11"/>
        <v>2027서울시립대8</v>
      </c>
      <c r="E333" s="26" t="s">
        <v>129</v>
      </c>
      <c r="F333" s="26" t="s">
        <v>17</v>
      </c>
      <c r="H333" s="28" t="s">
        <v>171</v>
      </c>
      <c r="I333" s="28">
        <v>2027</v>
      </c>
      <c r="J333" s="28" t="s">
        <v>50</v>
      </c>
      <c r="K333" s="28" t="s">
        <v>50</v>
      </c>
      <c r="L333" s="28" t="s">
        <v>24</v>
      </c>
      <c r="M333" s="28" t="s">
        <v>22</v>
      </c>
      <c r="N333" s="29" t="s">
        <v>33</v>
      </c>
      <c r="O333" s="28" t="s">
        <v>33</v>
      </c>
      <c r="P333" s="28" t="s">
        <v>33</v>
      </c>
      <c r="Q333" s="32"/>
      <c r="R333" s="30"/>
    </row>
    <row r="334" spans="1:18" ht="30" customHeight="1" x14ac:dyDescent="0.3">
      <c r="A334" s="26" t="str">
        <f t="shared" si="10"/>
        <v>2025이화여대</v>
      </c>
      <c r="B334" s="26">
        <f>COUNTIFS($A$4:A334,A334)</f>
        <v>1</v>
      </c>
      <c r="C334" s="26" t="str">
        <f t="shared" si="11"/>
        <v>2025이화여대1</v>
      </c>
      <c r="E334" s="26" t="s">
        <v>129</v>
      </c>
      <c r="F334" s="26" t="s">
        <v>17</v>
      </c>
      <c r="H334" s="28" t="s">
        <v>182</v>
      </c>
      <c r="I334" s="28">
        <v>2025</v>
      </c>
      <c r="J334" s="28" t="s">
        <v>38</v>
      </c>
      <c r="K334" s="28" t="s">
        <v>183</v>
      </c>
      <c r="L334" s="28" t="s">
        <v>21</v>
      </c>
      <c r="M334" s="28" t="s">
        <v>22</v>
      </c>
      <c r="N334" s="29" t="s">
        <v>33</v>
      </c>
      <c r="O334" s="28" t="s">
        <v>33</v>
      </c>
      <c r="P334" s="28" t="s">
        <v>33</v>
      </c>
      <c r="Q334" s="32"/>
      <c r="R334" s="30"/>
    </row>
    <row r="335" spans="1:18" ht="30" customHeight="1" x14ac:dyDescent="0.3">
      <c r="A335" s="26" t="str">
        <f t="shared" si="10"/>
        <v>2025이화여대</v>
      </c>
      <c r="B335" s="26">
        <f>COUNTIFS($A$4:A335,A335)</f>
        <v>2</v>
      </c>
      <c r="C335" s="26" t="str">
        <f t="shared" si="11"/>
        <v>2025이화여대2</v>
      </c>
      <c r="E335" s="26" t="s">
        <v>129</v>
      </c>
      <c r="F335" s="26" t="s">
        <v>17</v>
      </c>
      <c r="H335" s="28" t="s">
        <v>182</v>
      </c>
      <c r="I335" s="28">
        <v>2025</v>
      </c>
      <c r="J335" s="28" t="s">
        <v>38</v>
      </c>
      <c r="K335" s="28" t="s">
        <v>183</v>
      </c>
      <c r="L335" s="28" t="s">
        <v>24</v>
      </c>
      <c r="M335" s="28" t="s">
        <v>22</v>
      </c>
      <c r="N335" s="29" t="s">
        <v>33</v>
      </c>
      <c r="O335" s="28" t="s">
        <v>33</v>
      </c>
      <c r="P335" s="28" t="s">
        <v>33</v>
      </c>
      <c r="Q335" s="32"/>
      <c r="R335" s="30"/>
    </row>
    <row r="336" spans="1:18" ht="60" x14ac:dyDescent="0.3">
      <c r="A336" s="26" t="str">
        <f t="shared" si="10"/>
        <v>2025이화여대</v>
      </c>
      <c r="B336" s="26">
        <f>COUNTIFS($A$4:A336,A336)</f>
        <v>3</v>
      </c>
      <c r="C336" s="26" t="str">
        <f t="shared" si="11"/>
        <v>2025이화여대3</v>
      </c>
      <c r="E336" s="26" t="s">
        <v>129</v>
      </c>
      <c r="F336" s="26" t="s">
        <v>17</v>
      </c>
      <c r="H336" s="28" t="s">
        <v>182</v>
      </c>
      <c r="I336" s="28">
        <v>2025</v>
      </c>
      <c r="J336" s="28" t="s">
        <v>19</v>
      </c>
      <c r="K336" s="28" t="s">
        <v>184</v>
      </c>
      <c r="L336" s="28" t="s">
        <v>21</v>
      </c>
      <c r="M336" s="28" t="s">
        <v>22</v>
      </c>
      <c r="N336" s="29" t="s">
        <v>185</v>
      </c>
      <c r="O336" s="28" t="s">
        <v>33</v>
      </c>
      <c r="P336" s="28" t="s">
        <v>33</v>
      </c>
      <c r="Q336" s="32"/>
      <c r="R336" s="30"/>
    </row>
    <row r="337" spans="1:18" ht="30" customHeight="1" x14ac:dyDescent="0.3">
      <c r="A337" s="26" t="str">
        <f t="shared" si="10"/>
        <v>2025이화여대</v>
      </c>
      <c r="B337" s="26">
        <f>COUNTIFS($A$4:A337,A337)</f>
        <v>4</v>
      </c>
      <c r="C337" s="26" t="str">
        <f t="shared" si="11"/>
        <v>2025이화여대4</v>
      </c>
      <c r="E337" s="26" t="s">
        <v>129</v>
      </c>
      <c r="F337" s="26" t="s">
        <v>17</v>
      </c>
      <c r="H337" s="28" t="s">
        <v>182</v>
      </c>
      <c r="I337" s="28">
        <v>2025</v>
      </c>
      <c r="J337" s="28" t="s">
        <v>19</v>
      </c>
      <c r="K337" s="28" t="s">
        <v>184</v>
      </c>
      <c r="L337" s="28" t="s">
        <v>24</v>
      </c>
      <c r="M337" s="28" t="s">
        <v>22</v>
      </c>
      <c r="N337" s="29" t="s">
        <v>186</v>
      </c>
      <c r="O337" s="28" t="s">
        <v>33</v>
      </c>
      <c r="P337" s="28" t="s">
        <v>33</v>
      </c>
      <c r="Q337" s="32"/>
      <c r="R337" s="30"/>
    </row>
    <row r="338" spans="1:18" ht="60" x14ac:dyDescent="0.3">
      <c r="A338" s="26" t="str">
        <f t="shared" si="10"/>
        <v>2025이화여대</v>
      </c>
      <c r="B338" s="26">
        <f>COUNTIFS($A$4:A338,A338)</f>
        <v>5</v>
      </c>
      <c r="C338" s="26" t="str">
        <f t="shared" si="11"/>
        <v>2025이화여대5</v>
      </c>
      <c r="E338" s="26" t="s">
        <v>129</v>
      </c>
      <c r="F338" s="26" t="s">
        <v>17</v>
      </c>
      <c r="H338" s="28" t="s">
        <v>182</v>
      </c>
      <c r="I338" s="28">
        <v>2025</v>
      </c>
      <c r="J338" s="28" t="s">
        <v>19</v>
      </c>
      <c r="K338" s="28" t="s">
        <v>184</v>
      </c>
      <c r="L338" s="28" t="s">
        <v>24</v>
      </c>
      <c r="M338" s="28" t="s">
        <v>42</v>
      </c>
      <c r="N338" s="29" t="s">
        <v>187</v>
      </c>
      <c r="O338" s="28" t="s">
        <v>33</v>
      </c>
      <c r="P338" s="28" t="s">
        <v>33</v>
      </c>
      <c r="Q338" s="32"/>
      <c r="R338" s="30"/>
    </row>
    <row r="339" spans="1:18" ht="60" x14ac:dyDescent="0.3">
      <c r="A339" s="26" t="str">
        <f t="shared" si="10"/>
        <v>2025이화여대</v>
      </c>
      <c r="B339" s="26">
        <f>COUNTIFS($A$4:A339,A339)</f>
        <v>6</v>
      </c>
      <c r="C339" s="26" t="str">
        <f t="shared" si="11"/>
        <v>2025이화여대6</v>
      </c>
      <c r="E339" s="26" t="s">
        <v>129</v>
      </c>
      <c r="F339" s="26" t="s">
        <v>17</v>
      </c>
      <c r="H339" s="28" t="s">
        <v>182</v>
      </c>
      <c r="I339" s="28">
        <v>2025</v>
      </c>
      <c r="J339" s="28" t="s">
        <v>19</v>
      </c>
      <c r="K339" s="28" t="s">
        <v>184</v>
      </c>
      <c r="L339" s="28" t="s">
        <v>188</v>
      </c>
      <c r="M339" s="28" t="s">
        <v>22</v>
      </c>
      <c r="N339" s="29" t="s">
        <v>189</v>
      </c>
      <c r="O339" s="28" t="s">
        <v>33</v>
      </c>
      <c r="P339" s="28" t="s">
        <v>33</v>
      </c>
      <c r="Q339" s="32"/>
      <c r="R339" s="30"/>
    </row>
    <row r="340" spans="1:18" ht="30" customHeight="1" x14ac:dyDescent="0.3">
      <c r="A340" s="26" t="str">
        <f t="shared" si="10"/>
        <v>2025이화여대</v>
      </c>
      <c r="B340" s="26">
        <f>COUNTIFS($A$4:A340,A340)</f>
        <v>7</v>
      </c>
      <c r="C340" s="26" t="str">
        <f t="shared" si="11"/>
        <v>2025이화여대7</v>
      </c>
      <c r="E340" s="26" t="s">
        <v>129</v>
      </c>
      <c r="F340" s="26" t="s">
        <v>17</v>
      </c>
      <c r="H340" s="28" t="s">
        <v>182</v>
      </c>
      <c r="I340" s="28">
        <v>2025</v>
      </c>
      <c r="J340" s="28" t="s">
        <v>50</v>
      </c>
      <c r="K340" s="28" t="s">
        <v>50</v>
      </c>
      <c r="L340" s="28" t="s">
        <v>21</v>
      </c>
      <c r="M340" s="28" t="s">
        <v>22</v>
      </c>
      <c r="N340" s="29" t="s">
        <v>190</v>
      </c>
      <c r="O340" s="28" t="s">
        <v>33</v>
      </c>
      <c r="P340" s="28" t="s">
        <v>33</v>
      </c>
      <c r="Q340" s="32"/>
      <c r="R340" s="30"/>
    </row>
    <row r="341" spans="1:18" ht="30" customHeight="1" x14ac:dyDescent="0.3">
      <c r="A341" s="26" t="str">
        <f t="shared" si="10"/>
        <v>2025이화여대</v>
      </c>
      <c r="B341" s="26">
        <f>COUNTIFS($A$4:A341,A341)</f>
        <v>8</v>
      </c>
      <c r="C341" s="26" t="str">
        <f t="shared" si="11"/>
        <v>2025이화여대8</v>
      </c>
      <c r="E341" s="26" t="s">
        <v>129</v>
      </c>
      <c r="F341" s="26" t="s">
        <v>17</v>
      </c>
      <c r="H341" s="28" t="s">
        <v>182</v>
      </c>
      <c r="I341" s="28">
        <v>2025</v>
      </c>
      <c r="J341" s="28" t="s">
        <v>50</v>
      </c>
      <c r="K341" s="28" t="s">
        <v>50</v>
      </c>
      <c r="L341" s="28" t="s">
        <v>24</v>
      </c>
      <c r="M341" s="28"/>
      <c r="N341" s="29" t="s">
        <v>186</v>
      </c>
      <c r="O341" s="28" t="s">
        <v>33</v>
      </c>
      <c r="P341" s="28" t="s">
        <v>33</v>
      </c>
      <c r="Q341" s="32"/>
      <c r="R341" s="30"/>
    </row>
    <row r="342" spans="1:18" ht="30" customHeight="1" x14ac:dyDescent="0.3">
      <c r="A342" s="26" t="str">
        <f t="shared" si="10"/>
        <v>2025이화여대</v>
      </c>
      <c r="B342" s="26">
        <f>COUNTIFS($A$4:A342,A342)</f>
        <v>9</v>
      </c>
      <c r="C342" s="26" t="str">
        <f t="shared" si="11"/>
        <v>2025이화여대9</v>
      </c>
      <c r="E342" s="26" t="s">
        <v>129</v>
      </c>
      <c r="F342" s="26" t="s">
        <v>17</v>
      </c>
      <c r="H342" s="28" t="s">
        <v>182</v>
      </c>
      <c r="I342" s="28">
        <v>2025</v>
      </c>
      <c r="J342" s="28" t="s">
        <v>50</v>
      </c>
      <c r="K342" s="28" t="s">
        <v>50</v>
      </c>
      <c r="L342" s="28" t="s">
        <v>24</v>
      </c>
      <c r="M342" s="28" t="s">
        <v>42</v>
      </c>
      <c r="N342" s="29" t="s">
        <v>191</v>
      </c>
      <c r="O342" s="28" t="s">
        <v>33</v>
      </c>
      <c r="P342" s="28" t="s">
        <v>33</v>
      </c>
      <c r="Q342" s="32"/>
      <c r="R342" s="30"/>
    </row>
    <row r="343" spans="1:18" ht="30" customHeight="1" x14ac:dyDescent="0.3">
      <c r="A343" s="26" t="str">
        <f t="shared" si="10"/>
        <v>2025이화여대</v>
      </c>
      <c r="B343" s="26">
        <f>COUNTIFS($A$4:A343,A343)</f>
        <v>10</v>
      </c>
      <c r="C343" s="26" t="str">
        <f t="shared" si="11"/>
        <v>2025이화여대10</v>
      </c>
      <c r="E343" s="26" t="s">
        <v>129</v>
      </c>
      <c r="F343" s="26" t="s">
        <v>17</v>
      </c>
      <c r="H343" s="28" t="s">
        <v>182</v>
      </c>
      <c r="I343" s="28">
        <v>2025</v>
      </c>
      <c r="J343" s="28" t="s">
        <v>50</v>
      </c>
      <c r="K343" s="28" t="s">
        <v>50</v>
      </c>
      <c r="L343" s="28" t="s">
        <v>188</v>
      </c>
      <c r="M343" s="28" t="s">
        <v>22</v>
      </c>
      <c r="N343" s="29" t="s">
        <v>192</v>
      </c>
      <c r="O343" s="28" t="s">
        <v>33</v>
      </c>
      <c r="P343" s="28" t="s">
        <v>33</v>
      </c>
      <c r="Q343" s="32"/>
      <c r="R343" s="30"/>
    </row>
    <row r="344" spans="1:18" ht="30" customHeight="1" x14ac:dyDescent="0.3">
      <c r="A344" s="26" t="str">
        <f t="shared" si="10"/>
        <v>2026이화여대</v>
      </c>
      <c r="B344" s="26">
        <f>COUNTIFS($A$4:A344,A344)</f>
        <v>1</v>
      </c>
      <c r="C344" s="26" t="str">
        <f t="shared" si="11"/>
        <v>2026이화여대1</v>
      </c>
      <c r="E344" s="26" t="s">
        <v>129</v>
      </c>
      <c r="F344" s="26" t="s">
        <v>17</v>
      </c>
      <c r="H344" s="28" t="s">
        <v>182</v>
      </c>
      <c r="I344" s="28">
        <v>2026</v>
      </c>
      <c r="J344" s="28" t="s">
        <v>38</v>
      </c>
      <c r="K344" s="28" t="s">
        <v>183</v>
      </c>
      <c r="L344" s="28" t="s">
        <v>21</v>
      </c>
      <c r="M344" s="28" t="s">
        <v>22</v>
      </c>
      <c r="N344" s="29" t="s">
        <v>193</v>
      </c>
      <c r="O344" s="28" t="s">
        <v>33</v>
      </c>
      <c r="P344" s="28" t="s">
        <v>33</v>
      </c>
      <c r="Q344" s="32" t="s">
        <v>105</v>
      </c>
      <c r="R344" s="30"/>
    </row>
    <row r="345" spans="1:18" ht="30" customHeight="1" x14ac:dyDescent="0.3">
      <c r="A345" s="26" t="str">
        <f t="shared" si="10"/>
        <v>2026이화여대</v>
      </c>
      <c r="B345" s="26">
        <f>COUNTIFS($A$4:A345,A345)</f>
        <v>2</v>
      </c>
      <c r="C345" s="26" t="str">
        <f t="shared" si="11"/>
        <v>2026이화여대2</v>
      </c>
      <c r="E345" s="26" t="s">
        <v>129</v>
      </c>
      <c r="F345" s="26" t="s">
        <v>17</v>
      </c>
      <c r="H345" s="28" t="s">
        <v>182</v>
      </c>
      <c r="I345" s="28">
        <v>2026</v>
      </c>
      <c r="J345" s="28" t="s">
        <v>38</v>
      </c>
      <c r="K345" s="28" t="s">
        <v>183</v>
      </c>
      <c r="L345" s="28" t="s">
        <v>24</v>
      </c>
      <c r="M345" s="28" t="s">
        <v>22</v>
      </c>
      <c r="N345" s="29" t="s">
        <v>193</v>
      </c>
      <c r="O345" s="28" t="s">
        <v>33</v>
      </c>
      <c r="P345" s="28" t="s">
        <v>33</v>
      </c>
      <c r="Q345" s="32" t="s">
        <v>105</v>
      </c>
      <c r="R345" s="30"/>
    </row>
    <row r="346" spans="1:18" ht="30" customHeight="1" x14ac:dyDescent="0.3">
      <c r="A346" s="26" t="str">
        <f t="shared" si="10"/>
        <v>2026이화여대</v>
      </c>
      <c r="B346" s="26">
        <f>COUNTIFS($A$4:A346,A346)</f>
        <v>3</v>
      </c>
      <c r="C346" s="26" t="str">
        <f t="shared" si="11"/>
        <v>2026이화여대3</v>
      </c>
      <c r="E346" s="26" t="s">
        <v>129</v>
      </c>
      <c r="F346" s="26" t="s">
        <v>17</v>
      </c>
      <c r="H346" s="28" t="s">
        <v>182</v>
      </c>
      <c r="I346" s="28">
        <v>2026</v>
      </c>
      <c r="J346" s="28" t="s">
        <v>19</v>
      </c>
      <c r="K346" s="28" t="s">
        <v>194</v>
      </c>
      <c r="L346" s="28" t="s">
        <v>21</v>
      </c>
      <c r="M346" s="28" t="s">
        <v>22</v>
      </c>
      <c r="N346" s="29" t="s">
        <v>195</v>
      </c>
      <c r="O346" s="28" t="s">
        <v>33</v>
      </c>
      <c r="P346" s="28" t="s">
        <v>33</v>
      </c>
      <c r="Q346" s="32" t="s">
        <v>180</v>
      </c>
      <c r="R346" s="30"/>
    </row>
    <row r="347" spans="1:18" ht="30" customHeight="1" x14ac:dyDescent="0.3">
      <c r="A347" s="26" t="str">
        <f t="shared" si="10"/>
        <v>2026이화여대</v>
      </c>
      <c r="B347" s="26">
        <f>COUNTIFS($A$4:A347,A347)</f>
        <v>4</v>
      </c>
      <c r="C347" s="26" t="str">
        <f t="shared" si="11"/>
        <v>2026이화여대4</v>
      </c>
      <c r="E347" s="26" t="s">
        <v>129</v>
      </c>
      <c r="F347" s="26" t="s">
        <v>17</v>
      </c>
      <c r="H347" s="28" t="s">
        <v>182</v>
      </c>
      <c r="I347" s="28">
        <v>2026</v>
      </c>
      <c r="J347" s="28" t="s">
        <v>19</v>
      </c>
      <c r="K347" s="28" t="s">
        <v>194</v>
      </c>
      <c r="L347" s="28" t="s">
        <v>24</v>
      </c>
      <c r="M347" s="28" t="s">
        <v>22</v>
      </c>
      <c r="N347" s="29" t="s">
        <v>186</v>
      </c>
      <c r="O347" s="28" t="s">
        <v>33</v>
      </c>
      <c r="P347" s="28" t="s">
        <v>33</v>
      </c>
      <c r="Q347" s="32"/>
      <c r="R347" s="30"/>
    </row>
    <row r="348" spans="1:18" ht="60" x14ac:dyDescent="0.3">
      <c r="A348" s="26" t="str">
        <f t="shared" si="10"/>
        <v>2026이화여대</v>
      </c>
      <c r="B348" s="26">
        <f>COUNTIFS($A$4:A348,A348)</f>
        <v>5</v>
      </c>
      <c r="C348" s="26" t="str">
        <f t="shared" si="11"/>
        <v>2026이화여대5</v>
      </c>
      <c r="E348" s="26" t="s">
        <v>129</v>
      </c>
      <c r="F348" s="26" t="s">
        <v>17</v>
      </c>
      <c r="H348" s="28" t="s">
        <v>182</v>
      </c>
      <c r="I348" s="28">
        <v>2026</v>
      </c>
      <c r="J348" s="28" t="s">
        <v>19</v>
      </c>
      <c r="K348" s="28" t="s">
        <v>194</v>
      </c>
      <c r="L348" s="28" t="s">
        <v>24</v>
      </c>
      <c r="M348" s="28" t="s">
        <v>42</v>
      </c>
      <c r="N348" s="29" t="s">
        <v>187</v>
      </c>
      <c r="O348" s="28" t="s">
        <v>33</v>
      </c>
      <c r="P348" s="28" t="s">
        <v>33</v>
      </c>
      <c r="Q348" s="32"/>
      <c r="R348" s="30"/>
    </row>
    <row r="349" spans="1:18" ht="60" x14ac:dyDescent="0.3">
      <c r="A349" s="26" t="str">
        <f t="shared" si="10"/>
        <v>2026이화여대</v>
      </c>
      <c r="B349" s="26">
        <f>COUNTIFS($A$4:A349,A349)</f>
        <v>6</v>
      </c>
      <c r="C349" s="26" t="str">
        <f t="shared" si="11"/>
        <v>2026이화여대6</v>
      </c>
      <c r="E349" s="26" t="s">
        <v>129</v>
      </c>
      <c r="F349" s="26" t="s">
        <v>17</v>
      </c>
      <c r="H349" s="28" t="s">
        <v>182</v>
      </c>
      <c r="I349" s="28">
        <v>2026</v>
      </c>
      <c r="J349" s="28" t="s">
        <v>19</v>
      </c>
      <c r="K349" s="28" t="s">
        <v>194</v>
      </c>
      <c r="L349" s="28" t="s">
        <v>188</v>
      </c>
      <c r="M349" s="28" t="s">
        <v>22</v>
      </c>
      <c r="N349" s="29" t="s">
        <v>196</v>
      </c>
      <c r="O349" s="28" t="s">
        <v>33</v>
      </c>
      <c r="P349" s="28" t="s">
        <v>33</v>
      </c>
      <c r="Q349" s="32" t="s">
        <v>197</v>
      </c>
      <c r="R349" s="30"/>
    </row>
    <row r="350" spans="1:18" ht="30" customHeight="1" x14ac:dyDescent="0.3">
      <c r="A350" s="26" t="str">
        <f t="shared" si="10"/>
        <v>2026이화여대</v>
      </c>
      <c r="B350" s="26">
        <f>COUNTIFS($A$4:A350,A350)</f>
        <v>7</v>
      </c>
      <c r="C350" s="26" t="str">
        <f t="shared" si="11"/>
        <v>2026이화여대7</v>
      </c>
      <c r="E350" s="26" t="s">
        <v>129</v>
      </c>
      <c r="F350" s="26" t="s">
        <v>17</v>
      </c>
      <c r="H350" s="28" t="s">
        <v>182</v>
      </c>
      <c r="I350" s="28">
        <v>2026</v>
      </c>
      <c r="J350" s="28" t="s">
        <v>19</v>
      </c>
      <c r="K350" s="28" t="s">
        <v>198</v>
      </c>
      <c r="L350" s="28" t="s">
        <v>21</v>
      </c>
      <c r="M350" s="28" t="s">
        <v>22</v>
      </c>
      <c r="N350" s="29" t="s">
        <v>22</v>
      </c>
      <c r="O350" s="28" t="s">
        <v>33</v>
      </c>
      <c r="P350" s="28" t="s">
        <v>33</v>
      </c>
      <c r="Q350" s="32" t="s">
        <v>199</v>
      </c>
      <c r="R350" s="30"/>
    </row>
    <row r="351" spans="1:18" ht="30" customHeight="1" x14ac:dyDescent="0.3">
      <c r="A351" s="26" t="str">
        <f t="shared" si="10"/>
        <v>2026이화여대</v>
      </c>
      <c r="B351" s="26">
        <f>COUNTIFS($A$4:A351,A351)</f>
        <v>8</v>
      </c>
      <c r="C351" s="26" t="str">
        <f t="shared" si="11"/>
        <v>2026이화여대8</v>
      </c>
      <c r="E351" s="26" t="s">
        <v>129</v>
      </c>
      <c r="F351" s="26" t="s">
        <v>17</v>
      </c>
      <c r="H351" s="28" t="s">
        <v>182</v>
      </c>
      <c r="I351" s="28">
        <v>2026</v>
      </c>
      <c r="J351" s="28" t="s">
        <v>19</v>
      </c>
      <c r="K351" s="28" t="s">
        <v>198</v>
      </c>
      <c r="L351" s="28" t="s">
        <v>24</v>
      </c>
      <c r="M351" s="28" t="s">
        <v>22</v>
      </c>
      <c r="N351" s="29" t="s">
        <v>22</v>
      </c>
      <c r="O351" s="28" t="s">
        <v>33</v>
      </c>
      <c r="P351" s="28" t="s">
        <v>33</v>
      </c>
      <c r="Q351" s="32" t="s">
        <v>199</v>
      </c>
      <c r="R351" s="30"/>
    </row>
    <row r="352" spans="1:18" ht="30" customHeight="1" x14ac:dyDescent="0.3">
      <c r="A352" s="26" t="str">
        <f t="shared" si="10"/>
        <v>2026이화여대</v>
      </c>
      <c r="B352" s="26">
        <f>COUNTIFS($A$4:A352,A352)</f>
        <v>9</v>
      </c>
      <c r="C352" s="26" t="str">
        <f t="shared" si="11"/>
        <v>2026이화여대9</v>
      </c>
      <c r="E352" s="26" t="s">
        <v>129</v>
      </c>
      <c r="F352" s="26" t="s">
        <v>17</v>
      </c>
      <c r="H352" s="28" t="s">
        <v>182</v>
      </c>
      <c r="I352" s="28">
        <v>2026</v>
      </c>
      <c r="J352" s="28" t="s">
        <v>50</v>
      </c>
      <c r="K352" s="28" t="s">
        <v>50</v>
      </c>
      <c r="L352" s="28" t="s">
        <v>21</v>
      </c>
      <c r="M352" s="28" t="s">
        <v>22</v>
      </c>
      <c r="N352" s="29" t="s">
        <v>195</v>
      </c>
      <c r="O352" s="28" t="s">
        <v>22</v>
      </c>
      <c r="P352" s="28" t="s">
        <v>22</v>
      </c>
      <c r="Q352" s="32" t="s">
        <v>180</v>
      </c>
      <c r="R352" s="30"/>
    </row>
    <row r="353" spans="1:18" ht="30" customHeight="1" x14ac:dyDescent="0.3">
      <c r="A353" s="26" t="str">
        <f t="shared" si="10"/>
        <v>2026이화여대</v>
      </c>
      <c r="B353" s="26">
        <f>COUNTIFS($A$4:A353,A353)</f>
        <v>10</v>
      </c>
      <c r="C353" s="26" t="str">
        <f t="shared" si="11"/>
        <v>2026이화여대10</v>
      </c>
      <c r="E353" s="26" t="s">
        <v>129</v>
      </c>
      <c r="F353" s="26" t="s">
        <v>17</v>
      </c>
      <c r="H353" s="28" t="s">
        <v>182</v>
      </c>
      <c r="I353" s="28">
        <v>2026</v>
      </c>
      <c r="J353" s="28" t="s">
        <v>50</v>
      </c>
      <c r="K353" s="28" t="s">
        <v>50</v>
      </c>
      <c r="L353" s="28" t="s">
        <v>24</v>
      </c>
      <c r="M353" s="28" t="s">
        <v>22</v>
      </c>
      <c r="N353" s="29" t="s">
        <v>186</v>
      </c>
      <c r="O353" s="28" t="s">
        <v>22</v>
      </c>
      <c r="P353" s="28" t="s">
        <v>22</v>
      </c>
      <c r="Q353" s="32"/>
      <c r="R353" s="30"/>
    </row>
    <row r="354" spans="1:18" ht="60" x14ac:dyDescent="0.3">
      <c r="A354" s="26" t="str">
        <f t="shared" si="10"/>
        <v>2026이화여대</v>
      </c>
      <c r="B354" s="26">
        <f>COUNTIFS($A$4:A354,A354)</f>
        <v>11</v>
      </c>
      <c r="C354" s="26" t="str">
        <f t="shared" si="11"/>
        <v>2026이화여대11</v>
      </c>
      <c r="E354" s="26" t="s">
        <v>129</v>
      </c>
      <c r="F354" s="26" t="s">
        <v>17</v>
      </c>
      <c r="H354" s="28" t="s">
        <v>182</v>
      </c>
      <c r="I354" s="28">
        <v>2026</v>
      </c>
      <c r="J354" s="28" t="s">
        <v>50</v>
      </c>
      <c r="K354" s="28" t="s">
        <v>50</v>
      </c>
      <c r="L354" s="28" t="s">
        <v>24</v>
      </c>
      <c r="M354" s="28" t="s">
        <v>42</v>
      </c>
      <c r="N354" s="29" t="s">
        <v>187</v>
      </c>
      <c r="O354" s="28" t="s">
        <v>22</v>
      </c>
      <c r="P354" s="28" t="s">
        <v>22</v>
      </c>
      <c r="Q354" s="32"/>
      <c r="R354" s="30"/>
    </row>
    <row r="355" spans="1:18" ht="30" customHeight="1" x14ac:dyDescent="0.3">
      <c r="A355" s="26" t="str">
        <f t="shared" si="10"/>
        <v>2026이화여대</v>
      </c>
      <c r="B355" s="26">
        <f>COUNTIFS($A$4:A355,A355)</f>
        <v>12</v>
      </c>
      <c r="C355" s="26" t="str">
        <f t="shared" si="11"/>
        <v>2026이화여대12</v>
      </c>
      <c r="E355" s="26" t="s">
        <v>129</v>
      </c>
      <c r="F355" s="26" t="s">
        <v>17</v>
      </c>
      <c r="H355" s="28" t="s">
        <v>182</v>
      </c>
      <c r="I355" s="28">
        <v>2026</v>
      </c>
      <c r="J355" s="28" t="s">
        <v>50</v>
      </c>
      <c r="K355" s="28" t="s">
        <v>50</v>
      </c>
      <c r="L355" s="28" t="s">
        <v>188</v>
      </c>
      <c r="M355" s="28" t="s">
        <v>22</v>
      </c>
      <c r="N355" s="29" t="s">
        <v>192</v>
      </c>
      <c r="O355" s="28" t="s">
        <v>22</v>
      </c>
      <c r="P355" s="28" t="s">
        <v>22</v>
      </c>
      <c r="Q355" s="32"/>
      <c r="R355" s="30"/>
    </row>
    <row r="356" spans="1:18" ht="30" customHeight="1" x14ac:dyDescent="0.3">
      <c r="A356" s="26" t="str">
        <f t="shared" si="10"/>
        <v>2027이화여대</v>
      </c>
      <c r="B356" s="26">
        <f>COUNTIFS($A$4:A356,A356)</f>
        <v>1</v>
      </c>
      <c r="C356" s="26" t="str">
        <f t="shared" si="11"/>
        <v>2027이화여대1</v>
      </c>
      <c r="E356" s="26" t="s">
        <v>129</v>
      </c>
      <c r="F356" s="26" t="s">
        <v>17</v>
      </c>
      <c r="H356" s="28" t="s">
        <v>182</v>
      </c>
      <c r="I356" s="28">
        <v>2027</v>
      </c>
      <c r="J356" s="28" t="s">
        <v>38</v>
      </c>
      <c r="K356" s="28" t="s">
        <v>183</v>
      </c>
      <c r="L356" s="28" t="s">
        <v>21</v>
      </c>
      <c r="M356" s="28" t="s">
        <v>22</v>
      </c>
      <c r="N356" s="29" t="s">
        <v>193</v>
      </c>
      <c r="O356" s="28" t="s">
        <v>33</v>
      </c>
      <c r="P356" s="28" t="s">
        <v>33</v>
      </c>
      <c r="Q356" s="32"/>
      <c r="R356" s="30"/>
    </row>
    <row r="357" spans="1:18" ht="30" customHeight="1" x14ac:dyDescent="0.3">
      <c r="A357" s="26" t="str">
        <f t="shared" si="10"/>
        <v>2027이화여대</v>
      </c>
      <c r="B357" s="26">
        <f>COUNTIFS($A$4:A357,A357)</f>
        <v>2</v>
      </c>
      <c r="C357" s="26" t="str">
        <f t="shared" si="11"/>
        <v>2027이화여대2</v>
      </c>
      <c r="E357" s="26" t="s">
        <v>129</v>
      </c>
      <c r="F357" s="26" t="s">
        <v>17</v>
      </c>
      <c r="H357" s="28" t="s">
        <v>182</v>
      </c>
      <c r="I357" s="28">
        <v>2027</v>
      </c>
      <c r="J357" s="28" t="s">
        <v>38</v>
      </c>
      <c r="K357" s="28" t="s">
        <v>183</v>
      </c>
      <c r="L357" s="28" t="s">
        <v>24</v>
      </c>
      <c r="M357" s="28" t="s">
        <v>22</v>
      </c>
      <c r="N357" s="29" t="s">
        <v>193</v>
      </c>
      <c r="O357" s="28" t="s">
        <v>33</v>
      </c>
      <c r="P357" s="28" t="s">
        <v>33</v>
      </c>
      <c r="Q357" s="32"/>
      <c r="R357" s="30"/>
    </row>
    <row r="358" spans="1:18" ht="30" customHeight="1" x14ac:dyDescent="0.3">
      <c r="A358" s="26" t="str">
        <f t="shared" si="10"/>
        <v>2027이화여대</v>
      </c>
      <c r="B358" s="26">
        <f>COUNTIFS($A$4:A358,A358)</f>
        <v>3</v>
      </c>
      <c r="C358" s="26" t="str">
        <f t="shared" si="11"/>
        <v>2027이화여대3</v>
      </c>
      <c r="E358" s="26" t="s">
        <v>129</v>
      </c>
      <c r="F358" s="26" t="s">
        <v>17</v>
      </c>
      <c r="H358" s="28" t="s">
        <v>182</v>
      </c>
      <c r="I358" s="28">
        <v>2027</v>
      </c>
      <c r="J358" s="28" t="s">
        <v>19</v>
      </c>
      <c r="K358" s="28" t="s">
        <v>194</v>
      </c>
      <c r="L358" s="28" t="s">
        <v>21</v>
      </c>
      <c r="M358" s="28" t="s">
        <v>22</v>
      </c>
      <c r="N358" s="29" t="s">
        <v>195</v>
      </c>
      <c r="O358" s="28" t="s">
        <v>33</v>
      </c>
      <c r="P358" s="28" t="s">
        <v>33</v>
      </c>
      <c r="Q358" s="32"/>
      <c r="R358" s="30"/>
    </row>
    <row r="359" spans="1:18" ht="30" customHeight="1" x14ac:dyDescent="0.3">
      <c r="A359" s="26" t="str">
        <f t="shared" si="10"/>
        <v>2027이화여대</v>
      </c>
      <c r="B359" s="26">
        <f>COUNTIFS($A$4:A359,A359)</f>
        <v>4</v>
      </c>
      <c r="C359" s="26" t="str">
        <f t="shared" si="11"/>
        <v>2027이화여대4</v>
      </c>
      <c r="E359" s="26" t="s">
        <v>129</v>
      </c>
      <c r="F359" s="26" t="s">
        <v>17</v>
      </c>
      <c r="H359" s="28" t="s">
        <v>182</v>
      </c>
      <c r="I359" s="28">
        <v>2027</v>
      </c>
      <c r="J359" s="28" t="s">
        <v>19</v>
      </c>
      <c r="K359" s="28" t="s">
        <v>194</v>
      </c>
      <c r="L359" s="28" t="s">
        <v>24</v>
      </c>
      <c r="M359" s="28" t="s">
        <v>22</v>
      </c>
      <c r="N359" s="29" t="s">
        <v>186</v>
      </c>
      <c r="O359" s="28" t="s">
        <v>33</v>
      </c>
      <c r="P359" s="28" t="s">
        <v>33</v>
      </c>
      <c r="Q359" s="32"/>
      <c r="R359" s="30"/>
    </row>
    <row r="360" spans="1:18" ht="60" x14ac:dyDescent="0.3">
      <c r="A360" s="26" t="str">
        <f t="shared" si="10"/>
        <v>2027이화여대</v>
      </c>
      <c r="B360" s="26">
        <f>COUNTIFS($A$4:A360,A360)</f>
        <v>5</v>
      </c>
      <c r="C360" s="26" t="str">
        <f t="shared" si="11"/>
        <v>2027이화여대5</v>
      </c>
      <c r="E360" s="26" t="s">
        <v>129</v>
      </c>
      <c r="F360" s="26" t="s">
        <v>17</v>
      </c>
      <c r="H360" s="28" t="s">
        <v>182</v>
      </c>
      <c r="I360" s="28">
        <v>2027</v>
      </c>
      <c r="J360" s="28" t="s">
        <v>19</v>
      </c>
      <c r="K360" s="28" t="s">
        <v>194</v>
      </c>
      <c r="L360" s="28" t="s">
        <v>24</v>
      </c>
      <c r="M360" s="28" t="s">
        <v>42</v>
      </c>
      <c r="N360" s="29" t="s">
        <v>187</v>
      </c>
      <c r="O360" s="28" t="s">
        <v>33</v>
      </c>
      <c r="P360" s="28" t="s">
        <v>33</v>
      </c>
      <c r="Q360" s="32"/>
      <c r="R360" s="30"/>
    </row>
    <row r="361" spans="1:18" ht="60" x14ac:dyDescent="0.3">
      <c r="A361" s="26" t="str">
        <f t="shared" si="10"/>
        <v>2027이화여대</v>
      </c>
      <c r="B361" s="26">
        <f>COUNTIFS($A$4:A361,A361)</f>
        <v>6</v>
      </c>
      <c r="C361" s="26" t="str">
        <f t="shared" si="11"/>
        <v>2027이화여대6</v>
      </c>
      <c r="E361" s="26" t="s">
        <v>129</v>
      </c>
      <c r="F361" s="26" t="s">
        <v>17</v>
      </c>
      <c r="H361" s="28" t="s">
        <v>182</v>
      </c>
      <c r="I361" s="28">
        <v>2027</v>
      </c>
      <c r="J361" s="28" t="s">
        <v>19</v>
      </c>
      <c r="K361" s="28" t="s">
        <v>194</v>
      </c>
      <c r="L361" s="28" t="s">
        <v>200</v>
      </c>
      <c r="M361" s="28" t="s">
        <v>22</v>
      </c>
      <c r="N361" s="29" t="s">
        <v>196</v>
      </c>
      <c r="O361" s="28" t="s">
        <v>33</v>
      </c>
      <c r="P361" s="28" t="s">
        <v>33</v>
      </c>
      <c r="Q361" s="32"/>
      <c r="R361" s="30"/>
    </row>
    <row r="362" spans="1:18" ht="30" customHeight="1" x14ac:dyDescent="0.3">
      <c r="A362" s="26" t="str">
        <f t="shared" si="10"/>
        <v>2027이화여대</v>
      </c>
      <c r="B362" s="26">
        <f>COUNTIFS($A$4:A362,A362)</f>
        <v>7</v>
      </c>
      <c r="C362" s="26" t="str">
        <f t="shared" si="11"/>
        <v>2027이화여대7</v>
      </c>
      <c r="E362" s="26" t="s">
        <v>129</v>
      </c>
      <c r="F362" s="26" t="s">
        <v>17</v>
      </c>
      <c r="H362" s="28" t="s">
        <v>182</v>
      </c>
      <c r="I362" s="28">
        <v>2027</v>
      </c>
      <c r="J362" s="28" t="s">
        <v>19</v>
      </c>
      <c r="K362" s="28" t="s">
        <v>198</v>
      </c>
      <c r="L362" s="28" t="s">
        <v>21</v>
      </c>
      <c r="M362" s="28" t="s">
        <v>22</v>
      </c>
      <c r="N362" s="29" t="s">
        <v>33</v>
      </c>
      <c r="O362" s="28" t="s">
        <v>33</v>
      </c>
      <c r="P362" s="28" t="s">
        <v>33</v>
      </c>
      <c r="Q362" s="32"/>
      <c r="R362" s="30"/>
    </row>
    <row r="363" spans="1:18" ht="30" customHeight="1" x14ac:dyDescent="0.3">
      <c r="A363" s="26" t="str">
        <f t="shared" si="10"/>
        <v>2027이화여대</v>
      </c>
      <c r="B363" s="26">
        <f>COUNTIFS($A$4:A363,A363)</f>
        <v>8</v>
      </c>
      <c r="C363" s="26" t="str">
        <f t="shared" si="11"/>
        <v>2027이화여대8</v>
      </c>
      <c r="E363" s="26" t="s">
        <v>129</v>
      </c>
      <c r="F363" s="26" t="s">
        <v>17</v>
      </c>
      <c r="H363" s="28" t="s">
        <v>182</v>
      </c>
      <c r="I363" s="28">
        <v>2027</v>
      </c>
      <c r="J363" s="28" t="s">
        <v>19</v>
      </c>
      <c r="K363" s="28" t="s">
        <v>198</v>
      </c>
      <c r="L363" s="28" t="s">
        <v>24</v>
      </c>
      <c r="M363" s="28" t="s">
        <v>22</v>
      </c>
      <c r="N363" s="29" t="s">
        <v>33</v>
      </c>
      <c r="O363" s="28" t="s">
        <v>33</v>
      </c>
      <c r="P363" s="28" t="s">
        <v>33</v>
      </c>
      <c r="Q363" s="32"/>
      <c r="R363" s="30"/>
    </row>
    <row r="364" spans="1:18" ht="30" customHeight="1" x14ac:dyDescent="0.3">
      <c r="A364" s="26" t="str">
        <f t="shared" si="10"/>
        <v>2027이화여대</v>
      </c>
      <c r="B364" s="26">
        <f>COUNTIFS($A$4:A364,A364)</f>
        <v>9</v>
      </c>
      <c r="C364" s="26" t="str">
        <f t="shared" si="11"/>
        <v>2027이화여대9</v>
      </c>
      <c r="E364" s="26" t="s">
        <v>129</v>
      </c>
      <c r="F364" s="26" t="s">
        <v>17</v>
      </c>
      <c r="H364" s="28" t="s">
        <v>182</v>
      </c>
      <c r="I364" s="28">
        <v>2027</v>
      </c>
      <c r="J364" s="28" t="s">
        <v>50</v>
      </c>
      <c r="K364" s="28" t="s">
        <v>50</v>
      </c>
      <c r="L364" s="28" t="s">
        <v>21</v>
      </c>
      <c r="M364" s="28" t="s">
        <v>22</v>
      </c>
      <c r="N364" s="29" t="s">
        <v>195</v>
      </c>
      <c r="O364" s="28" t="s">
        <v>22</v>
      </c>
      <c r="P364" s="28" t="s">
        <v>22</v>
      </c>
      <c r="Q364" s="32"/>
      <c r="R364" s="30"/>
    </row>
    <row r="365" spans="1:18" ht="30" customHeight="1" x14ac:dyDescent="0.3">
      <c r="A365" s="26" t="str">
        <f t="shared" si="10"/>
        <v>2027이화여대</v>
      </c>
      <c r="B365" s="26">
        <f>COUNTIFS($A$4:A365,A365)</f>
        <v>10</v>
      </c>
      <c r="C365" s="26" t="str">
        <f t="shared" si="11"/>
        <v>2027이화여대10</v>
      </c>
      <c r="E365" s="26" t="s">
        <v>129</v>
      </c>
      <c r="F365" s="26" t="s">
        <v>17</v>
      </c>
      <c r="H365" s="28" t="s">
        <v>182</v>
      </c>
      <c r="I365" s="28">
        <v>2027</v>
      </c>
      <c r="J365" s="28" t="s">
        <v>50</v>
      </c>
      <c r="K365" s="28" t="s">
        <v>50</v>
      </c>
      <c r="L365" s="28" t="s">
        <v>24</v>
      </c>
      <c r="M365" s="28" t="s">
        <v>22</v>
      </c>
      <c r="N365" s="29" t="s">
        <v>186</v>
      </c>
      <c r="O365" s="28" t="s">
        <v>22</v>
      </c>
      <c r="P365" s="28" t="s">
        <v>22</v>
      </c>
      <c r="Q365" s="32"/>
      <c r="R365" s="30"/>
    </row>
    <row r="366" spans="1:18" ht="60" x14ac:dyDescent="0.3">
      <c r="A366" s="26" t="str">
        <f t="shared" si="10"/>
        <v>2027이화여대</v>
      </c>
      <c r="B366" s="26">
        <f>COUNTIFS($A$4:A366,A366)</f>
        <v>11</v>
      </c>
      <c r="C366" s="26" t="str">
        <f t="shared" si="11"/>
        <v>2027이화여대11</v>
      </c>
      <c r="E366" s="26" t="s">
        <v>129</v>
      </c>
      <c r="F366" s="26" t="s">
        <v>17</v>
      </c>
      <c r="H366" s="28" t="s">
        <v>182</v>
      </c>
      <c r="I366" s="28">
        <v>2027</v>
      </c>
      <c r="J366" s="28" t="s">
        <v>50</v>
      </c>
      <c r="K366" s="28" t="s">
        <v>50</v>
      </c>
      <c r="L366" s="28" t="s">
        <v>24</v>
      </c>
      <c r="M366" s="28" t="s">
        <v>42</v>
      </c>
      <c r="N366" s="29" t="s">
        <v>187</v>
      </c>
      <c r="O366" s="28" t="s">
        <v>22</v>
      </c>
      <c r="P366" s="28" t="s">
        <v>22</v>
      </c>
      <c r="Q366" s="32"/>
      <c r="R366" s="30"/>
    </row>
    <row r="367" spans="1:18" ht="30" customHeight="1" x14ac:dyDescent="0.3">
      <c r="A367" s="26" t="str">
        <f t="shared" si="10"/>
        <v>2027이화여대</v>
      </c>
      <c r="B367" s="26">
        <f>COUNTIFS($A$4:A367,A367)</f>
        <v>12</v>
      </c>
      <c r="C367" s="26" t="str">
        <f t="shared" si="11"/>
        <v>2027이화여대12</v>
      </c>
      <c r="E367" s="26" t="s">
        <v>129</v>
      </c>
      <c r="F367" s="26" t="s">
        <v>17</v>
      </c>
      <c r="H367" s="28" t="s">
        <v>182</v>
      </c>
      <c r="I367" s="28">
        <v>2027</v>
      </c>
      <c r="J367" s="28" t="s">
        <v>50</v>
      </c>
      <c r="K367" s="28" t="s">
        <v>50</v>
      </c>
      <c r="L367" s="28" t="s">
        <v>188</v>
      </c>
      <c r="M367" s="28" t="s">
        <v>22</v>
      </c>
      <c r="N367" s="29" t="s">
        <v>192</v>
      </c>
      <c r="O367" s="28" t="s">
        <v>22</v>
      </c>
      <c r="P367" s="28" t="s">
        <v>22</v>
      </c>
      <c r="Q367" s="32"/>
      <c r="R367" s="30"/>
    </row>
    <row r="368" spans="1:18" ht="30" customHeight="1" x14ac:dyDescent="0.3">
      <c r="A368" s="26" t="str">
        <f t="shared" si="10"/>
        <v>2025건국대</v>
      </c>
      <c r="B368" s="26">
        <f>COUNTIFS($A$4:A368,A368)</f>
        <v>1</v>
      </c>
      <c r="C368" s="26" t="str">
        <f t="shared" si="11"/>
        <v>2025건국대1</v>
      </c>
      <c r="E368" s="26" t="s">
        <v>129</v>
      </c>
      <c r="F368" s="26" t="s">
        <v>17</v>
      </c>
      <c r="H368" s="28" t="s">
        <v>201</v>
      </c>
      <c r="I368" s="28">
        <v>2025</v>
      </c>
      <c r="J368" s="28" t="s">
        <v>38</v>
      </c>
      <c r="K368" s="28" t="s">
        <v>202</v>
      </c>
      <c r="L368" s="28" t="s">
        <v>21</v>
      </c>
      <c r="M368" s="28" t="s">
        <v>22</v>
      </c>
      <c r="N368" s="29" t="s">
        <v>33</v>
      </c>
      <c r="O368" s="28" t="s">
        <v>33</v>
      </c>
      <c r="P368" s="28" t="s">
        <v>33</v>
      </c>
      <c r="Q368" s="32"/>
      <c r="R368" s="30"/>
    </row>
    <row r="369" spans="1:18" ht="30" customHeight="1" x14ac:dyDescent="0.3">
      <c r="A369" s="26" t="str">
        <f t="shared" si="10"/>
        <v>2025건국대</v>
      </c>
      <c r="B369" s="26">
        <f>COUNTIFS($A$4:A369,A369)</f>
        <v>2</v>
      </c>
      <c r="C369" s="26" t="str">
        <f t="shared" si="11"/>
        <v>2025건국대2</v>
      </c>
      <c r="E369" s="26" t="s">
        <v>129</v>
      </c>
      <c r="F369" s="26" t="s">
        <v>17</v>
      </c>
      <c r="H369" s="28" t="s">
        <v>201</v>
      </c>
      <c r="I369" s="28">
        <v>2025</v>
      </c>
      <c r="J369" s="28" t="s">
        <v>38</v>
      </c>
      <c r="K369" s="28" t="s">
        <v>202</v>
      </c>
      <c r="L369" s="28" t="s">
        <v>24</v>
      </c>
      <c r="M369" s="28" t="s">
        <v>22</v>
      </c>
      <c r="N369" s="29" t="s">
        <v>33</v>
      </c>
      <c r="O369" s="28" t="s">
        <v>33</v>
      </c>
      <c r="P369" s="28" t="s">
        <v>33</v>
      </c>
      <c r="Q369" s="32"/>
      <c r="R369" s="30"/>
    </row>
    <row r="370" spans="1:18" ht="30" customHeight="1" x14ac:dyDescent="0.3">
      <c r="A370" s="26" t="str">
        <f t="shared" si="10"/>
        <v>2025건국대</v>
      </c>
      <c r="B370" s="26">
        <f>COUNTIFS($A$4:A370,A370)</f>
        <v>3</v>
      </c>
      <c r="C370" s="26" t="str">
        <f t="shared" si="11"/>
        <v>2025건국대3</v>
      </c>
      <c r="E370" s="26" t="s">
        <v>129</v>
      </c>
      <c r="F370" s="26" t="s">
        <v>17</v>
      </c>
      <c r="H370" s="28" t="s">
        <v>201</v>
      </c>
      <c r="I370" s="28">
        <v>2025</v>
      </c>
      <c r="J370" s="28" t="s">
        <v>19</v>
      </c>
      <c r="K370" s="28" t="s">
        <v>203</v>
      </c>
      <c r="L370" s="28" t="s">
        <v>21</v>
      </c>
      <c r="M370" s="28" t="s">
        <v>22</v>
      </c>
      <c r="N370" s="29" t="s">
        <v>33</v>
      </c>
      <c r="O370" s="28" t="s">
        <v>33</v>
      </c>
      <c r="P370" s="28" t="s">
        <v>33</v>
      </c>
      <c r="Q370" s="32"/>
      <c r="R370" s="30"/>
    </row>
    <row r="371" spans="1:18" ht="30" customHeight="1" x14ac:dyDescent="0.3">
      <c r="A371" s="26" t="str">
        <f t="shared" si="10"/>
        <v>2025건국대</v>
      </c>
      <c r="B371" s="26">
        <f>COUNTIFS($A$4:A371,A371)</f>
        <v>4</v>
      </c>
      <c r="C371" s="26" t="str">
        <f t="shared" si="11"/>
        <v>2025건국대4</v>
      </c>
      <c r="E371" s="26" t="s">
        <v>129</v>
      </c>
      <c r="F371" s="26" t="s">
        <v>17</v>
      </c>
      <c r="H371" s="28" t="s">
        <v>201</v>
      </c>
      <c r="I371" s="28">
        <v>2025</v>
      </c>
      <c r="J371" s="28" t="s">
        <v>19</v>
      </c>
      <c r="K371" s="28" t="s">
        <v>203</v>
      </c>
      <c r="L371" s="28" t="s">
        <v>24</v>
      </c>
      <c r="M371" s="28" t="s">
        <v>22</v>
      </c>
      <c r="N371" s="29" t="s">
        <v>33</v>
      </c>
      <c r="O371" s="28" t="s">
        <v>33</v>
      </c>
      <c r="P371" s="28" t="s">
        <v>33</v>
      </c>
      <c r="Q371" s="32"/>
      <c r="R371" s="30"/>
    </row>
    <row r="372" spans="1:18" ht="30" customHeight="1" x14ac:dyDescent="0.3">
      <c r="A372" s="26" t="str">
        <f t="shared" si="10"/>
        <v>2025건국대</v>
      </c>
      <c r="B372" s="26">
        <f>COUNTIFS($A$4:A372,A372)</f>
        <v>5</v>
      </c>
      <c r="C372" s="26" t="str">
        <f t="shared" si="11"/>
        <v>2025건국대5</v>
      </c>
      <c r="E372" s="26" t="s">
        <v>129</v>
      </c>
      <c r="F372" s="26" t="s">
        <v>17</v>
      </c>
      <c r="H372" s="28" t="s">
        <v>201</v>
      </c>
      <c r="I372" s="28">
        <v>2025</v>
      </c>
      <c r="J372" s="28" t="s">
        <v>50</v>
      </c>
      <c r="K372" s="28" t="s">
        <v>204</v>
      </c>
      <c r="L372" s="28" t="s">
        <v>21</v>
      </c>
      <c r="M372" s="28" t="s">
        <v>22</v>
      </c>
      <c r="N372" s="29" t="s">
        <v>205</v>
      </c>
      <c r="O372" s="28" t="s">
        <v>33</v>
      </c>
      <c r="P372" s="28" t="s">
        <v>33</v>
      </c>
      <c r="Q372" s="32"/>
      <c r="R372" s="30"/>
    </row>
    <row r="373" spans="1:18" ht="30" customHeight="1" x14ac:dyDescent="0.3">
      <c r="A373" s="26" t="str">
        <f t="shared" si="10"/>
        <v>2025건국대</v>
      </c>
      <c r="B373" s="26">
        <f>COUNTIFS($A$4:A373,A373)</f>
        <v>6</v>
      </c>
      <c r="C373" s="26" t="str">
        <f t="shared" si="11"/>
        <v>2025건국대6</v>
      </c>
      <c r="E373" s="26" t="s">
        <v>129</v>
      </c>
      <c r="F373" s="26" t="s">
        <v>17</v>
      </c>
      <c r="H373" s="28" t="s">
        <v>201</v>
      </c>
      <c r="I373" s="28">
        <v>2025</v>
      </c>
      <c r="J373" s="28" t="s">
        <v>50</v>
      </c>
      <c r="K373" s="28" t="s">
        <v>204</v>
      </c>
      <c r="L373" s="28" t="s">
        <v>24</v>
      </c>
      <c r="M373" s="28" t="s">
        <v>22</v>
      </c>
      <c r="N373" s="29" t="s">
        <v>205</v>
      </c>
      <c r="O373" s="28" t="s">
        <v>33</v>
      </c>
      <c r="P373" s="28" t="s">
        <v>33</v>
      </c>
      <c r="Q373" s="32"/>
      <c r="R373" s="30"/>
    </row>
    <row r="374" spans="1:18" ht="30" customHeight="1" x14ac:dyDescent="0.3">
      <c r="A374" s="26" t="str">
        <f t="shared" si="10"/>
        <v>2025건국대</v>
      </c>
      <c r="B374" s="26">
        <f>COUNTIFS($A$4:A374,A374)</f>
        <v>7</v>
      </c>
      <c r="C374" s="26" t="str">
        <f t="shared" si="11"/>
        <v>2025건국대7</v>
      </c>
      <c r="E374" s="26" t="s">
        <v>129</v>
      </c>
      <c r="F374" s="26" t="s">
        <v>17</v>
      </c>
      <c r="H374" s="28" t="s">
        <v>201</v>
      </c>
      <c r="I374" s="28">
        <v>2025</v>
      </c>
      <c r="J374" s="28" t="s">
        <v>50</v>
      </c>
      <c r="K374" s="28" t="s">
        <v>204</v>
      </c>
      <c r="L374" s="28" t="s">
        <v>24</v>
      </c>
      <c r="M374" s="28" t="s">
        <v>42</v>
      </c>
      <c r="N374" s="29" t="s">
        <v>206</v>
      </c>
      <c r="O374" s="28" t="s">
        <v>33</v>
      </c>
      <c r="P374" s="28" t="s">
        <v>33</v>
      </c>
      <c r="Q374" s="32"/>
      <c r="R374" s="30"/>
    </row>
    <row r="375" spans="1:18" ht="30" customHeight="1" x14ac:dyDescent="0.3">
      <c r="A375" s="26" t="str">
        <f t="shared" si="10"/>
        <v>2026건국대</v>
      </c>
      <c r="B375" s="26">
        <f>COUNTIFS($A$4:A375,A375)</f>
        <v>1</v>
      </c>
      <c r="C375" s="26" t="str">
        <f t="shared" si="11"/>
        <v>2026건국대1</v>
      </c>
      <c r="E375" s="26" t="s">
        <v>129</v>
      </c>
      <c r="F375" s="26" t="s">
        <v>17</v>
      </c>
      <c r="H375" s="28" t="s">
        <v>201</v>
      </c>
      <c r="I375" s="28">
        <v>2026</v>
      </c>
      <c r="J375" s="28" t="s">
        <v>38</v>
      </c>
      <c r="K375" s="28" t="s">
        <v>202</v>
      </c>
      <c r="L375" s="28" t="s">
        <v>21</v>
      </c>
      <c r="M375" s="28" t="s">
        <v>22</v>
      </c>
      <c r="N375" s="29" t="s">
        <v>33</v>
      </c>
      <c r="O375" s="28" t="s">
        <v>22</v>
      </c>
      <c r="P375" s="28" t="s">
        <v>22</v>
      </c>
      <c r="Q375" s="32"/>
      <c r="R375" s="30"/>
    </row>
    <row r="376" spans="1:18" ht="30" customHeight="1" x14ac:dyDescent="0.3">
      <c r="A376" s="26" t="str">
        <f t="shared" si="10"/>
        <v>2026건국대</v>
      </c>
      <c r="B376" s="26">
        <f>COUNTIFS($A$4:A376,A376)</f>
        <v>2</v>
      </c>
      <c r="C376" s="26" t="str">
        <f t="shared" si="11"/>
        <v>2026건국대2</v>
      </c>
      <c r="E376" s="26" t="s">
        <v>129</v>
      </c>
      <c r="F376" s="26" t="s">
        <v>17</v>
      </c>
      <c r="H376" s="28" t="s">
        <v>201</v>
      </c>
      <c r="I376" s="28">
        <v>2026</v>
      </c>
      <c r="J376" s="28" t="s">
        <v>38</v>
      </c>
      <c r="K376" s="28" t="s">
        <v>202</v>
      </c>
      <c r="L376" s="28" t="s">
        <v>24</v>
      </c>
      <c r="M376" s="28" t="s">
        <v>22</v>
      </c>
      <c r="N376" s="29" t="s">
        <v>33</v>
      </c>
      <c r="O376" s="28" t="s">
        <v>22</v>
      </c>
      <c r="P376" s="28" t="s">
        <v>22</v>
      </c>
      <c r="Q376" s="32"/>
      <c r="R376" s="30"/>
    </row>
    <row r="377" spans="1:18" ht="30" customHeight="1" x14ac:dyDescent="0.3">
      <c r="A377" s="26" t="str">
        <f t="shared" si="10"/>
        <v>2026건국대</v>
      </c>
      <c r="B377" s="26">
        <f>COUNTIFS($A$4:A377,A377)</f>
        <v>3</v>
      </c>
      <c r="C377" s="26" t="str">
        <f t="shared" si="11"/>
        <v>2026건국대3</v>
      </c>
      <c r="E377" s="26" t="s">
        <v>129</v>
      </c>
      <c r="F377" s="26" t="s">
        <v>17</v>
      </c>
      <c r="H377" s="28" t="s">
        <v>201</v>
      </c>
      <c r="I377" s="28">
        <v>2026</v>
      </c>
      <c r="J377" s="28" t="s">
        <v>19</v>
      </c>
      <c r="K377" s="28" t="s">
        <v>203</v>
      </c>
      <c r="L377" s="28" t="s">
        <v>21</v>
      </c>
      <c r="M377" s="28" t="s">
        <v>22</v>
      </c>
      <c r="N377" s="29" t="s">
        <v>33</v>
      </c>
      <c r="O377" s="28" t="s">
        <v>22</v>
      </c>
      <c r="P377" s="28" t="s">
        <v>22</v>
      </c>
      <c r="Q377" s="32"/>
      <c r="R377" s="30"/>
    </row>
    <row r="378" spans="1:18" ht="30" customHeight="1" x14ac:dyDescent="0.3">
      <c r="A378" s="26" t="str">
        <f t="shared" si="10"/>
        <v>2026건국대</v>
      </c>
      <c r="B378" s="26">
        <f>COUNTIFS($A$4:A378,A378)</f>
        <v>4</v>
      </c>
      <c r="C378" s="26" t="str">
        <f t="shared" si="11"/>
        <v>2026건국대4</v>
      </c>
      <c r="E378" s="26" t="s">
        <v>129</v>
      </c>
      <c r="F378" s="26" t="s">
        <v>17</v>
      </c>
      <c r="H378" s="28" t="s">
        <v>201</v>
      </c>
      <c r="I378" s="28">
        <v>2026</v>
      </c>
      <c r="J378" s="28" t="s">
        <v>19</v>
      </c>
      <c r="K378" s="28" t="s">
        <v>203</v>
      </c>
      <c r="L378" s="28" t="s">
        <v>24</v>
      </c>
      <c r="M378" s="28" t="s">
        <v>22</v>
      </c>
      <c r="N378" s="29" t="s">
        <v>33</v>
      </c>
      <c r="O378" s="28" t="s">
        <v>22</v>
      </c>
      <c r="P378" s="28" t="s">
        <v>22</v>
      </c>
      <c r="Q378" s="32"/>
      <c r="R378" s="30"/>
    </row>
    <row r="379" spans="1:18" ht="30" customHeight="1" x14ac:dyDescent="0.3">
      <c r="A379" s="26" t="str">
        <f t="shared" si="10"/>
        <v>2026건국대</v>
      </c>
      <c r="B379" s="26">
        <f>COUNTIFS($A$4:A379,A379)</f>
        <v>5</v>
      </c>
      <c r="C379" s="26" t="str">
        <f t="shared" si="11"/>
        <v>2026건국대5</v>
      </c>
      <c r="E379" s="26" t="s">
        <v>129</v>
      </c>
      <c r="F379" s="26" t="s">
        <v>17</v>
      </c>
      <c r="H379" s="28" t="s">
        <v>201</v>
      </c>
      <c r="I379" s="28">
        <v>2026</v>
      </c>
      <c r="J379" s="28" t="s">
        <v>50</v>
      </c>
      <c r="K379" s="28" t="s">
        <v>204</v>
      </c>
      <c r="L379" s="28" t="s">
        <v>21</v>
      </c>
      <c r="M379" s="28" t="s">
        <v>22</v>
      </c>
      <c r="N379" s="29" t="s">
        <v>205</v>
      </c>
      <c r="O379" s="28" t="s">
        <v>33</v>
      </c>
      <c r="P379" s="28" t="s">
        <v>33</v>
      </c>
      <c r="Q379" s="32"/>
      <c r="R379" s="30"/>
    </row>
    <row r="380" spans="1:18" ht="30" customHeight="1" x14ac:dyDescent="0.3">
      <c r="A380" s="26" t="str">
        <f t="shared" si="10"/>
        <v>2026건국대</v>
      </c>
      <c r="B380" s="26">
        <f>COUNTIFS($A$4:A380,A380)</f>
        <v>6</v>
      </c>
      <c r="C380" s="26" t="str">
        <f t="shared" si="11"/>
        <v>2026건국대6</v>
      </c>
      <c r="E380" s="26" t="s">
        <v>129</v>
      </c>
      <c r="F380" s="26" t="s">
        <v>17</v>
      </c>
      <c r="H380" s="28" t="s">
        <v>201</v>
      </c>
      <c r="I380" s="28">
        <v>2026</v>
      </c>
      <c r="J380" s="28" t="s">
        <v>50</v>
      </c>
      <c r="K380" s="28" t="s">
        <v>204</v>
      </c>
      <c r="L380" s="28" t="s">
        <v>24</v>
      </c>
      <c r="M380" s="28" t="s">
        <v>22</v>
      </c>
      <c r="N380" s="29" t="s">
        <v>205</v>
      </c>
      <c r="O380" s="28" t="s">
        <v>33</v>
      </c>
      <c r="P380" s="28" t="s">
        <v>33</v>
      </c>
      <c r="Q380" s="32"/>
      <c r="R380" s="30"/>
    </row>
    <row r="381" spans="1:18" ht="30" customHeight="1" x14ac:dyDescent="0.3">
      <c r="A381" s="26" t="str">
        <f t="shared" si="10"/>
        <v>2026건국대</v>
      </c>
      <c r="B381" s="26">
        <f>COUNTIFS($A$4:A381,A381)</f>
        <v>7</v>
      </c>
      <c r="C381" s="26" t="str">
        <f t="shared" si="11"/>
        <v>2026건국대7</v>
      </c>
      <c r="E381" s="26" t="s">
        <v>129</v>
      </c>
      <c r="F381" s="26" t="s">
        <v>17</v>
      </c>
      <c r="H381" s="28" t="s">
        <v>201</v>
      </c>
      <c r="I381" s="28">
        <v>2026</v>
      </c>
      <c r="J381" s="28" t="s">
        <v>50</v>
      </c>
      <c r="K381" s="28" t="s">
        <v>204</v>
      </c>
      <c r="L381" s="28" t="s">
        <v>24</v>
      </c>
      <c r="M381" s="28" t="s">
        <v>42</v>
      </c>
      <c r="N381" s="29" t="s">
        <v>206</v>
      </c>
      <c r="O381" s="28" t="s">
        <v>33</v>
      </c>
      <c r="P381" s="28" t="s">
        <v>33</v>
      </c>
      <c r="Q381" s="32"/>
      <c r="R381" s="30"/>
    </row>
    <row r="382" spans="1:18" ht="30" customHeight="1" x14ac:dyDescent="0.3">
      <c r="A382" s="26" t="str">
        <f t="shared" si="10"/>
        <v>2026건국대</v>
      </c>
      <c r="B382" s="26">
        <f>COUNTIFS($A$4:A382,A382)</f>
        <v>8</v>
      </c>
      <c r="C382" s="26" t="str">
        <f t="shared" si="11"/>
        <v>2026건국대8</v>
      </c>
      <c r="E382" s="26" t="s">
        <v>129</v>
      </c>
      <c r="F382" s="26" t="s">
        <v>17</v>
      </c>
      <c r="H382" s="28" t="s">
        <v>201</v>
      </c>
      <c r="I382" s="28">
        <v>2026</v>
      </c>
      <c r="J382" s="28" t="s">
        <v>50</v>
      </c>
      <c r="K382" s="28" t="s">
        <v>204</v>
      </c>
      <c r="L382" s="28" t="s">
        <v>44</v>
      </c>
      <c r="M382" s="28" t="s">
        <v>22</v>
      </c>
      <c r="N382" s="29" t="s">
        <v>207</v>
      </c>
      <c r="O382" s="28" t="s">
        <v>33</v>
      </c>
      <c r="P382" s="28" t="s">
        <v>33</v>
      </c>
      <c r="Q382" s="32"/>
      <c r="R382" s="30"/>
    </row>
    <row r="383" spans="1:18" ht="30" customHeight="1" x14ac:dyDescent="0.3">
      <c r="A383" s="26" t="str">
        <f t="shared" si="10"/>
        <v>2027건국대</v>
      </c>
      <c r="B383" s="26">
        <f>COUNTIFS($A$4:A383,A383)</f>
        <v>1</v>
      </c>
      <c r="C383" s="26" t="str">
        <f t="shared" si="11"/>
        <v>2027건국대1</v>
      </c>
      <c r="E383" s="26" t="s">
        <v>129</v>
      </c>
      <c r="F383" s="26" t="s">
        <v>17</v>
      </c>
      <c r="H383" s="28" t="s">
        <v>201</v>
      </c>
      <c r="I383" s="28">
        <v>2027</v>
      </c>
      <c r="J383" s="28" t="s">
        <v>38</v>
      </c>
      <c r="K383" s="28" t="s">
        <v>202</v>
      </c>
      <c r="L383" s="28" t="s">
        <v>21</v>
      </c>
      <c r="M383" s="28" t="s">
        <v>22</v>
      </c>
      <c r="N383" s="29" t="s">
        <v>33</v>
      </c>
      <c r="O383" s="28" t="s">
        <v>22</v>
      </c>
      <c r="P383" s="28" t="s">
        <v>22</v>
      </c>
      <c r="Q383" s="32"/>
      <c r="R383" s="30"/>
    </row>
    <row r="384" spans="1:18" ht="30" customHeight="1" x14ac:dyDescent="0.3">
      <c r="A384" s="26" t="str">
        <f t="shared" si="10"/>
        <v>2027건국대</v>
      </c>
      <c r="B384" s="26">
        <f>COUNTIFS($A$4:A384,A384)</f>
        <v>2</v>
      </c>
      <c r="C384" s="26" t="str">
        <f t="shared" si="11"/>
        <v>2027건국대2</v>
      </c>
      <c r="E384" s="26" t="s">
        <v>129</v>
      </c>
      <c r="F384" s="26" t="s">
        <v>17</v>
      </c>
      <c r="H384" s="28" t="s">
        <v>201</v>
      </c>
      <c r="I384" s="28">
        <v>2027</v>
      </c>
      <c r="J384" s="28" t="s">
        <v>38</v>
      </c>
      <c r="K384" s="28" t="s">
        <v>202</v>
      </c>
      <c r="L384" s="28" t="s">
        <v>24</v>
      </c>
      <c r="M384" s="28" t="s">
        <v>22</v>
      </c>
      <c r="N384" s="29" t="s">
        <v>33</v>
      </c>
      <c r="O384" s="28" t="s">
        <v>22</v>
      </c>
      <c r="P384" s="28" t="s">
        <v>22</v>
      </c>
      <c r="Q384" s="32"/>
      <c r="R384" s="30"/>
    </row>
    <row r="385" spans="1:18" ht="30" customHeight="1" x14ac:dyDescent="0.3">
      <c r="A385" s="26" t="str">
        <f t="shared" si="10"/>
        <v>2027건국대</v>
      </c>
      <c r="B385" s="26">
        <f>COUNTIFS($A$4:A385,A385)</f>
        <v>3</v>
      </c>
      <c r="C385" s="26" t="str">
        <f t="shared" si="11"/>
        <v>2027건국대3</v>
      </c>
      <c r="E385" s="26" t="s">
        <v>129</v>
      </c>
      <c r="F385" s="26" t="s">
        <v>17</v>
      </c>
      <c r="H385" s="28" t="s">
        <v>201</v>
      </c>
      <c r="I385" s="28">
        <v>2027</v>
      </c>
      <c r="J385" s="28" t="s">
        <v>19</v>
      </c>
      <c r="K385" s="28" t="s">
        <v>203</v>
      </c>
      <c r="L385" s="28" t="s">
        <v>21</v>
      </c>
      <c r="M385" s="28" t="s">
        <v>22</v>
      </c>
      <c r="N385" s="29" t="s">
        <v>33</v>
      </c>
      <c r="O385" s="28" t="s">
        <v>22</v>
      </c>
      <c r="P385" s="28" t="s">
        <v>22</v>
      </c>
      <c r="Q385" s="32"/>
      <c r="R385" s="30"/>
    </row>
    <row r="386" spans="1:18" ht="30" customHeight="1" x14ac:dyDescent="0.3">
      <c r="A386" s="26" t="str">
        <f t="shared" si="10"/>
        <v>2027건국대</v>
      </c>
      <c r="B386" s="26">
        <f>COUNTIFS($A$4:A386,A386)</f>
        <v>4</v>
      </c>
      <c r="C386" s="26" t="str">
        <f t="shared" si="11"/>
        <v>2027건국대4</v>
      </c>
      <c r="E386" s="26" t="s">
        <v>129</v>
      </c>
      <c r="F386" s="26" t="s">
        <v>17</v>
      </c>
      <c r="H386" s="28" t="s">
        <v>201</v>
      </c>
      <c r="I386" s="28">
        <v>2027</v>
      </c>
      <c r="J386" s="28" t="s">
        <v>19</v>
      </c>
      <c r="K386" s="28" t="s">
        <v>203</v>
      </c>
      <c r="L386" s="28" t="s">
        <v>24</v>
      </c>
      <c r="M386" s="28" t="s">
        <v>22</v>
      </c>
      <c r="N386" s="29" t="s">
        <v>33</v>
      </c>
      <c r="O386" s="28" t="s">
        <v>22</v>
      </c>
      <c r="P386" s="28" t="s">
        <v>22</v>
      </c>
      <c r="Q386" s="32"/>
      <c r="R386" s="30"/>
    </row>
    <row r="387" spans="1:18" ht="30" customHeight="1" x14ac:dyDescent="0.3">
      <c r="A387" s="26" t="str">
        <f t="shared" si="10"/>
        <v>2027건국대</v>
      </c>
      <c r="B387" s="26">
        <f>COUNTIFS($A$4:A387,A387)</f>
        <v>5</v>
      </c>
      <c r="C387" s="26" t="str">
        <f t="shared" si="11"/>
        <v>2027건국대5</v>
      </c>
      <c r="E387" s="26" t="s">
        <v>129</v>
      </c>
      <c r="F387" s="26" t="s">
        <v>17</v>
      </c>
      <c r="H387" s="28" t="s">
        <v>201</v>
      </c>
      <c r="I387" s="28">
        <v>2027</v>
      </c>
      <c r="J387" s="28" t="s">
        <v>50</v>
      </c>
      <c r="K387" s="28" t="s">
        <v>204</v>
      </c>
      <c r="L387" s="28" t="s">
        <v>21</v>
      </c>
      <c r="M387" s="28" t="s">
        <v>22</v>
      </c>
      <c r="N387" s="29" t="s">
        <v>205</v>
      </c>
      <c r="O387" s="28" t="s">
        <v>33</v>
      </c>
      <c r="P387" s="28" t="s">
        <v>33</v>
      </c>
      <c r="Q387" s="32"/>
      <c r="R387" s="30"/>
    </row>
    <row r="388" spans="1:18" ht="30" customHeight="1" x14ac:dyDescent="0.3">
      <c r="A388" s="26" t="str">
        <f t="shared" ref="A388:A451" si="12">I388&amp;H388</f>
        <v>2027건국대</v>
      </c>
      <c r="B388" s="26">
        <f>COUNTIFS($A$4:A388,A388)</f>
        <v>6</v>
      </c>
      <c r="C388" s="26" t="str">
        <f t="shared" ref="C388:C451" si="13">A388&amp;B388</f>
        <v>2027건국대6</v>
      </c>
      <c r="E388" s="26" t="s">
        <v>129</v>
      </c>
      <c r="F388" s="26" t="s">
        <v>17</v>
      </c>
      <c r="H388" s="28" t="s">
        <v>201</v>
      </c>
      <c r="I388" s="28">
        <v>2027</v>
      </c>
      <c r="J388" s="28" t="s">
        <v>50</v>
      </c>
      <c r="K388" s="28" t="s">
        <v>204</v>
      </c>
      <c r="L388" s="28" t="s">
        <v>24</v>
      </c>
      <c r="M388" s="28" t="s">
        <v>22</v>
      </c>
      <c r="N388" s="29" t="s">
        <v>205</v>
      </c>
      <c r="O388" s="28" t="s">
        <v>33</v>
      </c>
      <c r="P388" s="28" t="s">
        <v>33</v>
      </c>
      <c r="Q388" s="32"/>
      <c r="R388" s="30"/>
    </row>
    <row r="389" spans="1:18" ht="30" customHeight="1" x14ac:dyDescent="0.3">
      <c r="A389" s="26" t="str">
        <f t="shared" si="12"/>
        <v>2027건국대</v>
      </c>
      <c r="B389" s="26">
        <f>COUNTIFS($A$4:A389,A389)</f>
        <v>7</v>
      </c>
      <c r="C389" s="26" t="str">
        <f t="shared" si="13"/>
        <v>2027건국대7</v>
      </c>
      <c r="E389" s="26" t="s">
        <v>129</v>
      </c>
      <c r="F389" s="26" t="s">
        <v>17</v>
      </c>
      <c r="H389" s="28" t="s">
        <v>201</v>
      </c>
      <c r="I389" s="28">
        <v>2027</v>
      </c>
      <c r="J389" s="28" t="s">
        <v>50</v>
      </c>
      <c r="K389" s="28" t="s">
        <v>204</v>
      </c>
      <c r="L389" s="28" t="s">
        <v>24</v>
      </c>
      <c r="M389" s="28" t="s">
        <v>42</v>
      </c>
      <c r="N389" s="29" t="s">
        <v>206</v>
      </c>
      <c r="O389" s="28" t="s">
        <v>33</v>
      </c>
      <c r="P389" s="28" t="s">
        <v>33</v>
      </c>
      <c r="Q389" s="32"/>
      <c r="R389" s="30"/>
    </row>
    <row r="390" spans="1:18" ht="30" customHeight="1" x14ac:dyDescent="0.3">
      <c r="A390" s="26" t="str">
        <f t="shared" si="12"/>
        <v>2027건국대</v>
      </c>
      <c r="B390" s="26">
        <f>COUNTIFS($A$4:A390,A390)</f>
        <v>8</v>
      </c>
      <c r="C390" s="26" t="str">
        <f t="shared" si="13"/>
        <v>2027건국대8</v>
      </c>
      <c r="E390" s="26" t="s">
        <v>129</v>
      </c>
      <c r="F390" s="26" t="s">
        <v>17</v>
      </c>
      <c r="H390" s="28" t="s">
        <v>201</v>
      </c>
      <c r="I390" s="28">
        <v>2027</v>
      </c>
      <c r="J390" s="28" t="s">
        <v>50</v>
      </c>
      <c r="K390" s="28" t="s">
        <v>204</v>
      </c>
      <c r="L390" s="28" t="s">
        <v>44</v>
      </c>
      <c r="M390" s="28" t="s">
        <v>22</v>
      </c>
      <c r="N390" s="29" t="s">
        <v>207</v>
      </c>
      <c r="O390" s="28" t="s">
        <v>33</v>
      </c>
      <c r="P390" s="28" t="s">
        <v>33</v>
      </c>
      <c r="Q390" s="32"/>
      <c r="R390" s="30"/>
    </row>
    <row r="391" spans="1:18" ht="30" customHeight="1" x14ac:dyDescent="0.3">
      <c r="A391" s="26" t="str">
        <f t="shared" si="12"/>
        <v>2025동국대</v>
      </c>
      <c r="B391" s="26">
        <f>COUNTIFS($A$4:A391,A391)</f>
        <v>1</v>
      </c>
      <c r="C391" s="26" t="str">
        <f t="shared" si="13"/>
        <v>2025동국대1</v>
      </c>
      <c r="E391" s="26" t="s">
        <v>129</v>
      </c>
      <c r="F391" s="26" t="s">
        <v>17</v>
      </c>
      <c r="H391" s="28" t="s">
        <v>208</v>
      </c>
      <c r="I391" s="28">
        <v>2025</v>
      </c>
      <c r="J391" s="28" t="s">
        <v>38</v>
      </c>
      <c r="K391" s="28" t="s">
        <v>209</v>
      </c>
      <c r="L391" s="28" t="s">
        <v>21</v>
      </c>
      <c r="M391" s="28" t="s">
        <v>22</v>
      </c>
      <c r="N391" s="29" t="s">
        <v>33</v>
      </c>
      <c r="O391" s="28" t="s">
        <v>33</v>
      </c>
      <c r="P391" s="28" t="s">
        <v>33</v>
      </c>
      <c r="Q391" s="32"/>
      <c r="R391" s="30"/>
    </row>
    <row r="392" spans="1:18" ht="30" customHeight="1" x14ac:dyDescent="0.3">
      <c r="A392" s="26" t="str">
        <f t="shared" si="12"/>
        <v>2025동국대</v>
      </c>
      <c r="B392" s="26">
        <f>COUNTIFS($A$4:A392,A392)</f>
        <v>2</v>
      </c>
      <c r="C392" s="26" t="str">
        <f t="shared" si="13"/>
        <v>2025동국대2</v>
      </c>
      <c r="E392" s="26" t="s">
        <v>129</v>
      </c>
      <c r="F392" s="26" t="s">
        <v>17</v>
      </c>
      <c r="H392" s="28" t="s">
        <v>208</v>
      </c>
      <c r="I392" s="28">
        <v>2025</v>
      </c>
      <c r="J392" s="28" t="s">
        <v>38</v>
      </c>
      <c r="K392" s="28" t="s">
        <v>209</v>
      </c>
      <c r="L392" s="28" t="s">
        <v>24</v>
      </c>
      <c r="M392" s="28" t="s">
        <v>22</v>
      </c>
      <c r="N392" s="29" t="s">
        <v>33</v>
      </c>
      <c r="O392" s="28" t="s">
        <v>33</v>
      </c>
      <c r="P392" s="28" t="s">
        <v>33</v>
      </c>
      <c r="Q392" s="32"/>
      <c r="R392" s="30"/>
    </row>
    <row r="393" spans="1:18" ht="30" customHeight="1" x14ac:dyDescent="0.3">
      <c r="A393" s="26" t="str">
        <f t="shared" si="12"/>
        <v>2025동국대</v>
      </c>
      <c r="B393" s="26">
        <f>COUNTIFS($A$4:A393,A393)</f>
        <v>3</v>
      </c>
      <c r="C393" s="26" t="str">
        <f t="shared" si="13"/>
        <v>2025동국대3</v>
      </c>
      <c r="E393" s="26" t="s">
        <v>129</v>
      </c>
      <c r="F393" s="26" t="s">
        <v>17</v>
      </c>
      <c r="H393" s="28" t="s">
        <v>208</v>
      </c>
      <c r="I393" s="28">
        <v>2025</v>
      </c>
      <c r="J393" s="28" t="s">
        <v>19</v>
      </c>
      <c r="K393" s="28" t="s">
        <v>210</v>
      </c>
      <c r="L393" s="28" t="s">
        <v>21</v>
      </c>
      <c r="M393" s="28" t="s">
        <v>22</v>
      </c>
      <c r="N393" s="29" t="s">
        <v>33</v>
      </c>
      <c r="O393" s="28" t="s">
        <v>33</v>
      </c>
      <c r="P393" s="28" t="s">
        <v>33</v>
      </c>
      <c r="Q393" s="32"/>
      <c r="R393" s="30"/>
    </row>
    <row r="394" spans="1:18" ht="30" customHeight="1" x14ac:dyDescent="0.3">
      <c r="A394" s="26" t="str">
        <f t="shared" si="12"/>
        <v>2025동국대</v>
      </c>
      <c r="B394" s="26">
        <f>COUNTIFS($A$4:A394,A394)</f>
        <v>4</v>
      </c>
      <c r="C394" s="26" t="str">
        <f t="shared" si="13"/>
        <v>2025동국대4</v>
      </c>
      <c r="E394" s="26" t="s">
        <v>129</v>
      </c>
      <c r="F394" s="26" t="s">
        <v>17</v>
      </c>
      <c r="H394" s="28" t="s">
        <v>208</v>
      </c>
      <c r="I394" s="28">
        <v>2025</v>
      </c>
      <c r="J394" s="28" t="s">
        <v>19</v>
      </c>
      <c r="K394" s="28" t="s">
        <v>210</v>
      </c>
      <c r="L394" s="28" t="s">
        <v>24</v>
      </c>
      <c r="M394" s="28" t="s">
        <v>22</v>
      </c>
      <c r="N394" s="29" t="s">
        <v>33</v>
      </c>
      <c r="O394" s="28" t="s">
        <v>33</v>
      </c>
      <c r="P394" s="28" t="s">
        <v>33</v>
      </c>
      <c r="Q394" s="32"/>
      <c r="R394" s="30"/>
    </row>
    <row r="395" spans="1:18" ht="96" x14ac:dyDescent="0.3">
      <c r="A395" s="26" t="str">
        <f t="shared" si="12"/>
        <v>2025동국대</v>
      </c>
      <c r="B395" s="26">
        <f>COUNTIFS($A$4:A395,A395)</f>
        <v>5</v>
      </c>
      <c r="C395" s="26" t="str">
        <f t="shared" si="13"/>
        <v>2025동국대5</v>
      </c>
      <c r="E395" s="26" t="s">
        <v>129</v>
      </c>
      <c r="F395" s="26" t="s">
        <v>17</v>
      </c>
      <c r="H395" s="28" t="s">
        <v>208</v>
      </c>
      <c r="I395" s="28">
        <v>2025</v>
      </c>
      <c r="J395" s="28" t="s">
        <v>50</v>
      </c>
      <c r="K395" s="28" t="s">
        <v>50</v>
      </c>
      <c r="L395" s="28" t="s">
        <v>21</v>
      </c>
      <c r="M395" s="28" t="s">
        <v>22</v>
      </c>
      <c r="N395" s="29" t="s">
        <v>211</v>
      </c>
      <c r="O395" s="28" t="s">
        <v>33</v>
      </c>
      <c r="P395" s="28" t="s">
        <v>33</v>
      </c>
      <c r="Q395" s="32"/>
      <c r="R395" s="30"/>
    </row>
    <row r="396" spans="1:18" ht="60" x14ac:dyDescent="0.3">
      <c r="A396" s="26" t="str">
        <f t="shared" si="12"/>
        <v>2025동국대</v>
      </c>
      <c r="B396" s="26">
        <f>COUNTIFS($A$4:A396,A396)</f>
        <v>6</v>
      </c>
      <c r="C396" s="26" t="str">
        <f t="shared" si="13"/>
        <v>2025동국대6</v>
      </c>
      <c r="E396" s="26" t="s">
        <v>129</v>
      </c>
      <c r="F396" s="26" t="s">
        <v>17</v>
      </c>
      <c r="H396" s="28" t="s">
        <v>208</v>
      </c>
      <c r="I396" s="28">
        <v>2025</v>
      </c>
      <c r="J396" s="28" t="s">
        <v>50</v>
      </c>
      <c r="K396" s="28" t="s">
        <v>50</v>
      </c>
      <c r="L396" s="28" t="s">
        <v>24</v>
      </c>
      <c r="M396" s="28" t="s">
        <v>22</v>
      </c>
      <c r="N396" s="29" t="s">
        <v>212</v>
      </c>
      <c r="O396" s="28" t="s">
        <v>33</v>
      </c>
      <c r="P396" s="28" t="s">
        <v>55</v>
      </c>
      <c r="Q396" s="32"/>
      <c r="R396" s="30"/>
    </row>
    <row r="397" spans="1:18" ht="30" customHeight="1" x14ac:dyDescent="0.3">
      <c r="A397" s="26" t="str">
        <f t="shared" si="12"/>
        <v>2025동국대</v>
      </c>
      <c r="B397" s="26">
        <f>COUNTIFS($A$4:A397,A397)</f>
        <v>7</v>
      </c>
      <c r="C397" s="26" t="str">
        <f t="shared" si="13"/>
        <v>2025동국대7</v>
      </c>
      <c r="E397" s="26" t="s">
        <v>129</v>
      </c>
      <c r="F397" s="26" t="s">
        <v>17</v>
      </c>
      <c r="H397" s="28" t="s">
        <v>208</v>
      </c>
      <c r="I397" s="28">
        <v>2025</v>
      </c>
      <c r="J397" s="28" t="s">
        <v>50</v>
      </c>
      <c r="K397" s="28" t="s">
        <v>50</v>
      </c>
      <c r="L397" s="28" t="s">
        <v>24</v>
      </c>
      <c r="M397" s="28" t="s">
        <v>42</v>
      </c>
      <c r="N397" s="29" t="s">
        <v>213</v>
      </c>
      <c r="O397" s="28" t="s">
        <v>33</v>
      </c>
      <c r="P397" s="28" t="s">
        <v>55</v>
      </c>
      <c r="Q397" s="32"/>
      <c r="R397" s="30"/>
    </row>
    <row r="398" spans="1:18" ht="30" customHeight="1" x14ac:dyDescent="0.3">
      <c r="A398" s="26" t="str">
        <f t="shared" si="12"/>
        <v>2026동국대</v>
      </c>
      <c r="B398" s="26">
        <f>COUNTIFS($A$4:A398,A398)</f>
        <v>1</v>
      </c>
      <c r="C398" s="26" t="str">
        <f t="shared" si="13"/>
        <v>2026동국대1</v>
      </c>
      <c r="E398" s="26" t="s">
        <v>129</v>
      </c>
      <c r="F398" s="26" t="s">
        <v>17</v>
      </c>
      <c r="H398" s="28" t="s">
        <v>208</v>
      </c>
      <c r="I398" s="28">
        <v>2026</v>
      </c>
      <c r="J398" s="28" t="s">
        <v>38</v>
      </c>
      <c r="K398" s="28" t="s">
        <v>209</v>
      </c>
      <c r="L398" s="28" t="s">
        <v>21</v>
      </c>
      <c r="M398" s="28" t="s">
        <v>22</v>
      </c>
      <c r="N398" s="29" t="s">
        <v>33</v>
      </c>
      <c r="O398" s="28" t="s">
        <v>22</v>
      </c>
      <c r="P398" s="28" t="s">
        <v>22</v>
      </c>
      <c r="Q398" s="32"/>
      <c r="R398" s="30"/>
    </row>
    <row r="399" spans="1:18" ht="30" customHeight="1" x14ac:dyDescent="0.3">
      <c r="A399" s="26" t="str">
        <f t="shared" si="12"/>
        <v>2026동국대</v>
      </c>
      <c r="B399" s="26">
        <f>COUNTIFS($A$4:A399,A399)</f>
        <v>2</v>
      </c>
      <c r="C399" s="26" t="str">
        <f t="shared" si="13"/>
        <v>2026동국대2</v>
      </c>
      <c r="E399" s="26" t="s">
        <v>129</v>
      </c>
      <c r="F399" s="26" t="s">
        <v>17</v>
      </c>
      <c r="H399" s="28" t="s">
        <v>208</v>
      </c>
      <c r="I399" s="28">
        <v>2026</v>
      </c>
      <c r="J399" s="28" t="s">
        <v>38</v>
      </c>
      <c r="K399" s="28" t="s">
        <v>209</v>
      </c>
      <c r="L399" s="28" t="s">
        <v>24</v>
      </c>
      <c r="M399" s="28" t="s">
        <v>22</v>
      </c>
      <c r="N399" s="29" t="s">
        <v>33</v>
      </c>
      <c r="O399" s="28" t="s">
        <v>22</v>
      </c>
      <c r="P399" s="28" t="s">
        <v>22</v>
      </c>
      <c r="Q399" s="32"/>
      <c r="R399" s="30"/>
    </row>
    <row r="400" spans="1:18" ht="30" customHeight="1" x14ac:dyDescent="0.3">
      <c r="A400" s="26" t="str">
        <f t="shared" si="12"/>
        <v>2026동국대</v>
      </c>
      <c r="B400" s="26">
        <f>COUNTIFS($A$4:A400,A400)</f>
        <v>3</v>
      </c>
      <c r="C400" s="26" t="str">
        <f t="shared" si="13"/>
        <v>2026동국대3</v>
      </c>
      <c r="E400" s="26" t="s">
        <v>129</v>
      </c>
      <c r="F400" s="26" t="s">
        <v>17</v>
      </c>
      <c r="H400" s="28" t="s">
        <v>208</v>
      </c>
      <c r="I400" s="28">
        <v>2026</v>
      </c>
      <c r="J400" s="28" t="s">
        <v>19</v>
      </c>
      <c r="K400" s="28" t="s">
        <v>210</v>
      </c>
      <c r="L400" s="28" t="s">
        <v>21</v>
      </c>
      <c r="M400" s="28" t="s">
        <v>22</v>
      </c>
      <c r="N400" s="29" t="s">
        <v>33</v>
      </c>
      <c r="O400" s="28" t="s">
        <v>22</v>
      </c>
      <c r="P400" s="28" t="s">
        <v>22</v>
      </c>
      <c r="Q400" s="32"/>
      <c r="R400" s="30"/>
    </row>
    <row r="401" spans="1:18" ht="30" customHeight="1" x14ac:dyDescent="0.3">
      <c r="A401" s="26" t="str">
        <f t="shared" si="12"/>
        <v>2026동국대</v>
      </c>
      <c r="B401" s="26">
        <f>COUNTIFS($A$4:A401,A401)</f>
        <v>4</v>
      </c>
      <c r="C401" s="26" t="str">
        <f t="shared" si="13"/>
        <v>2026동국대4</v>
      </c>
      <c r="E401" s="26" t="s">
        <v>129</v>
      </c>
      <c r="F401" s="26" t="s">
        <v>17</v>
      </c>
      <c r="H401" s="28" t="s">
        <v>208</v>
      </c>
      <c r="I401" s="28">
        <v>2026</v>
      </c>
      <c r="J401" s="28" t="s">
        <v>19</v>
      </c>
      <c r="K401" s="28" t="s">
        <v>210</v>
      </c>
      <c r="L401" s="28" t="s">
        <v>24</v>
      </c>
      <c r="M401" s="28" t="s">
        <v>22</v>
      </c>
      <c r="N401" s="29" t="s">
        <v>33</v>
      </c>
      <c r="O401" s="28" t="s">
        <v>22</v>
      </c>
      <c r="P401" s="28" t="s">
        <v>22</v>
      </c>
      <c r="Q401" s="32"/>
      <c r="R401" s="30"/>
    </row>
    <row r="402" spans="1:18" ht="96" x14ac:dyDescent="0.3">
      <c r="A402" s="26" t="str">
        <f t="shared" si="12"/>
        <v>2026동국대</v>
      </c>
      <c r="B402" s="26">
        <f>COUNTIFS($A$4:A402,A402)</f>
        <v>5</v>
      </c>
      <c r="C402" s="26" t="str">
        <f t="shared" si="13"/>
        <v>2026동국대5</v>
      </c>
      <c r="E402" s="26" t="s">
        <v>129</v>
      </c>
      <c r="F402" s="26" t="s">
        <v>17</v>
      </c>
      <c r="H402" s="28" t="s">
        <v>208</v>
      </c>
      <c r="I402" s="28">
        <v>2026</v>
      </c>
      <c r="J402" s="28" t="s">
        <v>50</v>
      </c>
      <c r="K402" s="28" t="s">
        <v>50</v>
      </c>
      <c r="L402" s="28" t="s">
        <v>21</v>
      </c>
      <c r="M402" s="28" t="s">
        <v>22</v>
      </c>
      <c r="N402" s="29" t="s">
        <v>211</v>
      </c>
      <c r="O402" s="28" t="s">
        <v>33</v>
      </c>
      <c r="P402" s="28" t="s">
        <v>33</v>
      </c>
      <c r="Q402" s="32"/>
      <c r="R402" s="30"/>
    </row>
    <row r="403" spans="1:18" ht="60" x14ac:dyDescent="0.3">
      <c r="A403" s="26" t="str">
        <f t="shared" si="12"/>
        <v>2026동국대</v>
      </c>
      <c r="B403" s="26">
        <f>COUNTIFS($A$4:A403,A403)</f>
        <v>6</v>
      </c>
      <c r="C403" s="26" t="str">
        <f t="shared" si="13"/>
        <v>2026동국대6</v>
      </c>
      <c r="E403" s="26" t="s">
        <v>129</v>
      </c>
      <c r="F403" s="26" t="s">
        <v>17</v>
      </c>
      <c r="H403" s="28" t="s">
        <v>208</v>
      </c>
      <c r="I403" s="28">
        <v>2026</v>
      </c>
      <c r="J403" s="28" t="s">
        <v>50</v>
      </c>
      <c r="K403" s="28" t="s">
        <v>50</v>
      </c>
      <c r="L403" s="28" t="s">
        <v>24</v>
      </c>
      <c r="M403" s="28" t="s">
        <v>22</v>
      </c>
      <c r="N403" s="29" t="s">
        <v>212</v>
      </c>
      <c r="O403" s="28" t="s">
        <v>33</v>
      </c>
      <c r="P403" s="28" t="s">
        <v>55</v>
      </c>
      <c r="Q403" s="32"/>
      <c r="R403" s="30"/>
    </row>
    <row r="404" spans="1:18" ht="30" customHeight="1" x14ac:dyDescent="0.3">
      <c r="A404" s="26" t="str">
        <f t="shared" si="12"/>
        <v>2026동국대</v>
      </c>
      <c r="B404" s="26">
        <f>COUNTIFS($A$4:A404,A404)</f>
        <v>7</v>
      </c>
      <c r="C404" s="26" t="str">
        <f t="shared" si="13"/>
        <v>2026동국대7</v>
      </c>
      <c r="E404" s="26" t="s">
        <v>129</v>
      </c>
      <c r="F404" s="26" t="s">
        <v>17</v>
      </c>
      <c r="H404" s="28" t="s">
        <v>208</v>
      </c>
      <c r="I404" s="28">
        <v>2026</v>
      </c>
      <c r="J404" s="28" t="s">
        <v>50</v>
      </c>
      <c r="K404" s="28" t="s">
        <v>50</v>
      </c>
      <c r="L404" s="28" t="s">
        <v>24</v>
      </c>
      <c r="M404" s="28" t="s">
        <v>42</v>
      </c>
      <c r="N404" s="29" t="s">
        <v>213</v>
      </c>
      <c r="O404" s="28" t="s">
        <v>33</v>
      </c>
      <c r="P404" s="28" t="s">
        <v>55</v>
      </c>
      <c r="Q404" s="32"/>
      <c r="R404" s="30"/>
    </row>
    <row r="405" spans="1:18" ht="30" customHeight="1" x14ac:dyDescent="0.3">
      <c r="A405" s="26" t="str">
        <f t="shared" si="12"/>
        <v>2027동국대</v>
      </c>
      <c r="B405" s="26">
        <f>COUNTIFS($A$4:A405,A405)</f>
        <v>1</v>
      </c>
      <c r="C405" s="26" t="str">
        <f t="shared" si="13"/>
        <v>2027동국대1</v>
      </c>
      <c r="E405" s="26" t="s">
        <v>129</v>
      </c>
      <c r="F405" s="26" t="s">
        <v>17</v>
      </c>
      <c r="H405" s="28" t="s">
        <v>208</v>
      </c>
      <c r="I405" s="28">
        <v>2027</v>
      </c>
      <c r="J405" s="28" t="s">
        <v>38</v>
      </c>
      <c r="K405" s="28" t="s">
        <v>209</v>
      </c>
      <c r="L405" s="28" t="s">
        <v>21</v>
      </c>
      <c r="M405" s="28" t="s">
        <v>22</v>
      </c>
      <c r="N405" s="29" t="s">
        <v>33</v>
      </c>
      <c r="O405" s="28" t="s">
        <v>22</v>
      </c>
      <c r="P405" s="28" t="s">
        <v>22</v>
      </c>
      <c r="Q405" s="32"/>
      <c r="R405" s="30"/>
    </row>
    <row r="406" spans="1:18" ht="30" customHeight="1" x14ac:dyDescent="0.3">
      <c r="A406" s="26" t="str">
        <f t="shared" si="12"/>
        <v>2027동국대</v>
      </c>
      <c r="B406" s="26">
        <f>COUNTIFS($A$4:A406,A406)</f>
        <v>2</v>
      </c>
      <c r="C406" s="26" t="str">
        <f t="shared" si="13"/>
        <v>2027동국대2</v>
      </c>
      <c r="E406" s="26" t="s">
        <v>129</v>
      </c>
      <c r="F406" s="26" t="s">
        <v>17</v>
      </c>
      <c r="H406" s="28" t="s">
        <v>208</v>
      </c>
      <c r="I406" s="28">
        <v>2027</v>
      </c>
      <c r="J406" s="28" t="s">
        <v>38</v>
      </c>
      <c r="K406" s="28" t="s">
        <v>209</v>
      </c>
      <c r="L406" s="28" t="s">
        <v>24</v>
      </c>
      <c r="M406" s="28" t="s">
        <v>22</v>
      </c>
      <c r="N406" s="29" t="s">
        <v>33</v>
      </c>
      <c r="O406" s="28" t="s">
        <v>22</v>
      </c>
      <c r="P406" s="28" t="s">
        <v>22</v>
      </c>
      <c r="Q406" s="32"/>
      <c r="R406" s="30"/>
    </row>
    <row r="407" spans="1:18" ht="30" customHeight="1" x14ac:dyDescent="0.3">
      <c r="A407" s="26" t="str">
        <f t="shared" si="12"/>
        <v>2027동국대</v>
      </c>
      <c r="B407" s="26">
        <f>COUNTIFS($A$4:A407,A407)</f>
        <v>3</v>
      </c>
      <c r="C407" s="26" t="str">
        <f t="shared" si="13"/>
        <v>2027동국대3</v>
      </c>
      <c r="E407" s="26" t="s">
        <v>129</v>
      </c>
      <c r="F407" s="26" t="s">
        <v>17</v>
      </c>
      <c r="H407" s="28" t="s">
        <v>208</v>
      </c>
      <c r="I407" s="28">
        <v>2027</v>
      </c>
      <c r="J407" s="28" t="s">
        <v>19</v>
      </c>
      <c r="K407" s="28" t="s">
        <v>210</v>
      </c>
      <c r="L407" s="28" t="s">
        <v>21</v>
      </c>
      <c r="M407" s="28" t="s">
        <v>22</v>
      </c>
      <c r="N407" s="29" t="s">
        <v>33</v>
      </c>
      <c r="O407" s="28" t="s">
        <v>22</v>
      </c>
      <c r="P407" s="28" t="s">
        <v>22</v>
      </c>
      <c r="Q407" s="32"/>
      <c r="R407" s="30"/>
    </row>
    <row r="408" spans="1:18" ht="30" customHeight="1" x14ac:dyDescent="0.3">
      <c r="A408" s="26" t="str">
        <f t="shared" si="12"/>
        <v>2027동국대</v>
      </c>
      <c r="B408" s="26">
        <f>COUNTIFS($A$4:A408,A408)</f>
        <v>4</v>
      </c>
      <c r="C408" s="26" t="str">
        <f t="shared" si="13"/>
        <v>2027동국대4</v>
      </c>
      <c r="E408" s="26" t="s">
        <v>129</v>
      </c>
      <c r="F408" s="26" t="s">
        <v>17</v>
      </c>
      <c r="H408" s="28" t="s">
        <v>208</v>
      </c>
      <c r="I408" s="28">
        <v>2027</v>
      </c>
      <c r="J408" s="28" t="s">
        <v>19</v>
      </c>
      <c r="K408" s="28" t="s">
        <v>210</v>
      </c>
      <c r="L408" s="28" t="s">
        <v>24</v>
      </c>
      <c r="M408" s="28" t="s">
        <v>22</v>
      </c>
      <c r="N408" s="29" t="s">
        <v>33</v>
      </c>
      <c r="O408" s="28" t="s">
        <v>22</v>
      </c>
      <c r="P408" s="28" t="s">
        <v>22</v>
      </c>
      <c r="Q408" s="32"/>
      <c r="R408" s="30"/>
    </row>
    <row r="409" spans="1:18" ht="96" x14ac:dyDescent="0.3">
      <c r="A409" s="26" t="str">
        <f t="shared" si="12"/>
        <v>2027동국대</v>
      </c>
      <c r="B409" s="26">
        <f>COUNTIFS($A$4:A409,A409)</f>
        <v>5</v>
      </c>
      <c r="C409" s="26" t="str">
        <f t="shared" si="13"/>
        <v>2027동국대5</v>
      </c>
      <c r="E409" s="26" t="s">
        <v>129</v>
      </c>
      <c r="F409" s="26" t="s">
        <v>17</v>
      </c>
      <c r="H409" s="28" t="s">
        <v>208</v>
      </c>
      <c r="I409" s="28">
        <v>2027</v>
      </c>
      <c r="J409" s="28" t="s">
        <v>50</v>
      </c>
      <c r="K409" s="28" t="s">
        <v>50</v>
      </c>
      <c r="L409" s="28" t="s">
        <v>21</v>
      </c>
      <c r="M409" s="28" t="s">
        <v>22</v>
      </c>
      <c r="N409" s="29" t="s">
        <v>211</v>
      </c>
      <c r="O409" s="28" t="s">
        <v>33</v>
      </c>
      <c r="P409" s="28" t="s">
        <v>33</v>
      </c>
      <c r="Q409" s="32"/>
      <c r="R409" s="30"/>
    </row>
    <row r="410" spans="1:18" ht="60" x14ac:dyDescent="0.3">
      <c r="A410" s="26" t="str">
        <f t="shared" si="12"/>
        <v>2027동국대</v>
      </c>
      <c r="B410" s="26">
        <f>COUNTIFS($A$4:A410,A410)</f>
        <v>6</v>
      </c>
      <c r="C410" s="26" t="str">
        <f t="shared" si="13"/>
        <v>2027동국대6</v>
      </c>
      <c r="E410" s="26" t="s">
        <v>129</v>
      </c>
      <c r="F410" s="26" t="s">
        <v>17</v>
      </c>
      <c r="H410" s="28" t="s">
        <v>208</v>
      </c>
      <c r="I410" s="28">
        <v>2027</v>
      </c>
      <c r="J410" s="28" t="s">
        <v>50</v>
      </c>
      <c r="K410" s="28" t="s">
        <v>50</v>
      </c>
      <c r="L410" s="28" t="s">
        <v>24</v>
      </c>
      <c r="M410" s="28" t="s">
        <v>22</v>
      </c>
      <c r="N410" s="29" t="s">
        <v>212</v>
      </c>
      <c r="O410" s="28" t="s">
        <v>33</v>
      </c>
      <c r="P410" s="28" t="s">
        <v>55</v>
      </c>
      <c r="Q410" s="32"/>
      <c r="R410" s="30"/>
    </row>
    <row r="411" spans="1:18" ht="30" customHeight="1" x14ac:dyDescent="0.3">
      <c r="A411" s="26" t="str">
        <f t="shared" si="12"/>
        <v>2027동국대</v>
      </c>
      <c r="B411" s="26">
        <f>COUNTIFS($A$4:A411,A411)</f>
        <v>7</v>
      </c>
      <c r="C411" s="26" t="str">
        <f t="shared" si="13"/>
        <v>2027동국대7</v>
      </c>
      <c r="E411" s="26" t="s">
        <v>129</v>
      </c>
      <c r="F411" s="26" t="s">
        <v>17</v>
      </c>
      <c r="H411" s="28" t="s">
        <v>208</v>
      </c>
      <c r="I411" s="28">
        <v>2027</v>
      </c>
      <c r="J411" s="28" t="s">
        <v>50</v>
      </c>
      <c r="K411" s="28" t="s">
        <v>50</v>
      </c>
      <c r="L411" s="28" t="s">
        <v>24</v>
      </c>
      <c r="M411" s="28" t="s">
        <v>42</v>
      </c>
      <c r="N411" s="29" t="s">
        <v>213</v>
      </c>
      <c r="O411" s="28" t="s">
        <v>33</v>
      </c>
      <c r="P411" s="28" t="s">
        <v>55</v>
      </c>
      <c r="Q411" s="32"/>
      <c r="R411" s="30"/>
    </row>
    <row r="412" spans="1:18" ht="30" customHeight="1" x14ac:dyDescent="0.3">
      <c r="A412" s="26" t="str">
        <f t="shared" si="12"/>
        <v>2025홍익대</v>
      </c>
      <c r="B412" s="26">
        <f>COUNTIFS($A$4:A412,A412)</f>
        <v>1</v>
      </c>
      <c r="C412" s="26" t="str">
        <f t="shared" si="13"/>
        <v>2025홍익대1</v>
      </c>
      <c r="E412" s="26" t="s">
        <v>129</v>
      </c>
      <c r="F412" s="26" t="s">
        <v>17</v>
      </c>
      <c r="H412" s="28" t="s">
        <v>214</v>
      </c>
      <c r="I412" s="28">
        <v>2025</v>
      </c>
      <c r="J412" s="28" t="s">
        <v>38</v>
      </c>
      <c r="K412" s="28" t="s">
        <v>215</v>
      </c>
      <c r="L412" s="28" t="s">
        <v>21</v>
      </c>
      <c r="M412" s="28" t="s">
        <v>22</v>
      </c>
      <c r="N412" s="29" t="s">
        <v>179</v>
      </c>
      <c r="O412" s="28" t="s">
        <v>33</v>
      </c>
      <c r="P412" s="28" t="s">
        <v>33</v>
      </c>
      <c r="Q412" s="32"/>
      <c r="R412" s="30"/>
    </row>
    <row r="413" spans="1:18" ht="30" customHeight="1" x14ac:dyDescent="0.3">
      <c r="A413" s="26" t="str">
        <f t="shared" si="12"/>
        <v>2025홍익대</v>
      </c>
      <c r="B413" s="26">
        <f>COUNTIFS($A$4:A413,A413)</f>
        <v>2</v>
      </c>
      <c r="C413" s="26" t="str">
        <f t="shared" si="13"/>
        <v>2025홍익대2</v>
      </c>
      <c r="E413" s="26" t="s">
        <v>129</v>
      </c>
      <c r="F413" s="26" t="s">
        <v>17</v>
      </c>
      <c r="H413" s="28" t="s">
        <v>214</v>
      </c>
      <c r="I413" s="28">
        <v>2025</v>
      </c>
      <c r="J413" s="28" t="s">
        <v>38</v>
      </c>
      <c r="K413" s="28" t="s">
        <v>215</v>
      </c>
      <c r="L413" s="28" t="s">
        <v>24</v>
      </c>
      <c r="M413" s="28" t="s">
        <v>22</v>
      </c>
      <c r="N413" s="29" t="s">
        <v>216</v>
      </c>
      <c r="O413" s="28" t="s">
        <v>217</v>
      </c>
      <c r="P413" s="28" t="s">
        <v>55</v>
      </c>
      <c r="Q413" s="32"/>
      <c r="R413" s="30"/>
    </row>
    <row r="414" spans="1:18" ht="30" customHeight="1" x14ac:dyDescent="0.3">
      <c r="A414" s="26" t="str">
        <f t="shared" si="12"/>
        <v>2025홍익대</v>
      </c>
      <c r="B414" s="26">
        <f>COUNTIFS($A$4:A414,A414)</f>
        <v>3</v>
      </c>
      <c r="C414" s="26" t="str">
        <f t="shared" si="13"/>
        <v>2025홍익대3</v>
      </c>
      <c r="E414" s="26" t="s">
        <v>129</v>
      </c>
      <c r="F414" s="26" t="s">
        <v>17</v>
      </c>
      <c r="H414" s="28" t="s">
        <v>214</v>
      </c>
      <c r="I414" s="28">
        <v>2025</v>
      </c>
      <c r="J414" s="28" t="s">
        <v>19</v>
      </c>
      <c r="K414" s="28" t="s">
        <v>218</v>
      </c>
      <c r="L414" s="28" t="s">
        <v>21</v>
      </c>
      <c r="M414" s="28" t="s">
        <v>22</v>
      </c>
      <c r="N414" s="29" t="s">
        <v>179</v>
      </c>
      <c r="O414" s="28" t="s">
        <v>33</v>
      </c>
      <c r="P414" s="28" t="s">
        <v>33</v>
      </c>
      <c r="Q414" s="32"/>
      <c r="R414" s="30"/>
    </row>
    <row r="415" spans="1:18" ht="30" customHeight="1" x14ac:dyDescent="0.3">
      <c r="A415" s="26" t="str">
        <f t="shared" si="12"/>
        <v>2025홍익대</v>
      </c>
      <c r="B415" s="26">
        <f>COUNTIFS($A$4:A415,A415)</f>
        <v>4</v>
      </c>
      <c r="C415" s="26" t="str">
        <f t="shared" si="13"/>
        <v>2025홍익대4</v>
      </c>
      <c r="E415" s="26" t="s">
        <v>129</v>
      </c>
      <c r="F415" s="26" t="s">
        <v>17</v>
      </c>
      <c r="H415" s="28" t="s">
        <v>214</v>
      </c>
      <c r="I415" s="28">
        <v>2025</v>
      </c>
      <c r="J415" s="28" t="s">
        <v>19</v>
      </c>
      <c r="K415" s="28" t="s">
        <v>218</v>
      </c>
      <c r="L415" s="28" t="s">
        <v>24</v>
      </c>
      <c r="M415" s="28" t="s">
        <v>22</v>
      </c>
      <c r="N415" s="29" t="s">
        <v>216</v>
      </c>
      <c r="O415" s="28" t="s">
        <v>217</v>
      </c>
      <c r="P415" s="28" t="s">
        <v>55</v>
      </c>
      <c r="Q415" s="32"/>
      <c r="R415" s="30"/>
    </row>
    <row r="416" spans="1:18" ht="30" customHeight="1" x14ac:dyDescent="0.3">
      <c r="A416" s="26" t="str">
        <f t="shared" si="12"/>
        <v>2025홍익대</v>
      </c>
      <c r="B416" s="26">
        <f>COUNTIFS($A$4:A416,A416)</f>
        <v>5</v>
      </c>
      <c r="C416" s="26" t="str">
        <f t="shared" si="13"/>
        <v>2025홍익대5</v>
      </c>
      <c r="E416" s="26" t="s">
        <v>129</v>
      </c>
      <c r="F416" s="26" t="s">
        <v>17</v>
      </c>
      <c r="H416" s="28" t="s">
        <v>214</v>
      </c>
      <c r="I416" s="28">
        <v>2025</v>
      </c>
      <c r="J416" s="28" t="s">
        <v>50</v>
      </c>
      <c r="K416" s="28" t="s">
        <v>50</v>
      </c>
      <c r="L416" s="28" t="s">
        <v>21</v>
      </c>
      <c r="M416" s="28" t="s">
        <v>22</v>
      </c>
      <c r="N416" s="29" t="s">
        <v>179</v>
      </c>
      <c r="O416" s="28" t="s">
        <v>33</v>
      </c>
      <c r="P416" s="28" t="s">
        <v>33</v>
      </c>
      <c r="Q416" s="32"/>
      <c r="R416" s="30"/>
    </row>
    <row r="417" spans="1:18" ht="30" customHeight="1" x14ac:dyDescent="0.3">
      <c r="A417" s="26" t="str">
        <f t="shared" si="12"/>
        <v>2025홍익대</v>
      </c>
      <c r="B417" s="26">
        <f>COUNTIFS($A$4:A417,A417)</f>
        <v>6</v>
      </c>
      <c r="C417" s="26" t="str">
        <f t="shared" si="13"/>
        <v>2025홍익대6</v>
      </c>
      <c r="E417" s="26" t="s">
        <v>129</v>
      </c>
      <c r="F417" s="26" t="s">
        <v>17</v>
      </c>
      <c r="H417" s="28" t="s">
        <v>214</v>
      </c>
      <c r="I417" s="28">
        <v>2025</v>
      </c>
      <c r="J417" s="28" t="s">
        <v>50</v>
      </c>
      <c r="K417" s="28" t="s">
        <v>50</v>
      </c>
      <c r="L417" s="28" t="s">
        <v>24</v>
      </c>
      <c r="M417" s="28" t="s">
        <v>22</v>
      </c>
      <c r="N417" s="29" t="s">
        <v>216</v>
      </c>
      <c r="O417" s="28" t="s">
        <v>217</v>
      </c>
      <c r="P417" s="28" t="s">
        <v>55</v>
      </c>
      <c r="Q417" s="32"/>
      <c r="R417" s="30"/>
    </row>
    <row r="418" spans="1:18" ht="30" customHeight="1" x14ac:dyDescent="0.3">
      <c r="A418" s="26" t="str">
        <f t="shared" si="12"/>
        <v>2026홍익대</v>
      </c>
      <c r="B418" s="26">
        <f>COUNTIFS($A$4:A418,A418)</f>
        <v>1</v>
      </c>
      <c r="C418" s="26" t="str">
        <f t="shared" si="13"/>
        <v>2026홍익대1</v>
      </c>
      <c r="E418" s="26" t="s">
        <v>129</v>
      </c>
      <c r="F418" s="26" t="s">
        <v>17</v>
      </c>
      <c r="H418" s="28" t="s">
        <v>214</v>
      </c>
      <c r="I418" s="28">
        <v>2026</v>
      </c>
      <c r="J418" s="28" t="s">
        <v>38</v>
      </c>
      <c r="K418" s="28" t="s">
        <v>215</v>
      </c>
      <c r="L418" s="28" t="s">
        <v>21</v>
      </c>
      <c r="M418" s="28" t="s">
        <v>22</v>
      </c>
      <c r="N418" s="29" t="s">
        <v>179</v>
      </c>
      <c r="O418" s="28" t="s">
        <v>33</v>
      </c>
      <c r="P418" s="28" t="s">
        <v>33</v>
      </c>
      <c r="Q418" s="32"/>
      <c r="R418" s="30"/>
    </row>
    <row r="419" spans="1:18" ht="30" customHeight="1" x14ac:dyDescent="0.3">
      <c r="A419" s="26" t="str">
        <f t="shared" si="12"/>
        <v>2026홍익대</v>
      </c>
      <c r="B419" s="26">
        <f>COUNTIFS($A$4:A419,A419)</f>
        <v>2</v>
      </c>
      <c r="C419" s="26" t="str">
        <f t="shared" si="13"/>
        <v>2026홍익대2</v>
      </c>
      <c r="E419" s="26" t="s">
        <v>129</v>
      </c>
      <c r="F419" s="26" t="s">
        <v>17</v>
      </c>
      <c r="H419" s="28" t="s">
        <v>214</v>
      </c>
      <c r="I419" s="28">
        <v>2026</v>
      </c>
      <c r="J419" s="28" t="s">
        <v>38</v>
      </c>
      <c r="K419" s="28" t="s">
        <v>215</v>
      </c>
      <c r="L419" s="28" t="s">
        <v>24</v>
      </c>
      <c r="M419" s="28" t="s">
        <v>22</v>
      </c>
      <c r="N419" s="29" t="s">
        <v>179</v>
      </c>
      <c r="O419" s="28" t="s">
        <v>33</v>
      </c>
      <c r="P419" s="28" t="s">
        <v>33</v>
      </c>
      <c r="Q419" s="32" t="s">
        <v>219</v>
      </c>
      <c r="R419" s="30"/>
    </row>
    <row r="420" spans="1:18" ht="30" customHeight="1" x14ac:dyDescent="0.3">
      <c r="A420" s="26" t="str">
        <f t="shared" si="12"/>
        <v>2026홍익대</v>
      </c>
      <c r="B420" s="26">
        <f>COUNTIFS($A$4:A420,A420)</f>
        <v>3</v>
      </c>
      <c r="C420" s="26" t="str">
        <f t="shared" si="13"/>
        <v>2026홍익대3</v>
      </c>
      <c r="E420" s="26" t="s">
        <v>129</v>
      </c>
      <c r="F420" s="26" t="s">
        <v>17</v>
      </c>
      <c r="H420" s="28" t="s">
        <v>214</v>
      </c>
      <c r="I420" s="28">
        <v>2026</v>
      </c>
      <c r="J420" s="28" t="s">
        <v>19</v>
      </c>
      <c r="K420" s="28" t="s">
        <v>218</v>
      </c>
      <c r="L420" s="28" t="s">
        <v>21</v>
      </c>
      <c r="M420" s="28" t="s">
        <v>22</v>
      </c>
      <c r="N420" s="29" t="s">
        <v>179</v>
      </c>
      <c r="O420" s="28" t="s">
        <v>33</v>
      </c>
      <c r="P420" s="28" t="s">
        <v>33</v>
      </c>
      <c r="Q420" s="32"/>
      <c r="R420" s="30"/>
    </row>
    <row r="421" spans="1:18" ht="30" customHeight="1" x14ac:dyDescent="0.3">
      <c r="A421" s="26" t="str">
        <f t="shared" si="12"/>
        <v>2026홍익대</v>
      </c>
      <c r="B421" s="26">
        <f>COUNTIFS($A$4:A421,A421)</f>
        <v>4</v>
      </c>
      <c r="C421" s="26" t="str">
        <f t="shared" si="13"/>
        <v>2026홍익대4</v>
      </c>
      <c r="E421" s="26" t="s">
        <v>129</v>
      </c>
      <c r="F421" s="26" t="s">
        <v>17</v>
      </c>
      <c r="H421" s="28" t="s">
        <v>214</v>
      </c>
      <c r="I421" s="28">
        <v>2026</v>
      </c>
      <c r="J421" s="28" t="s">
        <v>19</v>
      </c>
      <c r="K421" s="28" t="s">
        <v>218</v>
      </c>
      <c r="L421" s="28" t="s">
        <v>24</v>
      </c>
      <c r="M421" s="28" t="s">
        <v>22</v>
      </c>
      <c r="N421" s="29" t="s">
        <v>179</v>
      </c>
      <c r="O421" s="28" t="s">
        <v>33</v>
      </c>
      <c r="P421" s="28" t="s">
        <v>33</v>
      </c>
      <c r="Q421" s="32" t="s">
        <v>219</v>
      </c>
      <c r="R421" s="30"/>
    </row>
    <row r="422" spans="1:18" ht="30" customHeight="1" x14ac:dyDescent="0.3">
      <c r="A422" s="26" t="str">
        <f t="shared" si="12"/>
        <v>2026홍익대</v>
      </c>
      <c r="B422" s="26">
        <f>COUNTIFS($A$4:A422,A422)</f>
        <v>5</v>
      </c>
      <c r="C422" s="26" t="str">
        <f t="shared" si="13"/>
        <v>2026홍익대5</v>
      </c>
      <c r="E422" s="26" t="s">
        <v>129</v>
      </c>
      <c r="F422" s="26" t="s">
        <v>17</v>
      </c>
      <c r="H422" s="28" t="s">
        <v>214</v>
      </c>
      <c r="I422" s="28">
        <v>2026</v>
      </c>
      <c r="J422" s="28" t="s">
        <v>50</v>
      </c>
      <c r="K422" s="28" t="s">
        <v>50</v>
      </c>
      <c r="L422" s="28" t="s">
        <v>21</v>
      </c>
      <c r="M422" s="28" t="s">
        <v>22</v>
      </c>
      <c r="N422" s="29" t="s">
        <v>179</v>
      </c>
      <c r="O422" s="28" t="s">
        <v>33</v>
      </c>
      <c r="P422" s="28" t="s">
        <v>33</v>
      </c>
      <c r="Q422" s="32"/>
      <c r="R422" s="30"/>
    </row>
    <row r="423" spans="1:18" ht="30" customHeight="1" x14ac:dyDescent="0.3">
      <c r="A423" s="26" t="str">
        <f t="shared" si="12"/>
        <v>2026홍익대</v>
      </c>
      <c r="B423" s="26">
        <f>COUNTIFS($A$4:A423,A423)</f>
        <v>6</v>
      </c>
      <c r="C423" s="26" t="str">
        <f t="shared" si="13"/>
        <v>2026홍익대6</v>
      </c>
      <c r="E423" s="26" t="s">
        <v>129</v>
      </c>
      <c r="F423" s="26" t="s">
        <v>17</v>
      </c>
      <c r="H423" s="28" t="s">
        <v>214</v>
      </c>
      <c r="I423" s="28">
        <v>2026</v>
      </c>
      <c r="J423" s="28" t="s">
        <v>50</v>
      </c>
      <c r="K423" s="28" t="s">
        <v>50</v>
      </c>
      <c r="L423" s="28" t="s">
        <v>24</v>
      </c>
      <c r="M423" s="28" t="s">
        <v>22</v>
      </c>
      <c r="N423" s="29" t="s">
        <v>179</v>
      </c>
      <c r="O423" s="28" t="s">
        <v>33</v>
      </c>
      <c r="P423" s="28" t="s">
        <v>33</v>
      </c>
      <c r="Q423" s="32" t="s">
        <v>219</v>
      </c>
      <c r="R423" s="30"/>
    </row>
    <row r="424" spans="1:18" ht="30" customHeight="1" x14ac:dyDescent="0.3">
      <c r="A424" s="26" t="str">
        <f t="shared" si="12"/>
        <v>2027홍익대</v>
      </c>
      <c r="B424" s="26">
        <f>COUNTIFS($A$4:A424,A424)</f>
        <v>1</v>
      </c>
      <c r="C424" s="26" t="str">
        <f t="shared" si="13"/>
        <v>2027홍익대1</v>
      </c>
      <c r="E424" s="26" t="s">
        <v>129</v>
      </c>
      <c r="F424" s="26" t="s">
        <v>17</v>
      </c>
      <c r="H424" s="28" t="s">
        <v>214</v>
      </c>
      <c r="I424" s="28">
        <v>2027</v>
      </c>
      <c r="J424" s="28" t="s">
        <v>38</v>
      </c>
      <c r="K424" s="28" t="s">
        <v>215</v>
      </c>
      <c r="L424" s="28" t="s">
        <v>21</v>
      </c>
      <c r="M424" s="28" t="s">
        <v>22</v>
      </c>
      <c r="N424" s="29" t="s">
        <v>178</v>
      </c>
      <c r="O424" s="28" t="s">
        <v>33</v>
      </c>
      <c r="P424" s="28" t="s">
        <v>33</v>
      </c>
      <c r="Q424" s="32" t="s">
        <v>180</v>
      </c>
      <c r="R424" s="30"/>
    </row>
    <row r="425" spans="1:18" ht="30" customHeight="1" x14ac:dyDescent="0.3">
      <c r="A425" s="26" t="str">
        <f t="shared" si="12"/>
        <v>2027홍익대</v>
      </c>
      <c r="B425" s="26">
        <f>COUNTIFS($A$4:A425,A425)</f>
        <v>2</v>
      </c>
      <c r="C425" s="26" t="str">
        <f t="shared" si="13"/>
        <v>2027홍익대2</v>
      </c>
      <c r="E425" s="26" t="s">
        <v>129</v>
      </c>
      <c r="F425" s="26" t="s">
        <v>17</v>
      </c>
      <c r="H425" s="28" t="s">
        <v>214</v>
      </c>
      <c r="I425" s="28">
        <v>2027</v>
      </c>
      <c r="J425" s="28" t="s">
        <v>38</v>
      </c>
      <c r="K425" s="28" t="s">
        <v>215</v>
      </c>
      <c r="L425" s="28" t="s">
        <v>24</v>
      </c>
      <c r="M425" s="28" t="s">
        <v>22</v>
      </c>
      <c r="N425" s="29" t="s">
        <v>178</v>
      </c>
      <c r="O425" s="28" t="s">
        <v>33</v>
      </c>
      <c r="P425" s="28" t="s">
        <v>33</v>
      </c>
      <c r="Q425" s="32" t="s">
        <v>180</v>
      </c>
      <c r="R425" s="30"/>
    </row>
    <row r="426" spans="1:18" ht="30" customHeight="1" x14ac:dyDescent="0.3">
      <c r="A426" s="26" t="str">
        <f t="shared" si="12"/>
        <v>2027홍익대</v>
      </c>
      <c r="B426" s="26">
        <f>COUNTIFS($A$4:A426,A426)</f>
        <v>3</v>
      </c>
      <c r="C426" s="26" t="str">
        <f t="shared" si="13"/>
        <v>2027홍익대3</v>
      </c>
      <c r="E426" s="26" t="s">
        <v>129</v>
      </c>
      <c r="F426" s="26" t="s">
        <v>17</v>
      </c>
      <c r="H426" s="28" t="s">
        <v>214</v>
      </c>
      <c r="I426" s="28">
        <v>2027</v>
      </c>
      <c r="J426" s="28" t="s">
        <v>19</v>
      </c>
      <c r="K426" s="28" t="s">
        <v>218</v>
      </c>
      <c r="L426" s="28" t="s">
        <v>21</v>
      </c>
      <c r="M426" s="28" t="s">
        <v>22</v>
      </c>
      <c r="N426" s="29" t="s">
        <v>178</v>
      </c>
      <c r="O426" s="28" t="s">
        <v>33</v>
      </c>
      <c r="P426" s="28" t="s">
        <v>33</v>
      </c>
      <c r="Q426" s="32" t="s">
        <v>180</v>
      </c>
      <c r="R426" s="30"/>
    </row>
    <row r="427" spans="1:18" ht="30" customHeight="1" x14ac:dyDescent="0.3">
      <c r="A427" s="26" t="str">
        <f t="shared" si="12"/>
        <v>2027홍익대</v>
      </c>
      <c r="B427" s="26">
        <f>COUNTIFS($A$4:A427,A427)</f>
        <v>4</v>
      </c>
      <c r="C427" s="26" t="str">
        <f t="shared" si="13"/>
        <v>2027홍익대4</v>
      </c>
      <c r="E427" s="26" t="s">
        <v>129</v>
      </c>
      <c r="F427" s="26" t="s">
        <v>17</v>
      </c>
      <c r="H427" s="27" t="s">
        <v>214</v>
      </c>
      <c r="I427" s="27">
        <v>2027</v>
      </c>
      <c r="J427" s="27" t="s">
        <v>19</v>
      </c>
      <c r="K427" s="27" t="s">
        <v>218</v>
      </c>
      <c r="L427" s="27" t="s">
        <v>24</v>
      </c>
      <c r="M427" s="28" t="s">
        <v>22</v>
      </c>
      <c r="N427" s="29" t="s">
        <v>178</v>
      </c>
      <c r="O427" s="28" t="s">
        <v>33</v>
      </c>
      <c r="P427" s="28" t="s">
        <v>33</v>
      </c>
      <c r="Q427" s="32" t="s">
        <v>180</v>
      </c>
      <c r="R427" s="40"/>
    </row>
    <row r="428" spans="1:18" ht="30" customHeight="1" x14ac:dyDescent="0.3">
      <c r="A428" s="26" t="str">
        <f t="shared" si="12"/>
        <v>2027홍익대</v>
      </c>
      <c r="B428" s="26">
        <f>COUNTIFS($A$4:A428,A428)</f>
        <v>5</v>
      </c>
      <c r="C428" s="26" t="str">
        <f t="shared" si="13"/>
        <v>2027홍익대5</v>
      </c>
      <c r="E428" s="26" t="s">
        <v>129</v>
      </c>
      <c r="F428" s="26" t="s">
        <v>17</v>
      </c>
      <c r="H428" s="27" t="s">
        <v>214</v>
      </c>
      <c r="I428" s="27">
        <v>2027</v>
      </c>
      <c r="J428" s="27" t="s">
        <v>50</v>
      </c>
      <c r="K428" s="27" t="s">
        <v>50</v>
      </c>
      <c r="L428" s="27" t="s">
        <v>21</v>
      </c>
      <c r="M428" s="28" t="s">
        <v>22</v>
      </c>
      <c r="N428" s="29" t="s">
        <v>178</v>
      </c>
      <c r="O428" s="28" t="s">
        <v>33</v>
      </c>
      <c r="P428" s="28" t="s">
        <v>33</v>
      </c>
      <c r="Q428" s="32" t="s">
        <v>180</v>
      </c>
      <c r="R428" s="40"/>
    </row>
    <row r="429" spans="1:18" ht="30" customHeight="1" x14ac:dyDescent="0.3">
      <c r="A429" s="26" t="str">
        <f t="shared" si="12"/>
        <v>2027홍익대</v>
      </c>
      <c r="B429" s="26">
        <f>COUNTIFS($A$4:A429,A429)</f>
        <v>6</v>
      </c>
      <c r="C429" s="26" t="str">
        <f t="shared" si="13"/>
        <v>2027홍익대6</v>
      </c>
      <c r="E429" s="26" t="s">
        <v>129</v>
      </c>
      <c r="F429" s="26" t="s">
        <v>17</v>
      </c>
      <c r="H429" s="27" t="s">
        <v>214</v>
      </c>
      <c r="I429" s="27">
        <v>2027</v>
      </c>
      <c r="J429" s="27" t="s">
        <v>50</v>
      </c>
      <c r="K429" s="27" t="s">
        <v>50</v>
      </c>
      <c r="L429" s="27" t="s">
        <v>24</v>
      </c>
      <c r="M429" s="28" t="s">
        <v>22</v>
      </c>
      <c r="N429" s="29" t="s">
        <v>178</v>
      </c>
      <c r="O429" s="28" t="s">
        <v>33</v>
      </c>
      <c r="P429" s="28" t="s">
        <v>33</v>
      </c>
      <c r="Q429" s="32" t="s">
        <v>180</v>
      </c>
      <c r="R429" s="40"/>
    </row>
    <row r="430" spans="1:18" ht="30" customHeight="1" x14ac:dyDescent="0.3">
      <c r="A430" s="26" t="str">
        <f t="shared" si="12"/>
        <v>2025홍익대(세종)</v>
      </c>
      <c r="B430" s="26">
        <f>COUNTIFS($A$4:A430,A430)</f>
        <v>1</v>
      </c>
      <c r="C430" s="26" t="str">
        <f t="shared" si="13"/>
        <v>2025홍익대(세종)1</v>
      </c>
      <c r="E430" s="39" t="s">
        <v>148</v>
      </c>
      <c r="F430" s="26" t="s">
        <v>17</v>
      </c>
      <c r="H430" s="27" t="s">
        <v>220</v>
      </c>
      <c r="I430" s="27">
        <v>2025</v>
      </c>
      <c r="J430" s="27" t="s">
        <v>38</v>
      </c>
      <c r="K430" s="27" t="s">
        <v>221</v>
      </c>
      <c r="L430" s="27" t="s">
        <v>21</v>
      </c>
      <c r="M430" s="28" t="s">
        <v>22</v>
      </c>
      <c r="N430" s="40" t="s">
        <v>222</v>
      </c>
      <c r="O430" s="27" t="s">
        <v>33</v>
      </c>
      <c r="P430" s="27" t="s">
        <v>33</v>
      </c>
      <c r="Q430" s="41"/>
      <c r="R430" s="40"/>
    </row>
    <row r="431" spans="1:18" ht="30" customHeight="1" x14ac:dyDescent="0.3">
      <c r="A431" s="26" t="str">
        <f t="shared" si="12"/>
        <v>2025홍익대(세종)</v>
      </c>
      <c r="B431" s="26">
        <f>COUNTIFS($A$4:A431,A431)</f>
        <v>2</v>
      </c>
      <c r="C431" s="26" t="str">
        <f t="shared" si="13"/>
        <v>2025홍익대(세종)2</v>
      </c>
      <c r="E431" s="39" t="s">
        <v>148</v>
      </c>
      <c r="F431" s="26" t="s">
        <v>17</v>
      </c>
      <c r="H431" s="27" t="s">
        <v>220</v>
      </c>
      <c r="I431" s="27">
        <v>2025</v>
      </c>
      <c r="J431" s="27" t="s">
        <v>38</v>
      </c>
      <c r="K431" s="27" t="s">
        <v>221</v>
      </c>
      <c r="L431" s="27" t="s">
        <v>24</v>
      </c>
      <c r="M431" s="28" t="s">
        <v>22</v>
      </c>
      <c r="N431" s="40" t="s">
        <v>223</v>
      </c>
      <c r="O431" s="27" t="s">
        <v>217</v>
      </c>
      <c r="P431" s="27" t="s">
        <v>55</v>
      </c>
      <c r="Q431" s="41"/>
      <c r="R431" s="40"/>
    </row>
    <row r="432" spans="1:18" ht="30" customHeight="1" x14ac:dyDescent="0.3">
      <c r="A432" s="26" t="str">
        <f t="shared" si="12"/>
        <v>2025홍익대(세종)</v>
      </c>
      <c r="B432" s="26">
        <f>COUNTIFS($A$4:A432,A432)</f>
        <v>3</v>
      </c>
      <c r="C432" s="26" t="str">
        <f t="shared" si="13"/>
        <v>2025홍익대(세종)3</v>
      </c>
      <c r="E432" s="39" t="s">
        <v>148</v>
      </c>
      <c r="F432" s="26" t="s">
        <v>17</v>
      </c>
      <c r="H432" s="27" t="s">
        <v>220</v>
      </c>
      <c r="I432" s="27">
        <v>2025</v>
      </c>
      <c r="J432" s="27" t="s">
        <v>19</v>
      </c>
      <c r="K432" s="27" t="s">
        <v>218</v>
      </c>
      <c r="L432" s="27" t="s">
        <v>21</v>
      </c>
      <c r="M432" s="27" t="s">
        <v>22</v>
      </c>
      <c r="N432" s="40" t="s">
        <v>33</v>
      </c>
      <c r="O432" s="27" t="s">
        <v>33</v>
      </c>
      <c r="P432" s="27" t="s">
        <v>33</v>
      </c>
      <c r="Q432" s="41"/>
      <c r="R432" s="40"/>
    </row>
    <row r="433" spans="1:18" ht="30" customHeight="1" x14ac:dyDescent="0.3">
      <c r="A433" s="26" t="str">
        <f t="shared" si="12"/>
        <v>2025홍익대(세종)</v>
      </c>
      <c r="B433" s="26">
        <f>COUNTIFS($A$4:A433,A433)</f>
        <v>4</v>
      </c>
      <c r="C433" s="26" t="str">
        <f t="shared" si="13"/>
        <v>2025홍익대(세종)4</v>
      </c>
      <c r="E433" s="39" t="s">
        <v>148</v>
      </c>
      <c r="F433" s="26" t="s">
        <v>17</v>
      </c>
      <c r="H433" s="27" t="s">
        <v>220</v>
      </c>
      <c r="I433" s="27">
        <v>2025</v>
      </c>
      <c r="J433" s="27" t="s">
        <v>19</v>
      </c>
      <c r="K433" s="27" t="s">
        <v>218</v>
      </c>
      <c r="L433" s="27" t="s">
        <v>24</v>
      </c>
      <c r="M433" s="27" t="s">
        <v>22</v>
      </c>
      <c r="N433" s="40" t="s">
        <v>33</v>
      </c>
      <c r="O433" s="27" t="s">
        <v>33</v>
      </c>
      <c r="P433" s="27" t="s">
        <v>33</v>
      </c>
      <c r="Q433" s="41"/>
      <c r="R433" s="40"/>
    </row>
    <row r="434" spans="1:18" ht="30" customHeight="1" x14ac:dyDescent="0.3">
      <c r="A434" s="26" t="str">
        <f t="shared" si="12"/>
        <v>2025홍익대(세종)</v>
      </c>
      <c r="B434" s="26">
        <f>COUNTIFS($A$4:A434,A434)</f>
        <v>5</v>
      </c>
      <c r="C434" s="26" t="str">
        <f t="shared" si="13"/>
        <v>2025홍익대(세종)5</v>
      </c>
      <c r="E434" s="39" t="s">
        <v>148</v>
      </c>
      <c r="F434" s="26" t="s">
        <v>17</v>
      </c>
      <c r="H434" s="27" t="s">
        <v>220</v>
      </c>
      <c r="I434" s="27">
        <v>2025</v>
      </c>
      <c r="J434" s="27" t="s">
        <v>50</v>
      </c>
      <c r="K434" s="27" t="s">
        <v>50</v>
      </c>
      <c r="L434" s="27" t="s">
        <v>24</v>
      </c>
      <c r="M434" s="27" t="s">
        <v>22</v>
      </c>
      <c r="N434" s="40" t="s">
        <v>223</v>
      </c>
      <c r="O434" s="27" t="s">
        <v>217</v>
      </c>
      <c r="P434" s="27" t="s">
        <v>55</v>
      </c>
      <c r="Q434" s="41"/>
      <c r="R434" s="40"/>
    </row>
    <row r="435" spans="1:18" ht="30" customHeight="1" x14ac:dyDescent="0.3">
      <c r="A435" s="26" t="str">
        <f t="shared" si="12"/>
        <v>2026홍익대(세종)</v>
      </c>
      <c r="B435" s="26">
        <f>COUNTIFS($A$4:A435,A435)</f>
        <v>1</v>
      </c>
      <c r="C435" s="26" t="str">
        <f t="shared" si="13"/>
        <v>2026홍익대(세종)1</v>
      </c>
      <c r="E435" s="39" t="s">
        <v>148</v>
      </c>
      <c r="F435" s="26" t="s">
        <v>17</v>
      </c>
      <c r="H435" s="27" t="s">
        <v>220</v>
      </c>
      <c r="I435" s="27">
        <v>2026</v>
      </c>
      <c r="J435" s="27" t="s">
        <v>38</v>
      </c>
      <c r="K435" s="27" t="s">
        <v>221</v>
      </c>
      <c r="L435" s="27" t="s">
        <v>21</v>
      </c>
      <c r="M435" s="28" t="s">
        <v>22</v>
      </c>
      <c r="N435" s="40" t="s">
        <v>224</v>
      </c>
      <c r="O435" s="27" t="s">
        <v>33</v>
      </c>
      <c r="P435" s="27" t="s">
        <v>33</v>
      </c>
      <c r="Q435" s="32" t="s">
        <v>180</v>
      </c>
      <c r="R435" s="40"/>
    </row>
    <row r="436" spans="1:18" ht="30" customHeight="1" x14ac:dyDescent="0.3">
      <c r="A436" s="26" t="str">
        <f t="shared" si="12"/>
        <v>2026홍익대(세종)</v>
      </c>
      <c r="B436" s="26">
        <f>COUNTIFS($A$4:A436,A436)</f>
        <v>2</v>
      </c>
      <c r="C436" s="26" t="str">
        <f t="shared" si="13"/>
        <v>2026홍익대(세종)2</v>
      </c>
      <c r="E436" s="39" t="s">
        <v>148</v>
      </c>
      <c r="F436" s="26" t="s">
        <v>17</v>
      </c>
      <c r="H436" s="27" t="s">
        <v>220</v>
      </c>
      <c r="I436" s="27">
        <v>2026</v>
      </c>
      <c r="J436" s="27" t="s">
        <v>38</v>
      </c>
      <c r="K436" s="27" t="s">
        <v>221</v>
      </c>
      <c r="L436" s="27" t="s">
        <v>24</v>
      </c>
      <c r="M436" s="28" t="s">
        <v>22</v>
      </c>
      <c r="N436" s="40" t="s">
        <v>224</v>
      </c>
      <c r="O436" s="27" t="s">
        <v>33</v>
      </c>
      <c r="P436" s="27" t="s">
        <v>33</v>
      </c>
      <c r="Q436" s="32" t="s">
        <v>219</v>
      </c>
      <c r="R436" s="40"/>
    </row>
    <row r="437" spans="1:18" ht="30" customHeight="1" x14ac:dyDescent="0.3">
      <c r="A437" s="26" t="str">
        <f t="shared" si="12"/>
        <v>2026홍익대(세종)</v>
      </c>
      <c r="B437" s="26">
        <f>COUNTIFS($A$4:A437,A437)</f>
        <v>3</v>
      </c>
      <c r="C437" s="26" t="str">
        <f t="shared" si="13"/>
        <v>2026홍익대(세종)3</v>
      </c>
      <c r="E437" s="39" t="s">
        <v>148</v>
      </c>
      <c r="F437" s="26" t="s">
        <v>17</v>
      </c>
      <c r="H437" s="27" t="s">
        <v>220</v>
      </c>
      <c r="I437" s="27">
        <v>2026</v>
      </c>
      <c r="J437" s="27" t="s">
        <v>19</v>
      </c>
      <c r="K437" s="27" t="s">
        <v>218</v>
      </c>
      <c r="L437" s="27" t="s">
        <v>21</v>
      </c>
      <c r="M437" s="27" t="s">
        <v>22</v>
      </c>
      <c r="N437" s="40" t="s">
        <v>33</v>
      </c>
      <c r="O437" s="27" t="s">
        <v>22</v>
      </c>
      <c r="P437" s="27" t="s">
        <v>22</v>
      </c>
      <c r="Q437" s="41"/>
      <c r="R437" s="40"/>
    </row>
    <row r="438" spans="1:18" ht="30" customHeight="1" x14ac:dyDescent="0.3">
      <c r="A438" s="26" t="str">
        <f t="shared" si="12"/>
        <v>2026홍익대(세종)</v>
      </c>
      <c r="B438" s="26">
        <f>COUNTIFS($A$4:A438,A438)</f>
        <v>4</v>
      </c>
      <c r="C438" s="26" t="str">
        <f t="shared" si="13"/>
        <v>2026홍익대(세종)4</v>
      </c>
      <c r="E438" s="39" t="s">
        <v>148</v>
      </c>
      <c r="F438" s="26" t="s">
        <v>17</v>
      </c>
      <c r="H438" s="27" t="s">
        <v>220</v>
      </c>
      <c r="I438" s="27">
        <v>2026</v>
      </c>
      <c r="J438" s="27" t="s">
        <v>19</v>
      </c>
      <c r="K438" s="27" t="s">
        <v>218</v>
      </c>
      <c r="L438" s="27" t="s">
        <v>24</v>
      </c>
      <c r="M438" s="27" t="s">
        <v>22</v>
      </c>
      <c r="N438" s="40" t="s">
        <v>33</v>
      </c>
      <c r="O438" s="27" t="s">
        <v>22</v>
      </c>
      <c r="P438" s="27" t="s">
        <v>22</v>
      </c>
      <c r="Q438" s="41"/>
      <c r="R438" s="40"/>
    </row>
    <row r="439" spans="1:18" ht="30" customHeight="1" x14ac:dyDescent="0.3">
      <c r="A439" s="26" t="str">
        <f t="shared" si="12"/>
        <v>2026홍익대(세종)</v>
      </c>
      <c r="B439" s="26">
        <f>COUNTIFS($A$4:A439,A439)</f>
        <v>5</v>
      </c>
      <c r="C439" s="26" t="str">
        <f t="shared" si="13"/>
        <v>2026홍익대(세종)5</v>
      </c>
      <c r="E439" s="39" t="s">
        <v>148</v>
      </c>
      <c r="F439" s="26" t="s">
        <v>17</v>
      </c>
      <c r="H439" s="27" t="s">
        <v>220</v>
      </c>
      <c r="I439" s="27">
        <v>2026</v>
      </c>
      <c r="J439" s="27" t="s">
        <v>50</v>
      </c>
      <c r="K439" s="27" t="s">
        <v>50</v>
      </c>
      <c r="L439" s="27" t="s">
        <v>24</v>
      </c>
      <c r="M439" s="27" t="s">
        <v>22</v>
      </c>
      <c r="N439" s="40" t="s">
        <v>224</v>
      </c>
      <c r="O439" s="27" t="s">
        <v>22</v>
      </c>
      <c r="P439" s="27" t="s">
        <v>22</v>
      </c>
      <c r="Q439" s="32" t="s">
        <v>225</v>
      </c>
      <c r="R439" s="40"/>
    </row>
    <row r="440" spans="1:18" ht="30" customHeight="1" x14ac:dyDescent="0.3">
      <c r="A440" s="26" t="str">
        <f t="shared" si="12"/>
        <v>2027홍익대(세종)</v>
      </c>
      <c r="B440" s="26">
        <f>COUNTIFS($A$4:A440,A440)</f>
        <v>1</v>
      </c>
      <c r="C440" s="26" t="str">
        <f t="shared" si="13"/>
        <v>2027홍익대(세종)1</v>
      </c>
      <c r="E440" s="39" t="s">
        <v>148</v>
      </c>
      <c r="F440" s="26" t="s">
        <v>17</v>
      </c>
      <c r="H440" s="27" t="s">
        <v>220</v>
      </c>
      <c r="I440" s="27">
        <v>2027</v>
      </c>
      <c r="J440" s="27" t="s">
        <v>38</v>
      </c>
      <c r="K440" s="27" t="s">
        <v>221</v>
      </c>
      <c r="L440" s="27" t="s">
        <v>21</v>
      </c>
      <c r="M440" s="28" t="s">
        <v>22</v>
      </c>
      <c r="N440" s="40" t="s">
        <v>224</v>
      </c>
      <c r="O440" s="27"/>
      <c r="P440" s="27"/>
      <c r="Q440" s="41"/>
      <c r="R440" s="40"/>
    </row>
    <row r="441" spans="1:18" ht="30" customHeight="1" x14ac:dyDescent="0.3">
      <c r="A441" s="26" t="str">
        <f t="shared" si="12"/>
        <v>2027홍익대(세종)</v>
      </c>
      <c r="B441" s="26">
        <f>COUNTIFS($A$4:A441,A441)</f>
        <v>2</v>
      </c>
      <c r="C441" s="26" t="str">
        <f t="shared" si="13"/>
        <v>2027홍익대(세종)2</v>
      </c>
      <c r="E441" s="39" t="s">
        <v>148</v>
      </c>
      <c r="F441" s="26" t="s">
        <v>17</v>
      </c>
      <c r="H441" s="27" t="s">
        <v>220</v>
      </c>
      <c r="I441" s="27">
        <v>2027</v>
      </c>
      <c r="J441" s="27" t="s">
        <v>38</v>
      </c>
      <c r="K441" s="27" t="s">
        <v>221</v>
      </c>
      <c r="L441" s="27" t="s">
        <v>24</v>
      </c>
      <c r="M441" s="28" t="s">
        <v>22</v>
      </c>
      <c r="N441" s="40" t="s">
        <v>224</v>
      </c>
      <c r="O441" s="27"/>
      <c r="P441" s="27"/>
      <c r="Q441" s="41"/>
      <c r="R441" s="40"/>
    </row>
    <row r="442" spans="1:18" ht="30" customHeight="1" x14ac:dyDescent="0.3">
      <c r="A442" s="26" t="str">
        <f t="shared" si="12"/>
        <v>2027홍익대(세종)</v>
      </c>
      <c r="B442" s="26">
        <f>COUNTIFS($A$4:A442,A442)</f>
        <v>3</v>
      </c>
      <c r="C442" s="26" t="str">
        <f t="shared" si="13"/>
        <v>2027홍익대(세종)3</v>
      </c>
      <c r="E442" s="39" t="s">
        <v>148</v>
      </c>
      <c r="F442" s="26" t="s">
        <v>17</v>
      </c>
      <c r="H442" s="27" t="s">
        <v>220</v>
      </c>
      <c r="I442" s="27">
        <v>2027</v>
      </c>
      <c r="J442" s="27" t="s">
        <v>19</v>
      </c>
      <c r="K442" s="27" t="s">
        <v>218</v>
      </c>
      <c r="L442" s="27" t="s">
        <v>21</v>
      </c>
      <c r="M442" s="27" t="s">
        <v>22</v>
      </c>
      <c r="N442" s="40" t="s">
        <v>33</v>
      </c>
      <c r="O442" s="27" t="s">
        <v>22</v>
      </c>
      <c r="P442" s="27" t="s">
        <v>22</v>
      </c>
      <c r="Q442" s="41"/>
      <c r="R442" s="40"/>
    </row>
    <row r="443" spans="1:18" ht="30" customHeight="1" x14ac:dyDescent="0.3">
      <c r="A443" s="26" t="str">
        <f t="shared" si="12"/>
        <v>2027홍익대(세종)</v>
      </c>
      <c r="B443" s="26">
        <f>COUNTIFS($A$4:A443,A443)</f>
        <v>4</v>
      </c>
      <c r="C443" s="26" t="str">
        <f t="shared" si="13"/>
        <v>2027홍익대(세종)4</v>
      </c>
      <c r="E443" s="39" t="s">
        <v>148</v>
      </c>
      <c r="F443" s="26" t="s">
        <v>17</v>
      </c>
      <c r="H443" s="27" t="s">
        <v>220</v>
      </c>
      <c r="I443" s="27">
        <v>2027</v>
      </c>
      <c r="J443" s="27" t="s">
        <v>19</v>
      </c>
      <c r="K443" s="27" t="s">
        <v>218</v>
      </c>
      <c r="L443" s="27" t="s">
        <v>24</v>
      </c>
      <c r="M443" s="27" t="s">
        <v>22</v>
      </c>
      <c r="N443" s="40" t="s">
        <v>33</v>
      </c>
      <c r="O443" s="27" t="s">
        <v>22</v>
      </c>
      <c r="P443" s="27" t="s">
        <v>22</v>
      </c>
      <c r="Q443" s="41"/>
      <c r="R443" s="40"/>
    </row>
    <row r="444" spans="1:18" ht="30" customHeight="1" x14ac:dyDescent="0.3">
      <c r="A444" s="26" t="str">
        <f t="shared" si="12"/>
        <v>2027홍익대(세종)</v>
      </c>
      <c r="B444" s="26">
        <f>COUNTIFS($A$4:A444,A444)</f>
        <v>5</v>
      </c>
      <c r="C444" s="26" t="str">
        <f t="shared" si="13"/>
        <v>2027홍익대(세종)5</v>
      </c>
      <c r="E444" s="39" t="s">
        <v>148</v>
      </c>
      <c r="F444" s="26" t="s">
        <v>17</v>
      </c>
      <c r="H444" s="27" t="s">
        <v>220</v>
      </c>
      <c r="I444" s="27">
        <v>2027</v>
      </c>
      <c r="J444" s="27" t="s">
        <v>50</v>
      </c>
      <c r="K444" s="27" t="s">
        <v>50</v>
      </c>
      <c r="L444" s="27" t="s">
        <v>21</v>
      </c>
      <c r="M444" s="27" t="s">
        <v>22</v>
      </c>
      <c r="N444" s="40" t="s">
        <v>224</v>
      </c>
      <c r="O444" s="27" t="s">
        <v>22</v>
      </c>
      <c r="P444" s="27" t="s">
        <v>22</v>
      </c>
      <c r="Q444" s="32" t="s">
        <v>226</v>
      </c>
      <c r="R444" s="40"/>
    </row>
    <row r="445" spans="1:18" ht="30" customHeight="1" x14ac:dyDescent="0.3">
      <c r="A445" s="26" t="str">
        <f t="shared" si="12"/>
        <v>2027홍익대(세종)</v>
      </c>
      <c r="B445" s="26">
        <f>COUNTIFS($A$4:A445,A445)</f>
        <v>6</v>
      </c>
      <c r="C445" s="26" t="str">
        <f t="shared" si="13"/>
        <v>2027홍익대(세종)6</v>
      </c>
      <c r="E445" s="39" t="s">
        <v>148</v>
      </c>
      <c r="F445" s="26" t="s">
        <v>17</v>
      </c>
      <c r="H445" s="27" t="s">
        <v>220</v>
      </c>
      <c r="I445" s="27">
        <v>2027</v>
      </c>
      <c r="J445" s="27" t="s">
        <v>50</v>
      </c>
      <c r="K445" s="27" t="s">
        <v>50</v>
      </c>
      <c r="L445" s="27" t="s">
        <v>24</v>
      </c>
      <c r="M445" s="27" t="s">
        <v>22</v>
      </c>
      <c r="N445" s="40" t="s">
        <v>224</v>
      </c>
      <c r="O445" s="27" t="s">
        <v>22</v>
      </c>
      <c r="P445" s="27" t="s">
        <v>22</v>
      </c>
      <c r="Q445" s="41"/>
      <c r="R445" s="40"/>
    </row>
    <row r="446" spans="1:18" ht="30" customHeight="1" x14ac:dyDescent="0.3">
      <c r="A446" s="26" t="str">
        <f t="shared" si="12"/>
        <v>2025숙명여대</v>
      </c>
      <c r="B446" s="26">
        <f>COUNTIFS($A$4:A446,A446)</f>
        <v>1</v>
      </c>
      <c r="C446" s="26" t="str">
        <f t="shared" si="13"/>
        <v>2025숙명여대1</v>
      </c>
      <c r="E446" s="26" t="s">
        <v>129</v>
      </c>
      <c r="F446" s="26" t="s">
        <v>17</v>
      </c>
      <c r="H446" s="27" t="s">
        <v>227</v>
      </c>
      <c r="I446" s="27">
        <v>2025</v>
      </c>
      <c r="J446" s="27" t="s">
        <v>38</v>
      </c>
      <c r="K446" s="27" t="s">
        <v>172</v>
      </c>
      <c r="L446" s="27" t="s">
        <v>21</v>
      </c>
      <c r="M446" s="27" t="s">
        <v>22</v>
      </c>
      <c r="N446" s="40" t="s">
        <v>193</v>
      </c>
      <c r="O446" s="27" t="s">
        <v>33</v>
      </c>
      <c r="P446" s="27" t="s">
        <v>33</v>
      </c>
      <c r="Q446" s="41"/>
      <c r="R446" s="40"/>
    </row>
    <row r="447" spans="1:18" ht="30" customHeight="1" x14ac:dyDescent="0.3">
      <c r="A447" s="26" t="str">
        <f t="shared" si="12"/>
        <v>2025숙명여대</v>
      </c>
      <c r="B447" s="26">
        <f>COUNTIFS($A$4:A447,A447)</f>
        <v>2</v>
      </c>
      <c r="C447" s="26" t="str">
        <f t="shared" si="13"/>
        <v>2025숙명여대2</v>
      </c>
      <c r="E447" s="26" t="s">
        <v>129</v>
      </c>
      <c r="F447" s="26" t="s">
        <v>17</v>
      </c>
      <c r="H447" s="27" t="s">
        <v>227</v>
      </c>
      <c r="I447" s="27">
        <v>2025</v>
      </c>
      <c r="J447" s="27" t="s">
        <v>38</v>
      </c>
      <c r="K447" s="27" t="s">
        <v>172</v>
      </c>
      <c r="L447" s="27" t="s">
        <v>24</v>
      </c>
      <c r="M447" s="27" t="s">
        <v>22</v>
      </c>
      <c r="N447" s="40" t="s">
        <v>193</v>
      </c>
      <c r="O447" s="27" t="s">
        <v>33</v>
      </c>
      <c r="P447" s="27" t="s">
        <v>33</v>
      </c>
      <c r="Q447" s="41"/>
      <c r="R447" s="40"/>
    </row>
    <row r="448" spans="1:18" ht="30" customHeight="1" x14ac:dyDescent="0.3">
      <c r="A448" s="26" t="str">
        <f t="shared" si="12"/>
        <v>2025숙명여대</v>
      </c>
      <c r="B448" s="26">
        <f>COUNTIFS($A$4:A448,A448)</f>
        <v>3</v>
      </c>
      <c r="C448" s="26" t="str">
        <f t="shared" si="13"/>
        <v>2025숙명여대3</v>
      </c>
      <c r="E448" s="26" t="s">
        <v>129</v>
      </c>
      <c r="F448" s="26" t="s">
        <v>17</v>
      </c>
      <c r="H448" s="27" t="s">
        <v>227</v>
      </c>
      <c r="I448" s="27">
        <v>2025</v>
      </c>
      <c r="J448" s="27" t="s">
        <v>38</v>
      </c>
      <c r="K448" s="27" t="s">
        <v>172</v>
      </c>
      <c r="L448" s="27" t="s">
        <v>24</v>
      </c>
      <c r="M448" s="27" t="s">
        <v>42</v>
      </c>
      <c r="N448" s="29" t="s">
        <v>228</v>
      </c>
      <c r="O448" s="27" t="s">
        <v>33</v>
      </c>
      <c r="P448" s="27" t="s">
        <v>33</v>
      </c>
      <c r="Q448" s="41"/>
      <c r="R448" s="40"/>
    </row>
    <row r="449" spans="1:18" ht="30" customHeight="1" x14ac:dyDescent="0.3">
      <c r="A449" s="26" t="str">
        <f t="shared" si="12"/>
        <v>2025숙명여대</v>
      </c>
      <c r="B449" s="26">
        <f>COUNTIFS($A$4:A449,A449)</f>
        <v>4</v>
      </c>
      <c r="C449" s="26" t="str">
        <f t="shared" si="13"/>
        <v>2025숙명여대4</v>
      </c>
      <c r="E449" s="26" t="s">
        <v>129</v>
      </c>
      <c r="F449" s="26" t="s">
        <v>17</v>
      </c>
      <c r="H449" s="27" t="s">
        <v>227</v>
      </c>
      <c r="I449" s="27">
        <v>2025</v>
      </c>
      <c r="J449" s="27" t="s">
        <v>19</v>
      </c>
      <c r="K449" s="27" t="s">
        <v>229</v>
      </c>
      <c r="L449" s="27" t="s">
        <v>21</v>
      </c>
      <c r="M449" s="27" t="s">
        <v>22</v>
      </c>
      <c r="N449" s="40" t="s">
        <v>33</v>
      </c>
      <c r="O449" s="27" t="s">
        <v>33</v>
      </c>
      <c r="P449" s="27" t="s">
        <v>33</v>
      </c>
      <c r="Q449" s="41"/>
      <c r="R449" s="40"/>
    </row>
    <row r="450" spans="1:18" ht="30" customHeight="1" x14ac:dyDescent="0.3">
      <c r="A450" s="26" t="str">
        <f t="shared" si="12"/>
        <v>2025숙명여대</v>
      </c>
      <c r="B450" s="26">
        <f>COUNTIFS($A$4:A450,A450)</f>
        <v>5</v>
      </c>
      <c r="C450" s="26" t="str">
        <f t="shared" si="13"/>
        <v>2025숙명여대5</v>
      </c>
      <c r="E450" s="26" t="s">
        <v>129</v>
      </c>
      <c r="F450" s="26" t="s">
        <v>17</v>
      </c>
      <c r="H450" s="27" t="s">
        <v>227</v>
      </c>
      <c r="I450" s="27">
        <v>2025</v>
      </c>
      <c r="J450" s="27" t="s">
        <v>19</v>
      </c>
      <c r="K450" s="27" t="s">
        <v>229</v>
      </c>
      <c r="L450" s="27" t="s">
        <v>24</v>
      </c>
      <c r="M450" s="27" t="s">
        <v>22</v>
      </c>
      <c r="N450" s="40" t="s">
        <v>33</v>
      </c>
      <c r="O450" s="27" t="s">
        <v>33</v>
      </c>
      <c r="P450" s="27" t="s">
        <v>33</v>
      </c>
      <c r="Q450" s="41"/>
      <c r="R450" s="40"/>
    </row>
    <row r="451" spans="1:18" ht="30" customHeight="1" x14ac:dyDescent="0.3">
      <c r="A451" s="26" t="str">
        <f t="shared" si="12"/>
        <v>2025숙명여대</v>
      </c>
      <c r="B451" s="26">
        <f>COUNTIFS($A$4:A451,A451)</f>
        <v>6</v>
      </c>
      <c r="C451" s="26" t="str">
        <f t="shared" si="13"/>
        <v>2025숙명여대6</v>
      </c>
      <c r="E451" s="26" t="s">
        <v>129</v>
      </c>
      <c r="F451" s="26" t="s">
        <v>17</v>
      </c>
      <c r="H451" s="27" t="s">
        <v>227</v>
      </c>
      <c r="I451" s="27">
        <v>2025</v>
      </c>
      <c r="J451" s="27" t="s">
        <v>19</v>
      </c>
      <c r="K451" s="27" t="s">
        <v>230</v>
      </c>
      <c r="L451" s="27" t="s">
        <v>24</v>
      </c>
      <c r="M451" s="27" t="s">
        <v>22</v>
      </c>
      <c r="N451" s="40" t="s">
        <v>33</v>
      </c>
      <c r="O451" s="27" t="s">
        <v>33</v>
      </c>
      <c r="P451" s="27" t="s">
        <v>33</v>
      </c>
      <c r="Q451" s="41"/>
      <c r="R451" s="40"/>
    </row>
    <row r="452" spans="1:18" ht="30" customHeight="1" x14ac:dyDescent="0.3">
      <c r="A452" s="26" t="str">
        <f t="shared" ref="A452:A515" si="14">I452&amp;H452</f>
        <v>2025숙명여대</v>
      </c>
      <c r="B452" s="26">
        <f>COUNTIFS($A$4:A452,A452)</f>
        <v>7</v>
      </c>
      <c r="C452" s="26" t="str">
        <f t="shared" ref="C452:C515" si="15">A452&amp;B452</f>
        <v>2025숙명여대7</v>
      </c>
      <c r="E452" s="26" t="s">
        <v>129</v>
      </c>
      <c r="F452" s="26" t="s">
        <v>17</v>
      </c>
      <c r="H452" s="27" t="s">
        <v>227</v>
      </c>
      <c r="I452" s="27">
        <v>2025</v>
      </c>
      <c r="J452" s="27" t="s">
        <v>50</v>
      </c>
      <c r="K452" s="27" t="s">
        <v>156</v>
      </c>
      <c r="L452" s="27" t="s">
        <v>21</v>
      </c>
      <c r="M452" s="27" t="s">
        <v>22</v>
      </c>
      <c r="N452" s="40" t="s">
        <v>193</v>
      </c>
      <c r="O452" s="27" t="s">
        <v>33</v>
      </c>
      <c r="P452" s="27" t="s">
        <v>33</v>
      </c>
      <c r="Q452" s="41"/>
      <c r="R452" s="40"/>
    </row>
    <row r="453" spans="1:18" ht="30" customHeight="1" x14ac:dyDescent="0.3">
      <c r="A453" s="26" t="str">
        <f t="shared" si="14"/>
        <v>2025숙명여대</v>
      </c>
      <c r="B453" s="26">
        <f>COUNTIFS($A$4:A453,A453)</f>
        <v>8</v>
      </c>
      <c r="C453" s="26" t="str">
        <f t="shared" si="15"/>
        <v>2025숙명여대8</v>
      </c>
      <c r="E453" s="26" t="s">
        <v>129</v>
      </c>
      <c r="F453" s="26" t="s">
        <v>17</v>
      </c>
      <c r="H453" s="27" t="s">
        <v>227</v>
      </c>
      <c r="I453" s="27">
        <v>2025</v>
      </c>
      <c r="J453" s="27" t="s">
        <v>50</v>
      </c>
      <c r="K453" s="27" t="s">
        <v>156</v>
      </c>
      <c r="L453" s="27" t="s">
        <v>24</v>
      </c>
      <c r="M453" s="27" t="s">
        <v>22</v>
      </c>
      <c r="N453" s="40" t="s">
        <v>193</v>
      </c>
      <c r="O453" s="27" t="s">
        <v>33</v>
      </c>
      <c r="P453" s="27" t="s">
        <v>33</v>
      </c>
      <c r="Q453" s="41"/>
      <c r="R453" s="40"/>
    </row>
    <row r="454" spans="1:18" ht="30" customHeight="1" x14ac:dyDescent="0.3">
      <c r="A454" s="26" t="str">
        <f t="shared" si="14"/>
        <v>2025숙명여대</v>
      </c>
      <c r="B454" s="26">
        <f>COUNTIFS($A$4:A454,A454)</f>
        <v>9</v>
      </c>
      <c r="C454" s="26" t="str">
        <f t="shared" si="15"/>
        <v>2025숙명여대9</v>
      </c>
      <c r="E454" s="26" t="s">
        <v>129</v>
      </c>
      <c r="F454" s="26" t="s">
        <v>17</v>
      </c>
      <c r="H454" s="27" t="s">
        <v>227</v>
      </c>
      <c r="I454" s="27">
        <v>2025</v>
      </c>
      <c r="J454" s="27" t="s">
        <v>50</v>
      </c>
      <c r="K454" s="27" t="s">
        <v>156</v>
      </c>
      <c r="L454" s="27" t="s">
        <v>24</v>
      </c>
      <c r="M454" s="27" t="s">
        <v>42</v>
      </c>
      <c r="N454" s="29" t="s">
        <v>231</v>
      </c>
      <c r="O454" s="27" t="s">
        <v>33</v>
      </c>
      <c r="P454" s="27" t="s">
        <v>33</v>
      </c>
      <c r="Q454" s="41"/>
      <c r="R454" s="40"/>
    </row>
    <row r="455" spans="1:18" ht="30" customHeight="1" x14ac:dyDescent="0.3">
      <c r="A455" s="26" t="str">
        <f t="shared" si="14"/>
        <v>2026숙명여대</v>
      </c>
      <c r="B455" s="26">
        <f>COUNTIFS($A$4:A455,A455)</f>
        <v>1</v>
      </c>
      <c r="C455" s="26" t="str">
        <f t="shared" si="15"/>
        <v>2026숙명여대1</v>
      </c>
      <c r="E455" s="26" t="s">
        <v>129</v>
      </c>
      <c r="F455" s="26" t="s">
        <v>17</v>
      </c>
      <c r="H455" s="27" t="s">
        <v>227</v>
      </c>
      <c r="I455" s="27">
        <v>2026</v>
      </c>
      <c r="J455" s="27" t="s">
        <v>38</v>
      </c>
      <c r="K455" s="27" t="s">
        <v>172</v>
      </c>
      <c r="L455" s="27" t="s">
        <v>21</v>
      </c>
      <c r="M455" s="27" t="s">
        <v>22</v>
      </c>
      <c r="N455" s="40" t="s">
        <v>169</v>
      </c>
      <c r="O455" s="27" t="s">
        <v>33</v>
      </c>
      <c r="P455" s="27" t="s">
        <v>33</v>
      </c>
      <c r="Q455" s="32" t="s">
        <v>180</v>
      </c>
      <c r="R455" s="40"/>
    </row>
    <row r="456" spans="1:18" ht="30" customHeight="1" x14ac:dyDescent="0.3">
      <c r="A456" s="26" t="str">
        <f t="shared" si="14"/>
        <v>2026숙명여대</v>
      </c>
      <c r="B456" s="26">
        <f>COUNTIFS($A$4:A456,A456)</f>
        <v>2</v>
      </c>
      <c r="C456" s="26" t="str">
        <f t="shared" si="15"/>
        <v>2026숙명여대2</v>
      </c>
      <c r="E456" s="26" t="s">
        <v>129</v>
      </c>
      <c r="F456" s="26" t="s">
        <v>17</v>
      </c>
      <c r="H456" s="27" t="s">
        <v>227</v>
      </c>
      <c r="I456" s="27">
        <v>2026</v>
      </c>
      <c r="J456" s="27" t="s">
        <v>38</v>
      </c>
      <c r="K456" s="27" t="s">
        <v>172</v>
      </c>
      <c r="L456" s="27" t="s">
        <v>24</v>
      </c>
      <c r="M456" s="27" t="s">
        <v>22</v>
      </c>
      <c r="N456" s="40" t="s">
        <v>169</v>
      </c>
      <c r="O456" s="27" t="s">
        <v>33</v>
      </c>
      <c r="P456" s="27" t="s">
        <v>33</v>
      </c>
      <c r="Q456" s="32" t="s">
        <v>180</v>
      </c>
      <c r="R456" s="40"/>
    </row>
    <row r="457" spans="1:18" ht="30" customHeight="1" x14ac:dyDescent="0.3">
      <c r="A457" s="26" t="str">
        <f t="shared" si="14"/>
        <v>2026숙명여대</v>
      </c>
      <c r="B457" s="26">
        <f>COUNTIFS($A$4:A457,A457)</f>
        <v>3</v>
      </c>
      <c r="C457" s="26" t="str">
        <f t="shared" si="15"/>
        <v>2026숙명여대3</v>
      </c>
      <c r="E457" s="26" t="s">
        <v>129</v>
      </c>
      <c r="F457" s="26" t="s">
        <v>17</v>
      </c>
      <c r="H457" s="27" t="s">
        <v>227</v>
      </c>
      <c r="I457" s="27">
        <v>2026</v>
      </c>
      <c r="J457" s="27" t="s">
        <v>38</v>
      </c>
      <c r="K457" s="27" t="s">
        <v>172</v>
      </c>
      <c r="L457" s="27" t="s">
        <v>24</v>
      </c>
      <c r="M457" s="27" t="s">
        <v>42</v>
      </c>
      <c r="N457" s="29" t="s">
        <v>228</v>
      </c>
      <c r="O457" s="27" t="s">
        <v>33</v>
      </c>
      <c r="P457" s="27" t="s">
        <v>33</v>
      </c>
      <c r="Q457" s="41"/>
      <c r="R457" s="40"/>
    </row>
    <row r="458" spans="1:18" ht="30" customHeight="1" x14ac:dyDescent="0.3">
      <c r="A458" s="26" t="str">
        <f t="shared" si="14"/>
        <v>2026숙명여대</v>
      </c>
      <c r="B458" s="26">
        <f>COUNTIFS($A$4:A458,A458)</f>
        <v>4</v>
      </c>
      <c r="C458" s="26" t="str">
        <f t="shared" si="15"/>
        <v>2026숙명여대4</v>
      </c>
      <c r="E458" s="26" t="s">
        <v>129</v>
      </c>
      <c r="F458" s="26" t="s">
        <v>17</v>
      </c>
      <c r="H458" s="27" t="s">
        <v>227</v>
      </c>
      <c r="I458" s="27">
        <v>2026</v>
      </c>
      <c r="J458" s="27" t="s">
        <v>19</v>
      </c>
      <c r="K458" s="27" t="s">
        <v>229</v>
      </c>
      <c r="L458" s="27" t="s">
        <v>21</v>
      </c>
      <c r="M458" s="27" t="s">
        <v>22</v>
      </c>
      <c r="N458" s="40" t="s">
        <v>33</v>
      </c>
      <c r="O458" s="27" t="s">
        <v>33</v>
      </c>
      <c r="P458" s="27" t="s">
        <v>33</v>
      </c>
      <c r="Q458" s="41"/>
      <c r="R458" s="40"/>
    </row>
    <row r="459" spans="1:18" ht="30" customHeight="1" x14ac:dyDescent="0.3">
      <c r="A459" s="26" t="str">
        <f t="shared" si="14"/>
        <v>2026숙명여대</v>
      </c>
      <c r="B459" s="26">
        <f>COUNTIFS($A$4:A459,A459)</f>
        <v>5</v>
      </c>
      <c r="C459" s="26" t="str">
        <f t="shared" si="15"/>
        <v>2026숙명여대5</v>
      </c>
      <c r="E459" s="26" t="s">
        <v>129</v>
      </c>
      <c r="F459" s="26" t="s">
        <v>17</v>
      </c>
      <c r="H459" s="27" t="s">
        <v>227</v>
      </c>
      <c r="I459" s="27">
        <v>2026</v>
      </c>
      <c r="J459" s="27" t="s">
        <v>19</v>
      </c>
      <c r="K459" s="27" t="s">
        <v>229</v>
      </c>
      <c r="L459" s="27" t="s">
        <v>24</v>
      </c>
      <c r="M459" s="27" t="s">
        <v>22</v>
      </c>
      <c r="N459" s="40" t="s">
        <v>33</v>
      </c>
      <c r="O459" s="27" t="s">
        <v>33</v>
      </c>
      <c r="P459" s="27" t="s">
        <v>33</v>
      </c>
      <c r="Q459" s="41"/>
      <c r="R459" s="40"/>
    </row>
    <row r="460" spans="1:18" ht="30" customHeight="1" x14ac:dyDescent="0.3">
      <c r="A460" s="26" t="str">
        <f t="shared" si="14"/>
        <v>2026숙명여대</v>
      </c>
      <c r="B460" s="26">
        <f>COUNTIFS($A$4:A460,A460)</f>
        <v>6</v>
      </c>
      <c r="C460" s="26" t="str">
        <f t="shared" si="15"/>
        <v>2026숙명여대6</v>
      </c>
      <c r="E460" s="26" t="s">
        <v>129</v>
      </c>
      <c r="F460" s="26" t="s">
        <v>17</v>
      </c>
      <c r="H460" s="27" t="s">
        <v>227</v>
      </c>
      <c r="I460" s="27">
        <v>2026</v>
      </c>
      <c r="J460" s="27" t="s">
        <v>19</v>
      </c>
      <c r="K460" s="27" t="s">
        <v>230</v>
      </c>
      <c r="L460" s="27" t="s">
        <v>24</v>
      </c>
      <c r="M460" s="27" t="s">
        <v>22</v>
      </c>
      <c r="N460" s="40" t="s">
        <v>33</v>
      </c>
      <c r="O460" s="27" t="s">
        <v>33</v>
      </c>
      <c r="P460" s="27" t="s">
        <v>33</v>
      </c>
      <c r="Q460" s="41"/>
      <c r="R460" s="40"/>
    </row>
    <row r="461" spans="1:18" ht="30" customHeight="1" x14ac:dyDescent="0.3">
      <c r="A461" s="26" t="str">
        <f t="shared" si="14"/>
        <v>2026숙명여대</v>
      </c>
      <c r="B461" s="26">
        <f>COUNTIFS($A$4:A461,A461)</f>
        <v>7</v>
      </c>
      <c r="C461" s="26" t="str">
        <f t="shared" si="15"/>
        <v>2026숙명여대7</v>
      </c>
      <c r="E461" s="26" t="s">
        <v>129</v>
      </c>
      <c r="F461" s="26" t="s">
        <v>17</v>
      </c>
      <c r="H461" s="27" t="s">
        <v>227</v>
      </c>
      <c r="I461" s="27">
        <v>2026</v>
      </c>
      <c r="J461" s="27" t="s">
        <v>50</v>
      </c>
      <c r="K461" s="27" t="s">
        <v>156</v>
      </c>
      <c r="L461" s="27" t="s">
        <v>21</v>
      </c>
      <c r="M461" s="27" t="s">
        <v>22</v>
      </c>
      <c r="N461" s="40" t="s">
        <v>193</v>
      </c>
      <c r="O461" s="27" t="s">
        <v>33</v>
      </c>
      <c r="P461" s="27" t="s">
        <v>33</v>
      </c>
      <c r="Q461" s="41"/>
      <c r="R461" s="40"/>
    </row>
    <row r="462" spans="1:18" ht="30" customHeight="1" x14ac:dyDescent="0.3">
      <c r="A462" s="26" t="str">
        <f t="shared" si="14"/>
        <v>2026숙명여대</v>
      </c>
      <c r="B462" s="26">
        <f>COUNTIFS($A$4:A462,A462)</f>
        <v>8</v>
      </c>
      <c r="C462" s="26" t="str">
        <f t="shared" si="15"/>
        <v>2026숙명여대8</v>
      </c>
      <c r="E462" s="26" t="s">
        <v>129</v>
      </c>
      <c r="F462" s="26" t="s">
        <v>17</v>
      </c>
      <c r="H462" s="27" t="s">
        <v>227</v>
      </c>
      <c r="I462" s="27">
        <v>2026</v>
      </c>
      <c r="J462" s="27" t="s">
        <v>50</v>
      </c>
      <c r="K462" s="27" t="s">
        <v>156</v>
      </c>
      <c r="L462" s="27" t="s">
        <v>24</v>
      </c>
      <c r="M462" s="27" t="s">
        <v>22</v>
      </c>
      <c r="N462" s="40" t="s">
        <v>193</v>
      </c>
      <c r="O462" s="27" t="s">
        <v>33</v>
      </c>
      <c r="P462" s="27" t="s">
        <v>33</v>
      </c>
      <c r="Q462" s="41"/>
      <c r="R462" s="40"/>
    </row>
    <row r="463" spans="1:18" ht="30" customHeight="1" x14ac:dyDescent="0.3">
      <c r="A463" s="26" t="str">
        <f t="shared" si="14"/>
        <v>2026숙명여대</v>
      </c>
      <c r="B463" s="26">
        <f>COUNTIFS($A$4:A463,A463)</f>
        <v>9</v>
      </c>
      <c r="C463" s="26" t="str">
        <f t="shared" si="15"/>
        <v>2026숙명여대9</v>
      </c>
      <c r="E463" s="26" t="s">
        <v>129</v>
      </c>
      <c r="F463" s="26" t="s">
        <v>17</v>
      </c>
      <c r="H463" s="27" t="s">
        <v>227</v>
      </c>
      <c r="I463" s="27">
        <v>2026</v>
      </c>
      <c r="J463" s="27" t="s">
        <v>50</v>
      </c>
      <c r="K463" s="27" t="s">
        <v>156</v>
      </c>
      <c r="L463" s="27" t="s">
        <v>24</v>
      </c>
      <c r="M463" s="27" t="s">
        <v>42</v>
      </c>
      <c r="N463" s="29" t="s">
        <v>231</v>
      </c>
      <c r="O463" s="27" t="s">
        <v>33</v>
      </c>
      <c r="P463" s="27" t="s">
        <v>33</v>
      </c>
      <c r="Q463" s="41"/>
      <c r="R463" s="40"/>
    </row>
    <row r="464" spans="1:18" ht="30" customHeight="1" x14ac:dyDescent="0.3">
      <c r="A464" s="26" t="str">
        <f t="shared" si="14"/>
        <v>2027숙명여대</v>
      </c>
      <c r="B464" s="26">
        <f>COUNTIFS($A$4:A464,A464)</f>
        <v>1</v>
      </c>
      <c r="C464" s="26" t="str">
        <f t="shared" si="15"/>
        <v>2027숙명여대1</v>
      </c>
      <c r="E464" s="26" t="s">
        <v>129</v>
      </c>
      <c r="F464" s="26" t="s">
        <v>17</v>
      </c>
      <c r="H464" s="27" t="s">
        <v>227</v>
      </c>
      <c r="I464" s="27">
        <v>2027</v>
      </c>
      <c r="J464" s="27" t="s">
        <v>38</v>
      </c>
      <c r="K464" s="27" t="s">
        <v>172</v>
      </c>
      <c r="L464" s="27" t="s">
        <v>21</v>
      </c>
      <c r="M464" s="27" t="s">
        <v>22</v>
      </c>
      <c r="N464" s="40" t="s">
        <v>33</v>
      </c>
      <c r="O464" s="27" t="s">
        <v>33</v>
      </c>
      <c r="P464" s="27" t="s">
        <v>33</v>
      </c>
      <c r="Q464" s="32" t="s">
        <v>72</v>
      </c>
      <c r="R464" s="40"/>
    </row>
    <row r="465" spans="1:18" ht="30" customHeight="1" x14ac:dyDescent="0.3">
      <c r="A465" s="26" t="str">
        <f t="shared" si="14"/>
        <v>2027숙명여대</v>
      </c>
      <c r="B465" s="26">
        <f>COUNTIFS($A$4:A465,A465)</f>
        <v>2</v>
      </c>
      <c r="C465" s="26" t="str">
        <f t="shared" si="15"/>
        <v>2027숙명여대2</v>
      </c>
      <c r="E465" s="26" t="s">
        <v>129</v>
      </c>
      <c r="F465" s="26" t="s">
        <v>17</v>
      </c>
      <c r="H465" s="27" t="s">
        <v>227</v>
      </c>
      <c r="I465" s="27">
        <v>2027</v>
      </c>
      <c r="J465" s="27" t="s">
        <v>38</v>
      </c>
      <c r="K465" s="27" t="s">
        <v>172</v>
      </c>
      <c r="L465" s="27" t="s">
        <v>24</v>
      </c>
      <c r="M465" s="27" t="s">
        <v>22</v>
      </c>
      <c r="N465" s="40" t="s">
        <v>33</v>
      </c>
      <c r="O465" s="27" t="s">
        <v>33</v>
      </c>
      <c r="P465" s="27" t="s">
        <v>33</v>
      </c>
      <c r="Q465" s="32" t="s">
        <v>72</v>
      </c>
      <c r="R465" s="40"/>
    </row>
    <row r="466" spans="1:18" ht="30" customHeight="1" x14ac:dyDescent="0.3">
      <c r="A466" s="26" t="str">
        <f t="shared" si="14"/>
        <v>2027숙명여대</v>
      </c>
      <c r="B466" s="26">
        <f>COUNTIFS($A$4:A466,A466)</f>
        <v>3</v>
      </c>
      <c r="C466" s="26" t="str">
        <f t="shared" si="15"/>
        <v>2027숙명여대3</v>
      </c>
      <c r="E466" s="26" t="s">
        <v>129</v>
      </c>
      <c r="F466" s="26" t="s">
        <v>17</v>
      </c>
      <c r="H466" s="27" t="s">
        <v>227</v>
      </c>
      <c r="I466" s="27">
        <v>2027</v>
      </c>
      <c r="J466" s="27" t="s">
        <v>38</v>
      </c>
      <c r="K466" s="27" t="s">
        <v>172</v>
      </c>
      <c r="L466" s="27" t="s">
        <v>24</v>
      </c>
      <c r="M466" s="27" t="s">
        <v>42</v>
      </c>
      <c r="N466" s="29" t="s">
        <v>228</v>
      </c>
      <c r="O466" s="27" t="s">
        <v>33</v>
      </c>
      <c r="P466" s="27" t="s">
        <v>33</v>
      </c>
      <c r="Q466" s="41"/>
      <c r="R466" s="40"/>
    </row>
    <row r="467" spans="1:18" ht="30" customHeight="1" x14ac:dyDescent="0.3">
      <c r="A467" s="26" t="str">
        <f t="shared" si="14"/>
        <v>2027숙명여대</v>
      </c>
      <c r="B467" s="26">
        <f>COUNTIFS($A$4:A467,A467)</f>
        <v>4</v>
      </c>
      <c r="C467" s="26" t="str">
        <f t="shared" si="15"/>
        <v>2027숙명여대4</v>
      </c>
      <c r="E467" s="26" t="s">
        <v>129</v>
      </c>
      <c r="F467" s="26" t="s">
        <v>17</v>
      </c>
      <c r="H467" s="27" t="s">
        <v>227</v>
      </c>
      <c r="I467" s="27">
        <v>2027</v>
      </c>
      <c r="J467" s="27" t="s">
        <v>19</v>
      </c>
      <c r="K467" s="27" t="s">
        <v>229</v>
      </c>
      <c r="L467" s="27" t="s">
        <v>21</v>
      </c>
      <c r="M467" s="27" t="s">
        <v>22</v>
      </c>
      <c r="N467" s="40" t="s">
        <v>33</v>
      </c>
      <c r="O467" s="27" t="s">
        <v>33</v>
      </c>
      <c r="P467" s="27" t="s">
        <v>33</v>
      </c>
      <c r="Q467" s="41"/>
      <c r="R467" s="40"/>
    </row>
    <row r="468" spans="1:18" ht="30" customHeight="1" x14ac:dyDescent="0.3">
      <c r="A468" s="26" t="str">
        <f t="shared" si="14"/>
        <v>2027숙명여대</v>
      </c>
      <c r="B468" s="26">
        <f>COUNTIFS($A$4:A468,A468)</f>
        <v>5</v>
      </c>
      <c r="C468" s="26" t="str">
        <f t="shared" si="15"/>
        <v>2027숙명여대5</v>
      </c>
      <c r="E468" s="26" t="s">
        <v>129</v>
      </c>
      <c r="F468" s="26" t="s">
        <v>17</v>
      </c>
      <c r="H468" s="27" t="s">
        <v>227</v>
      </c>
      <c r="I468" s="27">
        <v>2027</v>
      </c>
      <c r="J468" s="27" t="s">
        <v>19</v>
      </c>
      <c r="K468" s="27" t="s">
        <v>229</v>
      </c>
      <c r="L468" s="27" t="s">
        <v>24</v>
      </c>
      <c r="M468" s="27" t="s">
        <v>22</v>
      </c>
      <c r="N468" s="40" t="s">
        <v>33</v>
      </c>
      <c r="O468" s="27" t="s">
        <v>33</v>
      </c>
      <c r="P468" s="27" t="s">
        <v>33</v>
      </c>
      <c r="Q468" s="41"/>
      <c r="R468" s="40"/>
    </row>
    <row r="469" spans="1:18" ht="30" customHeight="1" x14ac:dyDescent="0.3">
      <c r="A469" s="26" t="str">
        <f t="shared" si="14"/>
        <v>2027숙명여대</v>
      </c>
      <c r="B469" s="26">
        <f>COUNTIFS($A$4:A469,A469)</f>
        <v>6</v>
      </c>
      <c r="C469" s="26" t="str">
        <f t="shared" si="15"/>
        <v>2027숙명여대6</v>
      </c>
      <c r="E469" s="26" t="s">
        <v>129</v>
      </c>
      <c r="F469" s="26" t="s">
        <v>17</v>
      </c>
      <c r="H469" s="27" t="s">
        <v>227</v>
      </c>
      <c r="I469" s="27">
        <v>2027</v>
      </c>
      <c r="J469" s="27" t="s">
        <v>19</v>
      </c>
      <c r="K469" s="27" t="s">
        <v>230</v>
      </c>
      <c r="L469" s="27" t="s">
        <v>24</v>
      </c>
      <c r="M469" s="27" t="s">
        <v>22</v>
      </c>
      <c r="N469" s="40" t="s">
        <v>33</v>
      </c>
      <c r="O469" s="27" t="s">
        <v>33</v>
      </c>
      <c r="P469" s="27" t="s">
        <v>33</v>
      </c>
      <c r="Q469" s="41"/>
      <c r="R469" s="40"/>
    </row>
    <row r="470" spans="1:18" ht="30" customHeight="1" x14ac:dyDescent="0.3">
      <c r="A470" s="26" t="str">
        <f t="shared" si="14"/>
        <v>2027숙명여대</v>
      </c>
      <c r="B470" s="26">
        <f>COUNTIFS($A$4:A470,A470)</f>
        <v>7</v>
      </c>
      <c r="C470" s="26" t="str">
        <f t="shared" si="15"/>
        <v>2027숙명여대7</v>
      </c>
      <c r="E470" s="26" t="s">
        <v>129</v>
      </c>
      <c r="F470" s="26" t="s">
        <v>17</v>
      </c>
      <c r="H470" s="27" t="s">
        <v>227</v>
      </c>
      <c r="I470" s="27">
        <v>2027</v>
      </c>
      <c r="J470" s="27" t="s">
        <v>50</v>
      </c>
      <c r="K470" s="27" t="s">
        <v>156</v>
      </c>
      <c r="L470" s="27" t="s">
        <v>21</v>
      </c>
      <c r="M470" s="27" t="s">
        <v>22</v>
      </c>
      <c r="N470" s="40" t="s">
        <v>193</v>
      </c>
      <c r="O470" s="27" t="s">
        <v>33</v>
      </c>
      <c r="P470" s="27" t="s">
        <v>33</v>
      </c>
      <c r="Q470" s="41"/>
      <c r="R470" s="40"/>
    </row>
    <row r="471" spans="1:18" ht="30" customHeight="1" x14ac:dyDescent="0.3">
      <c r="A471" s="26" t="str">
        <f t="shared" si="14"/>
        <v>2027숙명여대</v>
      </c>
      <c r="B471" s="26">
        <f>COUNTIFS($A$4:A471,A471)</f>
        <v>8</v>
      </c>
      <c r="C471" s="26" t="str">
        <f t="shared" si="15"/>
        <v>2027숙명여대8</v>
      </c>
      <c r="E471" s="26" t="s">
        <v>129</v>
      </c>
      <c r="F471" s="26" t="s">
        <v>17</v>
      </c>
      <c r="H471" s="27" t="s">
        <v>227</v>
      </c>
      <c r="I471" s="27">
        <v>2027</v>
      </c>
      <c r="J471" s="27" t="s">
        <v>50</v>
      </c>
      <c r="K471" s="27" t="s">
        <v>156</v>
      </c>
      <c r="L471" s="27" t="s">
        <v>24</v>
      </c>
      <c r="M471" s="27" t="s">
        <v>22</v>
      </c>
      <c r="N471" s="40" t="s">
        <v>193</v>
      </c>
      <c r="O471" s="27" t="s">
        <v>33</v>
      </c>
      <c r="P471" s="27" t="s">
        <v>33</v>
      </c>
      <c r="Q471" s="41"/>
      <c r="R471" s="40"/>
    </row>
    <row r="472" spans="1:18" ht="30" customHeight="1" x14ac:dyDescent="0.3">
      <c r="A472" s="26" t="str">
        <f t="shared" si="14"/>
        <v>2027숙명여대</v>
      </c>
      <c r="B472" s="26">
        <f>COUNTIFS($A$4:A472,A472)</f>
        <v>9</v>
      </c>
      <c r="C472" s="26" t="str">
        <f t="shared" si="15"/>
        <v>2027숙명여대9</v>
      </c>
      <c r="E472" s="26" t="s">
        <v>129</v>
      </c>
      <c r="F472" s="26" t="s">
        <v>17</v>
      </c>
      <c r="H472" s="27" t="s">
        <v>227</v>
      </c>
      <c r="I472" s="27">
        <v>2027</v>
      </c>
      <c r="J472" s="27" t="s">
        <v>50</v>
      </c>
      <c r="K472" s="27" t="s">
        <v>156</v>
      </c>
      <c r="L472" s="27" t="s">
        <v>24</v>
      </c>
      <c r="M472" s="27" t="s">
        <v>42</v>
      </c>
      <c r="N472" s="29" t="s">
        <v>232</v>
      </c>
      <c r="O472" s="27" t="s">
        <v>33</v>
      </c>
      <c r="P472" s="27" t="s">
        <v>33</v>
      </c>
      <c r="Q472" s="41"/>
      <c r="R472" s="40"/>
    </row>
    <row r="473" spans="1:18" ht="30" customHeight="1" x14ac:dyDescent="0.3">
      <c r="A473" s="26" t="str">
        <f t="shared" si="14"/>
        <v>2025국민대</v>
      </c>
      <c r="B473" s="26">
        <f>COUNTIFS($A$4:A473,A473)</f>
        <v>1</v>
      </c>
      <c r="C473" s="26" t="str">
        <f t="shared" si="15"/>
        <v>2025국민대1</v>
      </c>
      <c r="E473" s="39" t="s">
        <v>148</v>
      </c>
      <c r="F473" s="26" t="s">
        <v>17</v>
      </c>
      <c r="H473" s="27" t="s">
        <v>233</v>
      </c>
      <c r="I473" s="27">
        <v>2025</v>
      </c>
      <c r="J473" s="27" t="s">
        <v>38</v>
      </c>
      <c r="K473" s="27" t="s">
        <v>234</v>
      </c>
      <c r="L473" s="27" t="s">
        <v>21</v>
      </c>
      <c r="M473" s="27" t="s">
        <v>22</v>
      </c>
      <c r="N473" s="40" t="s">
        <v>193</v>
      </c>
      <c r="O473" s="27" t="s">
        <v>33</v>
      </c>
      <c r="P473" s="27" t="s">
        <v>33</v>
      </c>
      <c r="Q473" s="41"/>
      <c r="R473" s="40"/>
    </row>
    <row r="474" spans="1:18" ht="30" customHeight="1" x14ac:dyDescent="0.3">
      <c r="A474" s="26" t="str">
        <f t="shared" si="14"/>
        <v>2025국민대</v>
      </c>
      <c r="B474" s="26">
        <f>COUNTIFS($A$4:A474,A474)</f>
        <v>2</v>
      </c>
      <c r="C474" s="26" t="str">
        <f t="shared" si="15"/>
        <v>2025국민대2</v>
      </c>
      <c r="E474" s="39" t="s">
        <v>148</v>
      </c>
      <c r="F474" s="26" t="s">
        <v>17</v>
      </c>
      <c r="H474" s="27" t="s">
        <v>233</v>
      </c>
      <c r="I474" s="27">
        <v>2025</v>
      </c>
      <c r="J474" s="27" t="s">
        <v>38</v>
      </c>
      <c r="K474" s="27" t="s">
        <v>234</v>
      </c>
      <c r="L474" s="27" t="s">
        <v>24</v>
      </c>
      <c r="M474" s="27" t="s">
        <v>22</v>
      </c>
      <c r="N474" s="40" t="s">
        <v>235</v>
      </c>
      <c r="O474" s="27" t="s">
        <v>33</v>
      </c>
      <c r="P474" s="27" t="s">
        <v>55</v>
      </c>
      <c r="Q474" s="41"/>
      <c r="R474" s="40"/>
    </row>
    <row r="475" spans="1:18" ht="30" customHeight="1" x14ac:dyDescent="0.3">
      <c r="A475" s="26" t="str">
        <f t="shared" si="14"/>
        <v>2025국민대</v>
      </c>
      <c r="B475" s="26">
        <f>COUNTIFS($A$4:A475,A475)</f>
        <v>3</v>
      </c>
      <c r="C475" s="26" t="str">
        <f t="shared" si="15"/>
        <v>2025국민대3</v>
      </c>
      <c r="E475" s="39" t="s">
        <v>148</v>
      </c>
      <c r="F475" s="26" t="s">
        <v>17</v>
      </c>
      <c r="H475" s="27" t="s">
        <v>233</v>
      </c>
      <c r="I475" s="27">
        <v>2025</v>
      </c>
      <c r="J475" s="27" t="s">
        <v>19</v>
      </c>
      <c r="K475" s="27" t="s">
        <v>236</v>
      </c>
      <c r="L475" s="27" t="s">
        <v>21</v>
      </c>
      <c r="M475" s="27" t="s">
        <v>22</v>
      </c>
      <c r="N475" s="40" t="s">
        <v>33</v>
      </c>
      <c r="O475" s="27" t="s">
        <v>33</v>
      </c>
      <c r="P475" s="27" t="s">
        <v>33</v>
      </c>
      <c r="Q475" s="41"/>
      <c r="R475" s="40"/>
    </row>
    <row r="476" spans="1:18" ht="30" customHeight="1" x14ac:dyDescent="0.3">
      <c r="A476" s="26" t="str">
        <f t="shared" si="14"/>
        <v>2025국민대</v>
      </c>
      <c r="B476" s="26">
        <f>COUNTIFS($A$4:A476,A476)</f>
        <v>4</v>
      </c>
      <c r="C476" s="26" t="str">
        <f t="shared" si="15"/>
        <v>2025국민대4</v>
      </c>
      <c r="E476" s="39" t="s">
        <v>148</v>
      </c>
      <c r="F476" s="26" t="s">
        <v>17</v>
      </c>
      <c r="H476" s="27" t="s">
        <v>233</v>
      </c>
      <c r="I476" s="27">
        <v>2025</v>
      </c>
      <c r="J476" s="27" t="s">
        <v>19</v>
      </c>
      <c r="K476" s="27" t="s">
        <v>236</v>
      </c>
      <c r="L476" s="27" t="s">
        <v>24</v>
      </c>
      <c r="M476" s="27" t="s">
        <v>22</v>
      </c>
      <c r="N476" s="40" t="s">
        <v>33</v>
      </c>
      <c r="O476" s="27" t="s">
        <v>33</v>
      </c>
      <c r="P476" s="27" t="s">
        <v>33</v>
      </c>
      <c r="Q476" s="41"/>
      <c r="R476" s="40"/>
    </row>
    <row r="477" spans="1:18" ht="30" customHeight="1" x14ac:dyDescent="0.3">
      <c r="A477" s="26" t="str">
        <f t="shared" si="14"/>
        <v>2025국민대</v>
      </c>
      <c r="B477" s="26">
        <f>COUNTIFS($A$4:A477,A477)</f>
        <v>5</v>
      </c>
      <c r="C477" s="26" t="str">
        <f t="shared" si="15"/>
        <v>2025국민대5</v>
      </c>
      <c r="E477" s="39" t="s">
        <v>148</v>
      </c>
      <c r="F477" s="26" t="s">
        <v>17</v>
      </c>
      <c r="H477" s="27" t="s">
        <v>233</v>
      </c>
      <c r="I477" s="27">
        <v>2025</v>
      </c>
      <c r="J477" s="27" t="s">
        <v>19</v>
      </c>
      <c r="K477" s="27" t="s">
        <v>218</v>
      </c>
      <c r="L477" s="27" t="s">
        <v>21</v>
      </c>
      <c r="M477" s="27" t="s">
        <v>22</v>
      </c>
      <c r="N477" s="40" t="s">
        <v>33</v>
      </c>
      <c r="O477" s="27" t="s">
        <v>33</v>
      </c>
      <c r="P477" s="27" t="s">
        <v>33</v>
      </c>
      <c r="Q477" s="41"/>
      <c r="R477" s="40"/>
    </row>
    <row r="478" spans="1:18" ht="30" customHeight="1" x14ac:dyDescent="0.3">
      <c r="A478" s="26" t="str">
        <f t="shared" si="14"/>
        <v>2025국민대</v>
      </c>
      <c r="B478" s="26">
        <f>COUNTIFS($A$4:A478,A478)</f>
        <v>6</v>
      </c>
      <c r="C478" s="26" t="str">
        <f t="shared" si="15"/>
        <v>2025국민대6</v>
      </c>
      <c r="E478" s="39" t="s">
        <v>148</v>
      </c>
      <c r="F478" s="26" t="s">
        <v>17</v>
      </c>
      <c r="H478" s="27" t="s">
        <v>233</v>
      </c>
      <c r="I478" s="27">
        <v>2025</v>
      </c>
      <c r="J478" s="27" t="s">
        <v>19</v>
      </c>
      <c r="K478" s="27" t="s">
        <v>218</v>
      </c>
      <c r="L478" s="27" t="s">
        <v>24</v>
      </c>
      <c r="M478" s="27" t="s">
        <v>22</v>
      </c>
      <c r="N478" s="40" t="s">
        <v>33</v>
      </c>
      <c r="O478" s="27" t="s">
        <v>33</v>
      </c>
      <c r="P478" s="27" t="s">
        <v>33</v>
      </c>
      <c r="Q478" s="41"/>
      <c r="R478" s="40"/>
    </row>
    <row r="479" spans="1:18" ht="30" customHeight="1" x14ac:dyDescent="0.3">
      <c r="A479" s="26" t="str">
        <f t="shared" si="14"/>
        <v>2026국민대</v>
      </c>
      <c r="B479" s="26">
        <f>COUNTIFS($A$4:A479,A479)</f>
        <v>1</v>
      </c>
      <c r="C479" s="26" t="str">
        <f t="shared" si="15"/>
        <v>2026국민대1</v>
      </c>
      <c r="E479" s="39" t="s">
        <v>148</v>
      </c>
      <c r="F479" s="26" t="s">
        <v>17</v>
      </c>
      <c r="H479" s="27" t="s">
        <v>233</v>
      </c>
      <c r="I479" s="27">
        <v>2026</v>
      </c>
      <c r="J479" s="27" t="s">
        <v>38</v>
      </c>
      <c r="K479" s="27" t="s">
        <v>234</v>
      </c>
      <c r="L479" s="27" t="s">
        <v>21</v>
      </c>
      <c r="M479" s="27" t="s">
        <v>22</v>
      </c>
      <c r="N479" s="40" t="s">
        <v>169</v>
      </c>
      <c r="O479" s="27" t="s">
        <v>22</v>
      </c>
      <c r="P479" s="27" t="s">
        <v>22</v>
      </c>
      <c r="Q479" s="32" t="s">
        <v>180</v>
      </c>
      <c r="R479" s="40"/>
    </row>
    <row r="480" spans="1:18" ht="30" customHeight="1" x14ac:dyDescent="0.3">
      <c r="A480" s="26" t="str">
        <f t="shared" si="14"/>
        <v>2026국민대</v>
      </c>
      <c r="B480" s="26">
        <f>COUNTIFS($A$4:A480,A480)</f>
        <v>2</v>
      </c>
      <c r="C480" s="26" t="str">
        <f t="shared" si="15"/>
        <v>2026국민대2</v>
      </c>
      <c r="E480" s="39" t="s">
        <v>148</v>
      </c>
      <c r="F480" s="26" t="s">
        <v>17</v>
      </c>
      <c r="H480" s="27" t="s">
        <v>233</v>
      </c>
      <c r="I480" s="27">
        <v>2026</v>
      </c>
      <c r="J480" s="27" t="s">
        <v>38</v>
      </c>
      <c r="K480" s="27" t="s">
        <v>234</v>
      </c>
      <c r="L480" s="27" t="s">
        <v>24</v>
      </c>
      <c r="M480" s="27" t="s">
        <v>22</v>
      </c>
      <c r="N480" s="40" t="s">
        <v>235</v>
      </c>
      <c r="O480" s="27" t="s">
        <v>22</v>
      </c>
      <c r="P480" s="27" t="s">
        <v>55</v>
      </c>
      <c r="Q480" s="41"/>
      <c r="R480" s="40"/>
    </row>
    <row r="481" spans="1:18" ht="30" customHeight="1" x14ac:dyDescent="0.3">
      <c r="A481" s="26" t="str">
        <f t="shared" si="14"/>
        <v>2026국민대</v>
      </c>
      <c r="B481" s="26">
        <f>COUNTIFS($A$4:A481,A481)</f>
        <v>3</v>
      </c>
      <c r="C481" s="26" t="str">
        <f t="shared" si="15"/>
        <v>2026국민대3</v>
      </c>
      <c r="E481" s="39" t="s">
        <v>148</v>
      </c>
      <c r="F481" s="26" t="s">
        <v>17</v>
      </c>
      <c r="H481" s="27" t="s">
        <v>233</v>
      </c>
      <c r="I481" s="27">
        <v>2026</v>
      </c>
      <c r="J481" s="27" t="s">
        <v>19</v>
      </c>
      <c r="K481" s="27" t="s">
        <v>236</v>
      </c>
      <c r="L481" s="27" t="s">
        <v>21</v>
      </c>
      <c r="M481" s="27" t="s">
        <v>22</v>
      </c>
      <c r="N481" s="40" t="s">
        <v>33</v>
      </c>
      <c r="O481" s="27" t="s">
        <v>22</v>
      </c>
      <c r="P481" s="27" t="s">
        <v>22</v>
      </c>
      <c r="Q481" s="41"/>
      <c r="R481" s="40"/>
    </row>
    <row r="482" spans="1:18" ht="30" customHeight="1" x14ac:dyDescent="0.3">
      <c r="A482" s="26" t="str">
        <f t="shared" si="14"/>
        <v>2026국민대</v>
      </c>
      <c r="B482" s="26">
        <f>COUNTIFS($A$4:A482,A482)</f>
        <v>4</v>
      </c>
      <c r="C482" s="26" t="str">
        <f t="shared" si="15"/>
        <v>2026국민대4</v>
      </c>
      <c r="E482" s="39" t="s">
        <v>148</v>
      </c>
      <c r="F482" s="26" t="s">
        <v>17</v>
      </c>
      <c r="H482" s="27" t="s">
        <v>233</v>
      </c>
      <c r="I482" s="27">
        <v>2026</v>
      </c>
      <c r="J482" s="27" t="s">
        <v>19</v>
      </c>
      <c r="K482" s="27" t="s">
        <v>236</v>
      </c>
      <c r="L482" s="27" t="s">
        <v>24</v>
      </c>
      <c r="M482" s="27" t="s">
        <v>22</v>
      </c>
      <c r="N482" s="40" t="s">
        <v>33</v>
      </c>
      <c r="O482" s="27" t="s">
        <v>22</v>
      </c>
      <c r="P482" s="27" t="s">
        <v>22</v>
      </c>
      <c r="Q482" s="41"/>
      <c r="R482" s="40"/>
    </row>
    <row r="483" spans="1:18" ht="30" customHeight="1" x14ac:dyDescent="0.3">
      <c r="A483" s="26" t="str">
        <f t="shared" si="14"/>
        <v>2026국민대</v>
      </c>
      <c r="B483" s="26">
        <f>COUNTIFS($A$4:A483,A483)</f>
        <v>5</v>
      </c>
      <c r="C483" s="26" t="str">
        <f t="shared" si="15"/>
        <v>2026국민대5</v>
      </c>
      <c r="E483" s="39" t="s">
        <v>148</v>
      </c>
      <c r="F483" s="26" t="s">
        <v>17</v>
      </c>
      <c r="H483" s="27" t="s">
        <v>233</v>
      </c>
      <c r="I483" s="27">
        <v>2026</v>
      </c>
      <c r="J483" s="27" t="s">
        <v>237</v>
      </c>
      <c r="K483" s="27" t="s">
        <v>50</v>
      </c>
      <c r="L483" s="27" t="s">
        <v>94</v>
      </c>
      <c r="M483" s="27" t="s">
        <v>22</v>
      </c>
      <c r="N483" s="40" t="s">
        <v>169</v>
      </c>
      <c r="O483" s="27" t="s">
        <v>22</v>
      </c>
      <c r="P483" s="27" t="s">
        <v>22</v>
      </c>
      <c r="Q483" s="32" t="s">
        <v>238</v>
      </c>
      <c r="R483" s="40"/>
    </row>
    <row r="484" spans="1:18" ht="30" customHeight="1" x14ac:dyDescent="0.3">
      <c r="A484" s="26" t="str">
        <f t="shared" si="14"/>
        <v>2026국민대</v>
      </c>
      <c r="B484" s="26">
        <f>COUNTIFS($A$4:A484,A484)</f>
        <v>6</v>
      </c>
      <c r="C484" s="26" t="str">
        <f t="shared" si="15"/>
        <v>2026국민대6</v>
      </c>
      <c r="E484" s="39" t="s">
        <v>148</v>
      </c>
      <c r="F484" s="26" t="s">
        <v>17</v>
      </c>
      <c r="H484" s="27" t="s">
        <v>233</v>
      </c>
      <c r="I484" s="27">
        <v>2026</v>
      </c>
      <c r="J484" s="27" t="s">
        <v>237</v>
      </c>
      <c r="K484" s="27" t="s">
        <v>50</v>
      </c>
      <c r="L484" s="27" t="s">
        <v>95</v>
      </c>
      <c r="M484" s="27" t="s">
        <v>22</v>
      </c>
      <c r="N484" s="40" t="s">
        <v>235</v>
      </c>
      <c r="O484" s="27" t="s">
        <v>22</v>
      </c>
      <c r="P484" s="27" t="s">
        <v>28</v>
      </c>
      <c r="Q484" s="32" t="s">
        <v>238</v>
      </c>
      <c r="R484" s="40"/>
    </row>
    <row r="485" spans="1:18" ht="30" customHeight="1" x14ac:dyDescent="0.3">
      <c r="A485" s="26" t="str">
        <f t="shared" si="14"/>
        <v>2027국민대</v>
      </c>
      <c r="B485" s="26">
        <f>COUNTIFS($A$4:A485,A485)</f>
        <v>1</v>
      </c>
      <c r="C485" s="26" t="str">
        <f t="shared" si="15"/>
        <v>2027국민대1</v>
      </c>
      <c r="E485" s="39" t="s">
        <v>148</v>
      </c>
      <c r="F485" s="26" t="s">
        <v>17</v>
      </c>
      <c r="H485" s="27" t="s">
        <v>233</v>
      </c>
      <c r="I485" s="27">
        <v>2027</v>
      </c>
      <c r="J485" s="27" t="s">
        <v>38</v>
      </c>
      <c r="K485" s="27" t="s">
        <v>80</v>
      </c>
      <c r="L485" s="27" t="s">
        <v>21</v>
      </c>
      <c r="M485" s="27" t="s">
        <v>22</v>
      </c>
      <c r="N485" s="40" t="s">
        <v>169</v>
      </c>
      <c r="O485" s="27" t="s">
        <v>22</v>
      </c>
      <c r="P485" s="27" t="s">
        <v>22</v>
      </c>
      <c r="Q485" s="32" t="s">
        <v>141</v>
      </c>
      <c r="R485" s="40"/>
    </row>
    <row r="486" spans="1:18" ht="30" customHeight="1" x14ac:dyDescent="0.3">
      <c r="A486" s="26" t="str">
        <f t="shared" si="14"/>
        <v>2027국민대</v>
      </c>
      <c r="B486" s="26">
        <f>COUNTIFS($A$4:A486,A486)</f>
        <v>2</v>
      </c>
      <c r="C486" s="26" t="str">
        <f t="shared" si="15"/>
        <v>2027국민대2</v>
      </c>
      <c r="E486" s="39" t="s">
        <v>148</v>
      </c>
      <c r="F486" s="26" t="s">
        <v>17</v>
      </c>
      <c r="H486" s="27" t="s">
        <v>233</v>
      </c>
      <c r="I486" s="27">
        <v>2027</v>
      </c>
      <c r="J486" s="27" t="s">
        <v>38</v>
      </c>
      <c r="K486" s="27" t="s">
        <v>80</v>
      </c>
      <c r="L486" s="27" t="s">
        <v>24</v>
      </c>
      <c r="M486" s="27" t="s">
        <v>22</v>
      </c>
      <c r="N486" s="40" t="s">
        <v>235</v>
      </c>
      <c r="O486" s="27" t="s">
        <v>22</v>
      </c>
      <c r="P486" s="27" t="s">
        <v>55</v>
      </c>
      <c r="Q486" s="32" t="s">
        <v>141</v>
      </c>
      <c r="R486" s="40"/>
    </row>
    <row r="487" spans="1:18" ht="30" customHeight="1" x14ac:dyDescent="0.3">
      <c r="A487" s="26" t="str">
        <f t="shared" si="14"/>
        <v>2027국민대</v>
      </c>
      <c r="B487" s="26">
        <f>COUNTIFS($A$4:A487,A487)</f>
        <v>3</v>
      </c>
      <c r="C487" s="26" t="str">
        <f t="shared" si="15"/>
        <v>2027국민대3</v>
      </c>
      <c r="E487" s="39" t="s">
        <v>148</v>
      </c>
      <c r="F487" s="26" t="s">
        <v>17</v>
      </c>
      <c r="H487" s="27" t="s">
        <v>233</v>
      </c>
      <c r="I487" s="27">
        <v>2027</v>
      </c>
      <c r="J487" s="27" t="s">
        <v>19</v>
      </c>
      <c r="K487" s="27" t="s">
        <v>236</v>
      </c>
      <c r="L487" s="27" t="s">
        <v>21</v>
      </c>
      <c r="M487" s="27" t="s">
        <v>22</v>
      </c>
      <c r="N487" s="40" t="s">
        <v>33</v>
      </c>
      <c r="O487" s="27" t="s">
        <v>22</v>
      </c>
      <c r="P487" s="27" t="s">
        <v>22</v>
      </c>
      <c r="Q487" s="41"/>
      <c r="R487" s="40"/>
    </row>
    <row r="488" spans="1:18" ht="30" customHeight="1" x14ac:dyDescent="0.3">
      <c r="A488" s="26" t="str">
        <f t="shared" si="14"/>
        <v>2027국민대</v>
      </c>
      <c r="B488" s="26">
        <f>COUNTIFS($A$4:A488,A488)</f>
        <v>4</v>
      </c>
      <c r="C488" s="26" t="str">
        <f t="shared" si="15"/>
        <v>2027국민대4</v>
      </c>
      <c r="E488" s="39" t="s">
        <v>148</v>
      </c>
      <c r="F488" s="26" t="s">
        <v>17</v>
      </c>
      <c r="H488" s="27" t="s">
        <v>233</v>
      </c>
      <c r="I488" s="27">
        <v>2027</v>
      </c>
      <c r="J488" s="27" t="s">
        <v>19</v>
      </c>
      <c r="K488" s="27" t="s">
        <v>236</v>
      </c>
      <c r="L488" s="27" t="s">
        <v>24</v>
      </c>
      <c r="M488" s="27" t="s">
        <v>22</v>
      </c>
      <c r="N488" s="40" t="s">
        <v>33</v>
      </c>
      <c r="O488" s="27" t="s">
        <v>22</v>
      </c>
      <c r="P488" s="27" t="s">
        <v>22</v>
      </c>
      <c r="Q488" s="41"/>
      <c r="R488" s="40"/>
    </row>
    <row r="489" spans="1:18" ht="30" customHeight="1" x14ac:dyDescent="0.3">
      <c r="A489" s="26" t="str">
        <f t="shared" si="14"/>
        <v>2027국민대</v>
      </c>
      <c r="B489" s="26">
        <f>COUNTIFS($A$4:A489,A489)</f>
        <v>5</v>
      </c>
      <c r="C489" s="26" t="str">
        <f t="shared" si="15"/>
        <v>2027국민대5</v>
      </c>
      <c r="E489" s="39" t="s">
        <v>148</v>
      </c>
      <c r="F489" s="26" t="s">
        <v>17</v>
      </c>
      <c r="H489" s="27" t="s">
        <v>233</v>
      </c>
      <c r="I489" s="27">
        <v>2027</v>
      </c>
      <c r="J489" s="27" t="s">
        <v>19</v>
      </c>
      <c r="K489" s="27" t="s">
        <v>239</v>
      </c>
      <c r="L489" s="27" t="s">
        <v>21</v>
      </c>
      <c r="M489" s="27" t="s">
        <v>22</v>
      </c>
      <c r="N489" s="40" t="s">
        <v>33</v>
      </c>
      <c r="O489" s="27" t="s">
        <v>22</v>
      </c>
      <c r="P489" s="27" t="s">
        <v>22</v>
      </c>
      <c r="Q489" s="41"/>
      <c r="R489" s="40"/>
    </row>
    <row r="490" spans="1:18" ht="30" customHeight="1" x14ac:dyDescent="0.3">
      <c r="A490" s="26" t="str">
        <f t="shared" si="14"/>
        <v>2027국민대</v>
      </c>
      <c r="B490" s="26">
        <f>COUNTIFS($A$4:A490,A490)</f>
        <v>6</v>
      </c>
      <c r="C490" s="26" t="str">
        <f t="shared" si="15"/>
        <v>2027국민대6</v>
      </c>
      <c r="E490" s="39" t="s">
        <v>148</v>
      </c>
      <c r="F490" s="26" t="s">
        <v>17</v>
      </c>
      <c r="H490" s="27" t="s">
        <v>233</v>
      </c>
      <c r="I490" s="27">
        <v>2027</v>
      </c>
      <c r="J490" s="27" t="s">
        <v>19</v>
      </c>
      <c r="K490" s="27" t="s">
        <v>240</v>
      </c>
      <c r="L490" s="27" t="s">
        <v>24</v>
      </c>
      <c r="M490" s="27" t="s">
        <v>22</v>
      </c>
      <c r="N490" s="40" t="s">
        <v>22</v>
      </c>
      <c r="O490" s="27" t="s">
        <v>22</v>
      </c>
      <c r="P490" s="27" t="s">
        <v>22</v>
      </c>
      <c r="Q490" s="41"/>
      <c r="R490" s="40"/>
    </row>
    <row r="491" spans="1:18" ht="30" customHeight="1" x14ac:dyDescent="0.3">
      <c r="A491" s="26" t="str">
        <f t="shared" si="14"/>
        <v>2027국민대</v>
      </c>
      <c r="B491" s="26">
        <f>COUNTIFS($A$4:A491,A491)</f>
        <v>7</v>
      </c>
      <c r="C491" s="26" t="str">
        <f t="shared" si="15"/>
        <v>2027국민대7</v>
      </c>
      <c r="E491" s="39" t="s">
        <v>148</v>
      </c>
      <c r="F491" s="26" t="s">
        <v>17</v>
      </c>
      <c r="H491" s="27" t="s">
        <v>233</v>
      </c>
      <c r="I491" s="27">
        <v>2027</v>
      </c>
      <c r="J491" s="27" t="s">
        <v>237</v>
      </c>
      <c r="K491" s="27" t="s">
        <v>50</v>
      </c>
      <c r="L491" s="27" t="s">
        <v>94</v>
      </c>
      <c r="M491" s="27" t="s">
        <v>22</v>
      </c>
      <c r="N491" s="40" t="s">
        <v>169</v>
      </c>
      <c r="O491" s="27" t="s">
        <v>22</v>
      </c>
      <c r="P491" s="27" t="s">
        <v>22</v>
      </c>
      <c r="Q491" s="41"/>
      <c r="R491" s="40"/>
    </row>
    <row r="492" spans="1:18" ht="30" customHeight="1" x14ac:dyDescent="0.3">
      <c r="A492" s="26" t="str">
        <f t="shared" si="14"/>
        <v>2027국민대</v>
      </c>
      <c r="B492" s="26">
        <f>COUNTIFS($A$4:A492,A492)</f>
        <v>8</v>
      </c>
      <c r="C492" s="26" t="str">
        <f t="shared" si="15"/>
        <v>2027국민대8</v>
      </c>
      <c r="E492" s="39" t="s">
        <v>148</v>
      </c>
      <c r="F492" s="26" t="s">
        <v>17</v>
      </c>
      <c r="H492" s="27" t="s">
        <v>233</v>
      </c>
      <c r="I492" s="27">
        <v>2027</v>
      </c>
      <c r="J492" s="27" t="s">
        <v>237</v>
      </c>
      <c r="K492" s="27" t="s">
        <v>50</v>
      </c>
      <c r="L492" s="27" t="s">
        <v>95</v>
      </c>
      <c r="M492" s="27" t="s">
        <v>22</v>
      </c>
      <c r="N492" s="40" t="s">
        <v>235</v>
      </c>
      <c r="O492" s="27" t="s">
        <v>22</v>
      </c>
      <c r="P492" s="27" t="s">
        <v>28</v>
      </c>
      <c r="Q492" s="41"/>
      <c r="R492" s="40"/>
    </row>
    <row r="493" spans="1:18" ht="30" customHeight="1" x14ac:dyDescent="0.3">
      <c r="A493" s="26" t="str">
        <f t="shared" si="14"/>
        <v>2025숭실대</v>
      </c>
      <c r="B493" s="26">
        <f>COUNTIFS($A$4:A493,A493)</f>
        <v>1</v>
      </c>
      <c r="C493" s="26" t="str">
        <f t="shared" si="15"/>
        <v>2025숭실대1</v>
      </c>
      <c r="E493" s="39" t="s">
        <v>148</v>
      </c>
      <c r="F493" s="26" t="s">
        <v>17</v>
      </c>
      <c r="H493" s="27" t="s">
        <v>241</v>
      </c>
      <c r="I493" s="27">
        <v>2025</v>
      </c>
      <c r="J493" s="27" t="s">
        <v>38</v>
      </c>
      <c r="K493" s="27" t="s">
        <v>242</v>
      </c>
      <c r="L493" s="27" t="s">
        <v>21</v>
      </c>
      <c r="M493" s="27" t="s">
        <v>22</v>
      </c>
      <c r="N493" s="40" t="s">
        <v>193</v>
      </c>
      <c r="O493" s="27" t="s">
        <v>33</v>
      </c>
      <c r="P493" s="27" t="s">
        <v>33</v>
      </c>
      <c r="Q493" s="32" t="s">
        <v>180</v>
      </c>
      <c r="R493" s="40"/>
    </row>
    <row r="494" spans="1:18" ht="30" customHeight="1" x14ac:dyDescent="0.3">
      <c r="A494" s="26" t="str">
        <f t="shared" si="14"/>
        <v>2025숭실대</v>
      </c>
      <c r="B494" s="26">
        <f>COUNTIFS($A$4:A494,A494)</f>
        <v>2</v>
      </c>
      <c r="C494" s="26" t="str">
        <f t="shared" si="15"/>
        <v>2025숭실대2</v>
      </c>
      <c r="E494" s="39" t="s">
        <v>148</v>
      </c>
      <c r="F494" s="26" t="s">
        <v>17</v>
      </c>
      <c r="H494" s="27" t="s">
        <v>241</v>
      </c>
      <c r="I494" s="27">
        <v>2025</v>
      </c>
      <c r="J494" s="27" t="s">
        <v>38</v>
      </c>
      <c r="K494" s="27" t="s">
        <v>242</v>
      </c>
      <c r="L494" s="27" t="s">
        <v>24</v>
      </c>
      <c r="M494" s="27" t="s">
        <v>22</v>
      </c>
      <c r="N494" s="40" t="s">
        <v>243</v>
      </c>
      <c r="O494" s="27" t="s">
        <v>27</v>
      </c>
      <c r="P494" s="27" t="s">
        <v>28</v>
      </c>
      <c r="Q494" s="41"/>
      <c r="R494" s="40"/>
    </row>
    <row r="495" spans="1:18" ht="30" customHeight="1" x14ac:dyDescent="0.3">
      <c r="A495" s="26" t="str">
        <f t="shared" si="14"/>
        <v>2025숭실대</v>
      </c>
      <c r="B495" s="26">
        <f>COUNTIFS($A$4:A495,A495)</f>
        <v>3</v>
      </c>
      <c r="C495" s="26" t="str">
        <f t="shared" si="15"/>
        <v>2025숭실대3</v>
      </c>
      <c r="E495" s="39" t="s">
        <v>148</v>
      </c>
      <c r="F495" s="26" t="s">
        <v>17</v>
      </c>
      <c r="H495" s="27" t="s">
        <v>241</v>
      </c>
      <c r="I495" s="27">
        <v>2025</v>
      </c>
      <c r="J495" s="27" t="s">
        <v>19</v>
      </c>
      <c r="K495" s="27" t="s">
        <v>244</v>
      </c>
      <c r="L495" s="27" t="s">
        <v>21</v>
      </c>
      <c r="M495" s="27" t="s">
        <v>22</v>
      </c>
      <c r="N495" s="40" t="s">
        <v>33</v>
      </c>
      <c r="O495" s="27" t="s">
        <v>33</v>
      </c>
      <c r="P495" s="27" t="s">
        <v>33</v>
      </c>
      <c r="Q495" s="41"/>
      <c r="R495" s="40"/>
    </row>
    <row r="496" spans="1:18" ht="30" customHeight="1" x14ac:dyDescent="0.3">
      <c r="A496" s="26" t="str">
        <f t="shared" si="14"/>
        <v>2025숭실대</v>
      </c>
      <c r="B496" s="26">
        <f>COUNTIFS($A$4:A496,A496)</f>
        <v>4</v>
      </c>
      <c r="C496" s="26" t="str">
        <f t="shared" si="15"/>
        <v>2025숭실대4</v>
      </c>
      <c r="E496" s="39" t="s">
        <v>148</v>
      </c>
      <c r="F496" s="26" t="s">
        <v>17</v>
      </c>
      <c r="H496" s="27" t="s">
        <v>241</v>
      </c>
      <c r="I496" s="27">
        <v>2025</v>
      </c>
      <c r="J496" s="27" t="s">
        <v>19</v>
      </c>
      <c r="K496" s="27" t="s">
        <v>244</v>
      </c>
      <c r="L496" s="27" t="s">
        <v>24</v>
      </c>
      <c r="M496" s="27" t="s">
        <v>22</v>
      </c>
      <c r="N496" s="40" t="s">
        <v>33</v>
      </c>
      <c r="O496" s="27" t="s">
        <v>33</v>
      </c>
      <c r="P496" s="27" t="s">
        <v>33</v>
      </c>
      <c r="Q496" s="41"/>
      <c r="R496" s="40"/>
    </row>
    <row r="497" spans="1:18" ht="30" customHeight="1" x14ac:dyDescent="0.3">
      <c r="A497" s="26" t="str">
        <f t="shared" si="14"/>
        <v>2025숭실대</v>
      </c>
      <c r="B497" s="26">
        <f>COUNTIFS($A$4:A497,A497)</f>
        <v>5</v>
      </c>
      <c r="C497" s="26" t="str">
        <f t="shared" si="15"/>
        <v>2025숭실대5</v>
      </c>
      <c r="E497" s="39" t="s">
        <v>148</v>
      </c>
      <c r="F497" s="26" t="s">
        <v>17</v>
      </c>
      <c r="H497" s="27" t="s">
        <v>241</v>
      </c>
      <c r="I497" s="27">
        <v>2025</v>
      </c>
      <c r="J497" s="27" t="s">
        <v>19</v>
      </c>
      <c r="K497" s="27" t="s">
        <v>245</v>
      </c>
      <c r="L497" s="27" t="s">
        <v>24</v>
      </c>
      <c r="M497" s="27" t="s">
        <v>22</v>
      </c>
      <c r="N497" s="40" t="s">
        <v>33</v>
      </c>
      <c r="O497" s="27" t="s">
        <v>33</v>
      </c>
      <c r="P497" s="27" t="s">
        <v>33</v>
      </c>
      <c r="Q497" s="41"/>
      <c r="R497" s="40"/>
    </row>
    <row r="498" spans="1:18" ht="30" customHeight="1" x14ac:dyDescent="0.3">
      <c r="A498" s="26" t="str">
        <f t="shared" si="14"/>
        <v>2025숭실대</v>
      </c>
      <c r="B498" s="26">
        <f>COUNTIFS($A$4:A498,A498)</f>
        <v>6</v>
      </c>
      <c r="C498" s="26" t="str">
        <f t="shared" si="15"/>
        <v>2025숭실대6</v>
      </c>
      <c r="E498" s="39" t="s">
        <v>148</v>
      </c>
      <c r="F498" s="26" t="s">
        <v>17</v>
      </c>
      <c r="H498" s="27" t="s">
        <v>241</v>
      </c>
      <c r="I498" s="27">
        <v>2025</v>
      </c>
      <c r="J498" s="27" t="s">
        <v>50</v>
      </c>
      <c r="K498" s="27" t="s">
        <v>156</v>
      </c>
      <c r="L498" s="27" t="s">
        <v>21</v>
      </c>
      <c r="M498" s="27" t="s">
        <v>22</v>
      </c>
      <c r="N498" s="40" t="s">
        <v>193</v>
      </c>
      <c r="O498" s="27" t="s">
        <v>33</v>
      </c>
      <c r="P498" s="27" t="s">
        <v>33</v>
      </c>
      <c r="Q498" s="32" t="s">
        <v>180</v>
      </c>
      <c r="R498" s="40"/>
    </row>
    <row r="499" spans="1:18" ht="30" customHeight="1" x14ac:dyDescent="0.3">
      <c r="A499" s="26" t="str">
        <f t="shared" si="14"/>
        <v>2025숭실대</v>
      </c>
      <c r="B499" s="26">
        <f>COUNTIFS($A$4:A499,A499)</f>
        <v>7</v>
      </c>
      <c r="C499" s="26" t="str">
        <f t="shared" si="15"/>
        <v>2025숭실대7</v>
      </c>
      <c r="E499" s="39" t="s">
        <v>148</v>
      </c>
      <c r="F499" s="26" t="s">
        <v>17</v>
      </c>
      <c r="H499" s="27" t="s">
        <v>241</v>
      </c>
      <c r="I499" s="27">
        <v>2025</v>
      </c>
      <c r="J499" s="27" t="s">
        <v>50</v>
      </c>
      <c r="K499" s="27" t="s">
        <v>156</v>
      </c>
      <c r="L499" s="27" t="s">
        <v>24</v>
      </c>
      <c r="M499" s="27" t="s">
        <v>22</v>
      </c>
      <c r="N499" s="40" t="s">
        <v>193</v>
      </c>
      <c r="O499" s="27" t="s">
        <v>33</v>
      </c>
      <c r="P499" s="27" t="s">
        <v>33</v>
      </c>
      <c r="Q499" s="32" t="s">
        <v>246</v>
      </c>
      <c r="R499" s="40"/>
    </row>
    <row r="500" spans="1:18" ht="30" customHeight="1" x14ac:dyDescent="0.3">
      <c r="A500" s="26" t="str">
        <f t="shared" si="14"/>
        <v>2026숭실대</v>
      </c>
      <c r="B500" s="26">
        <f>COUNTIFS($A$4:A500,A500)</f>
        <v>1</v>
      </c>
      <c r="C500" s="26" t="str">
        <f t="shared" si="15"/>
        <v>2026숭실대1</v>
      </c>
      <c r="E500" s="39" t="s">
        <v>148</v>
      </c>
      <c r="F500" s="26" t="s">
        <v>17</v>
      </c>
      <c r="H500" s="27" t="s">
        <v>241</v>
      </c>
      <c r="I500" s="27">
        <v>2026</v>
      </c>
      <c r="J500" s="27" t="s">
        <v>38</v>
      </c>
      <c r="K500" s="27" t="s">
        <v>242</v>
      </c>
      <c r="L500" s="27" t="s">
        <v>21</v>
      </c>
      <c r="M500" s="27" t="s">
        <v>22</v>
      </c>
      <c r="N500" s="40" t="s">
        <v>169</v>
      </c>
      <c r="O500" s="27" t="s">
        <v>22</v>
      </c>
      <c r="P500" s="27" t="s">
        <v>22</v>
      </c>
      <c r="Q500" s="32" t="s">
        <v>180</v>
      </c>
      <c r="R500" s="40"/>
    </row>
    <row r="501" spans="1:18" ht="30" customHeight="1" x14ac:dyDescent="0.3">
      <c r="A501" s="26" t="str">
        <f t="shared" si="14"/>
        <v>2026숭실대</v>
      </c>
      <c r="B501" s="26">
        <f>COUNTIFS($A$4:A501,A501)</f>
        <v>2</v>
      </c>
      <c r="C501" s="26" t="str">
        <f t="shared" si="15"/>
        <v>2026숭실대2</v>
      </c>
      <c r="E501" s="39" t="s">
        <v>148</v>
      </c>
      <c r="F501" s="26" t="s">
        <v>17</v>
      </c>
      <c r="H501" s="27" t="s">
        <v>241</v>
      </c>
      <c r="I501" s="27">
        <v>2026</v>
      </c>
      <c r="J501" s="27" t="s">
        <v>38</v>
      </c>
      <c r="K501" s="27" t="s">
        <v>242</v>
      </c>
      <c r="L501" s="27" t="s">
        <v>24</v>
      </c>
      <c r="M501" s="27" t="s">
        <v>22</v>
      </c>
      <c r="N501" s="40" t="s">
        <v>247</v>
      </c>
      <c r="O501" s="27" t="s">
        <v>217</v>
      </c>
      <c r="P501" s="27" t="s">
        <v>55</v>
      </c>
      <c r="Q501" s="32" t="s">
        <v>180</v>
      </c>
      <c r="R501" s="40"/>
    </row>
    <row r="502" spans="1:18" ht="30" customHeight="1" x14ac:dyDescent="0.3">
      <c r="A502" s="26" t="str">
        <f t="shared" si="14"/>
        <v>2026숭실대</v>
      </c>
      <c r="B502" s="26">
        <f>COUNTIFS($A$4:A502,A502)</f>
        <v>3</v>
      </c>
      <c r="C502" s="26" t="str">
        <f t="shared" si="15"/>
        <v>2026숭실대3</v>
      </c>
      <c r="E502" s="39" t="s">
        <v>148</v>
      </c>
      <c r="F502" s="26" t="s">
        <v>17</v>
      </c>
      <c r="H502" s="27" t="s">
        <v>241</v>
      </c>
      <c r="I502" s="27">
        <v>2026</v>
      </c>
      <c r="J502" s="27" t="s">
        <v>19</v>
      </c>
      <c r="K502" s="27" t="s">
        <v>244</v>
      </c>
      <c r="L502" s="27" t="s">
        <v>21</v>
      </c>
      <c r="M502" s="27" t="s">
        <v>22</v>
      </c>
      <c r="N502" s="40" t="s">
        <v>33</v>
      </c>
      <c r="O502" s="27" t="s">
        <v>22</v>
      </c>
      <c r="P502" s="27" t="s">
        <v>22</v>
      </c>
      <c r="Q502" s="41"/>
      <c r="R502" s="40"/>
    </row>
    <row r="503" spans="1:18" ht="30" customHeight="1" x14ac:dyDescent="0.3">
      <c r="A503" s="26" t="str">
        <f t="shared" si="14"/>
        <v>2026숭실대</v>
      </c>
      <c r="B503" s="26">
        <f>COUNTIFS($A$4:A503,A503)</f>
        <v>4</v>
      </c>
      <c r="C503" s="26" t="str">
        <f t="shared" si="15"/>
        <v>2026숭실대4</v>
      </c>
      <c r="E503" s="39" t="s">
        <v>148</v>
      </c>
      <c r="F503" s="26" t="s">
        <v>17</v>
      </c>
      <c r="H503" s="27" t="s">
        <v>241</v>
      </c>
      <c r="I503" s="27">
        <v>2026</v>
      </c>
      <c r="J503" s="27" t="s">
        <v>19</v>
      </c>
      <c r="K503" s="27" t="s">
        <v>244</v>
      </c>
      <c r="L503" s="27" t="s">
        <v>24</v>
      </c>
      <c r="M503" s="27" t="s">
        <v>22</v>
      </c>
      <c r="N503" s="40" t="s">
        <v>33</v>
      </c>
      <c r="O503" s="27" t="s">
        <v>22</v>
      </c>
      <c r="P503" s="27" t="s">
        <v>22</v>
      </c>
      <c r="Q503" s="41"/>
      <c r="R503" s="40"/>
    </row>
    <row r="504" spans="1:18" ht="30" customHeight="1" x14ac:dyDescent="0.3">
      <c r="A504" s="26" t="str">
        <f t="shared" si="14"/>
        <v>2026숭실대</v>
      </c>
      <c r="B504" s="26">
        <f>COUNTIFS($A$4:A504,A504)</f>
        <v>5</v>
      </c>
      <c r="C504" s="26" t="str">
        <f t="shared" si="15"/>
        <v>2026숭실대5</v>
      </c>
      <c r="E504" s="39" t="s">
        <v>148</v>
      </c>
      <c r="F504" s="26" t="s">
        <v>17</v>
      </c>
      <c r="H504" s="27" t="s">
        <v>241</v>
      </c>
      <c r="I504" s="27">
        <v>2026</v>
      </c>
      <c r="J504" s="27" t="s">
        <v>19</v>
      </c>
      <c r="K504" s="27" t="s">
        <v>245</v>
      </c>
      <c r="L504" s="27" t="s">
        <v>24</v>
      </c>
      <c r="M504" s="27" t="s">
        <v>22</v>
      </c>
      <c r="N504" s="40" t="s">
        <v>33</v>
      </c>
      <c r="O504" s="27" t="s">
        <v>22</v>
      </c>
      <c r="P504" s="27" t="s">
        <v>22</v>
      </c>
      <c r="Q504" s="41"/>
      <c r="R504" s="40"/>
    </row>
    <row r="505" spans="1:18" ht="30" customHeight="1" x14ac:dyDescent="0.3">
      <c r="A505" s="26" t="str">
        <f t="shared" si="14"/>
        <v>2026숭실대</v>
      </c>
      <c r="B505" s="26">
        <f>COUNTIFS($A$4:A505,A505)</f>
        <v>6</v>
      </c>
      <c r="C505" s="26" t="str">
        <f t="shared" si="15"/>
        <v>2026숭실대6</v>
      </c>
      <c r="E505" s="39" t="s">
        <v>148</v>
      </c>
      <c r="F505" s="26" t="s">
        <v>17</v>
      </c>
      <c r="H505" s="27" t="s">
        <v>241</v>
      </c>
      <c r="I505" s="27">
        <v>2026</v>
      </c>
      <c r="J505" s="27" t="s">
        <v>50</v>
      </c>
      <c r="K505" s="27" t="s">
        <v>156</v>
      </c>
      <c r="L505" s="27" t="s">
        <v>21</v>
      </c>
      <c r="M505" s="27" t="s">
        <v>22</v>
      </c>
      <c r="N505" s="40" t="s">
        <v>193</v>
      </c>
      <c r="O505" s="27" t="s">
        <v>22</v>
      </c>
      <c r="P505" s="27" t="s">
        <v>22</v>
      </c>
      <c r="Q505" s="41"/>
      <c r="R505" s="40"/>
    </row>
    <row r="506" spans="1:18" ht="30" customHeight="1" x14ac:dyDescent="0.3">
      <c r="A506" s="26" t="str">
        <f t="shared" si="14"/>
        <v>2026숭실대</v>
      </c>
      <c r="B506" s="26">
        <f>COUNTIFS($A$4:A506,A506)</f>
        <v>7</v>
      </c>
      <c r="C506" s="26" t="str">
        <f t="shared" si="15"/>
        <v>2026숭실대7</v>
      </c>
      <c r="E506" s="39" t="s">
        <v>148</v>
      </c>
      <c r="F506" s="26" t="s">
        <v>17</v>
      </c>
      <c r="H506" s="27" t="s">
        <v>241</v>
      </c>
      <c r="I506" s="27">
        <v>2026</v>
      </c>
      <c r="J506" s="27" t="s">
        <v>50</v>
      </c>
      <c r="K506" s="27" t="s">
        <v>156</v>
      </c>
      <c r="L506" s="27" t="s">
        <v>24</v>
      </c>
      <c r="M506" s="27" t="s">
        <v>22</v>
      </c>
      <c r="N506" s="40" t="s">
        <v>193</v>
      </c>
      <c r="O506" s="27" t="s">
        <v>22</v>
      </c>
      <c r="P506" s="27" t="s">
        <v>22</v>
      </c>
      <c r="Q506" s="41"/>
      <c r="R506" s="40"/>
    </row>
    <row r="507" spans="1:18" ht="30" customHeight="1" x14ac:dyDescent="0.3">
      <c r="A507" s="26" t="str">
        <f t="shared" si="14"/>
        <v>2027숭실대</v>
      </c>
      <c r="B507" s="26">
        <f>COUNTIFS($A$4:A507,A507)</f>
        <v>1</v>
      </c>
      <c r="C507" s="26" t="str">
        <f t="shared" si="15"/>
        <v>2027숭실대1</v>
      </c>
      <c r="E507" s="39" t="s">
        <v>148</v>
      </c>
      <c r="F507" s="26" t="s">
        <v>17</v>
      </c>
      <c r="H507" s="27" t="s">
        <v>241</v>
      </c>
      <c r="I507" s="27">
        <v>2027</v>
      </c>
      <c r="J507" s="27" t="s">
        <v>38</v>
      </c>
      <c r="K507" s="27" t="s">
        <v>221</v>
      </c>
      <c r="L507" s="27" t="s">
        <v>21</v>
      </c>
      <c r="M507" s="27" t="s">
        <v>22</v>
      </c>
      <c r="N507" s="40" t="s">
        <v>169</v>
      </c>
      <c r="O507" s="27" t="s">
        <v>22</v>
      </c>
      <c r="P507" s="27" t="s">
        <v>22</v>
      </c>
      <c r="Q507" s="32" t="s">
        <v>141</v>
      </c>
      <c r="R507" s="40"/>
    </row>
    <row r="508" spans="1:18" ht="30" customHeight="1" x14ac:dyDescent="0.3">
      <c r="A508" s="26" t="str">
        <f t="shared" si="14"/>
        <v>2027숭실대</v>
      </c>
      <c r="B508" s="26">
        <f>COUNTIFS($A$4:A508,A508)</f>
        <v>2</v>
      </c>
      <c r="C508" s="26" t="str">
        <f t="shared" si="15"/>
        <v>2027숭실대2</v>
      </c>
      <c r="E508" s="39" t="s">
        <v>148</v>
      </c>
      <c r="F508" s="26" t="s">
        <v>17</v>
      </c>
      <c r="H508" s="27" t="s">
        <v>241</v>
      </c>
      <c r="I508" s="27">
        <v>2027</v>
      </c>
      <c r="J508" s="27" t="s">
        <v>38</v>
      </c>
      <c r="K508" s="27" t="s">
        <v>221</v>
      </c>
      <c r="L508" s="27" t="s">
        <v>24</v>
      </c>
      <c r="M508" s="27" t="s">
        <v>22</v>
      </c>
      <c r="N508" s="40" t="s">
        <v>169</v>
      </c>
      <c r="O508" s="27" t="s">
        <v>22</v>
      </c>
      <c r="P508" s="27" t="s">
        <v>22</v>
      </c>
      <c r="Q508" s="30" t="s">
        <v>248</v>
      </c>
      <c r="R508" s="40"/>
    </row>
    <row r="509" spans="1:18" ht="30" customHeight="1" x14ac:dyDescent="0.3">
      <c r="A509" s="26" t="str">
        <f t="shared" si="14"/>
        <v>2027숭실대</v>
      </c>
      <c r="B509" s="26">
        <f>COUNTIFS($A$4:A509,A509)</f>
        <v>3</v>
      </c>
      <c r="C509" s="26" t="str">
        <f t="shared" si="15"/>
        <v>2027숭실대3</v>
      </c>
      <c r="E509" s="39" t="s">
        <v>148</v>
      </c>
      <c r="F509" s="26" t="s">
        <v>17</v>
      </c>
      <c r="H509" s="27" t="s">
        <v>241</v>
      </c>
      <c r="I509" s="27">
        <v>2027</v>
      </c>
      <c r="J509" s="27" t="s">
        <v>19</v>
      </c>
      <c r="K509" s="27" t="s">
        <v>249</v>
      </c>
      <c r="L509" s="27" t="s">
        <v>21</v>
      </c>
      <c r="M509" s="27" t="s">
        <v>22</v>
      </c>
      <c r="N509" s="40" t="s">
        <v>33</v>
      </c>
      <c r="O509" s="27" t="s">
        <v>22</v>
      </c>
      <c r="P509" s="27" t="s">
        <v>22</v>
      </c>
      <c r="Q509" s="41"/>
      <c r="R509" s="40"/>
    </row>
    <row r="510" spans="1:18" ht="30" customHeight="1" x14ac:dyDescent="0.3">
      <c r="A510" s="26" t="str">
        <f t="shared" si="14"/>
        <v>2027숭실대</v>
      </c>
      <c r="B510" s="26">
        <f>COUNTIFS($A$4:A510,A510)</f>
        <v>4</v>
      </c>
      <c r="C510" s="26" t="str">
        <f t="shared" si="15"/>
        <v>2027숭실대4</v>
      </c>
      <c r="E510" s="39" t="s">
        <v>148</v>
      </c>
      <c r="F510" s="26" t="s">
        <v>17</v>
      </c>
      <c r="H510" s="27" t="s">
        <v>241</v>
      </c>
      <c r="I510" s="27">
        <v>2027</v>
      </c>
      <c r="J510" s="27" t="s">
        <v>19</v>
      </c>
      <c r="K510" s="27" t="s">
        <v>249</v>
      </c>
      <c r="L510" s="27" t="s">
        <v>24</v>
      </c>
      <c r="M510" s="27" t="s">
        <v>22</v>
      </c>
      <c r="N510" s="40" t="s">
        <v>33</v>
      </c>
      <c r="O510" s="27" t="s">
        <v>22</v>
      </c>
      <c r="P510" s="27" t="s">
        <v>22</v>
      </c>
      <c r="Q510" s="41"/>
      <c r="R510" s="40"/>
    </row>
    <row r="511" spans="1:18" ht="30" customHeight="1" x14ac:dyDescent="0.3">
      <c r="A511" s="26" t="str">
        <f t="shared" si="14"/>
        <v>2027숭실대</v>
      </c>
      <c r="B511" s="26">
        <f>COUNTIFS($A$4:A511,A511)</f>
        <v>5</v>
      </c>
      <c r="C511" s="26" t="str">
        <f t="shared" si="15"/>
        <v>2027숭실대5</v>
      </c>
      <c r="E511" s="39" t="s">
        <v>148</v>
      </c>
      <c r="F511" s="26" t="s">
        <v>17</v>
      </c>
      <c r="H511" s="27" t="s">
        <v>241</v>
      </c>
      <c r="I511" s="27">
        <v>2027</v>
      </c>
      <c r="J511" s="27" t="s">
        <v>19</v>
      </c>
      <c r="K511" s="27" t="s">
        <v>250</v>
      </c>
      <c r="L511" s="27" t="s">
        <v>24</v>
      </c>
      <c r="M511" s="27" t="s">
        <v>22</v>
      </c>
      <c r="N511" s="40" t="s">
        <v>33</v>
      </c>
      <c r="O511" s="27" t="s">
        <v>22</v>
      </c>
      <c r="P511" s="27" t="s">
        <v>22</v>
      </c>
      <c r="Q511" s="32" t="s">
        <v>144</v>
      </c>
      <c r="R511" s="40"/>
    </row>
    <row r="512" spans="1:18" ht="30" customHeight="1" x14ac:dyDescent="0.3">
      <c r="A512" s="26" t="str">
        <f t="shared" si="14"/>
        <v>2027숭실대</v>
      </c>
      <c r="B512" s="26">
        <f>COUNTIFS($A$4:A512,A512)</f>
        <v>6</v>
      </c>
      <c r="C512" s="26" t="str">
        <f t="shared" si="15"/>
        <v>2027숭실대6</v>
      </c>
      <c r="E512" s="39" t="s">
        <v>148</v>
      </c>
      <c r="F512" s="26" t="s">
        <v>17</v>
      </c>
      <c r="H512" s="27" t="s">
        <v>241</v>
      </c>
      <c r="I512" s="27">
        <v>2027</v>
      </c>
      <c r="J512" s="27" t="s">
        <v>19</v>
      </c>
      <c r="K512" s="27" t="s">
        <v>250</v>
      </c>
      <c r="L512" s="27" t="s">
        <v>21</v>
      </c>
      <c r="M512" s="27" t="s">
        <v>22</v>
      </c>
      <c r="N512" s="40" t="s">
        <v>33</v>
      </c>
      <c r="O512" s="27" t="s">
        <v>22</v>
      </c>
      <c r="P512" s="27" t="s">
        <v>22</v>
      </c>
      <c r="Q512" s="32" t="s">
        <v>144</v>
      </c>
      <c r="R512" s="40"/>
    </row>
    <row r="513" spans="1:18" ht="30" customHeight="1" x14ac:dyDescent="0.3">
      <c r="A513" s="26" t="str">
        <f t="shared" si="14"/>
        <v>2027숭실대</v>
      </c>
      <c r="B513" s="26">
        <f>COUNTIFS($A$4:A513,A513)</f>
        <v>7</v>
      </c>
      <c r="C513" s="26" t="str">
        <f t="shared" si="15"/>
        <v>2027숭실대7</v>
      </c>
      <c r="E513" s="39" t="s">
        <v>148</v>
      </c>
      <c r="F513" s="26" t="s">
        <v>17</v>
      </c>
      <c r="H513" s="27" t="s">
        <v>241</v>
      </c>
      <c r="I513" s="27">
        <v>2027</v>
      </c>
      <c r="J513" s="27" t="s">
        <v>19</v>
      </c>
      <c r="K513" s="27" t="s">
        <v>245</v>
      </c>
      <c r="L513" s="27" t="s">
        <v>24</v>
      </c>
      <c r="M513" s="27" t="s">
        <v>22</v>
      </c>
      <c r="N513" s="40" t="s">
        <v>33</v>
      </c>
      <c r="O513" s="27" t="s">
        <v>22</v>
      </c>
      <c r="P513" s="27" t="s">
        <v>22</v>
      </c>
      <c r="Q513" s="41"/>
      <c r="R513" s="40"/>
    </row>
    <row r="514" spans="1:18" ht="30" customHeight="1" x14ac:dyDescent="0.3">
      <c r="A514" s="26" t="str">
        <f t="shared" si="14"/>
        <v>2027숭실대</v>
      </c>
      <c r="B514" s="26">
        <f>COUNTIFS($A$4:A514,A514)</f>
        <v>8</v>
      </c>
      <c r="C514" s="26" t="str">
        <f t="shared" si="15"/>
        <v>2027숭실대8</v>
      </c>
      <c r="E514" s="39" t="s">
        <v>148</v>
      </c>
      <c r="F514" s="26" t="s">
        <v>17</v>
      </c>
      <c r="H514" s="27" t="s">
        <v>241</v>
      </c>
      <c r="I514" s="27">
        <v>2027</v>
      </c>
      <c r="J514" s="27" t="s">
        <v>50</v>
      </c>
      <c r="K514" s="27" t="s">
        <v>156</v>
      </c>
      <c r="L514" s="27" t="s">
        <v>21</v>
      </c>
      <c r="M514" s="27" t="s">
        <v>22</v>
      </c>
      <c r="N514" s="40" t="s">
        <v>169</v>
      </c>
      <c r="O514" s="27" t="s">
        <v>22</v>
      </c>
      <c r="P514" s="27" t="s">
        <v>22</v>
      </c>
      <c r="Q514" s="32" t="s">
        <v>180</v>
      </c>
      <c r="R514" s="40"/>
    </row>
    <row r="515" spans="1:18" ht="30" customHeight="1" x14ac:dyDescent="0.3">
      <c r="A515" s="26" t="str">
        <f t="shared" si="14"/>
        <v>2027숭실대</v>
      </c>
      <c r="B515" s="26">
        <f>COUNTIFS($A$4:A515,A515)</f>
        <v>9</v>
      </c>
      <c r="C515" s="26" t="str">
        <f t="shared" si="15"/>
        <v>2027숭실대9</v>
      </c>
      <c r="E515" s="39" t="s">
        <v>148</v>
      </c>
      <c r="F515" s="26" t="s">
        <v>17</v>
      </c>
      <c r="H515" s="27" t="s">
        <v>241</v>
      </c>
      <c r="I515" s="27">
        <v>2027</v>
      </c>
      <c r="J515" s="27" t="s">
        <v>50</v>
      </c>
      <c r="K515" s="27" t="s">
        <v>156</v>
      </c>
      <c r="L515" s="27" t="s">
        <v>24</v>
      </c>
      <c r="M515" s="27" t="s">
        <v>22</v>
      </c>
      <c r="N515" s="40" t="s">
        <v>169</v>
      </c>
      <c r="O515" s="27" t="s">
        <v>22</v>
      </c>
      <c r="P515" s="27" t="s">
        <v>22</v>
      </c>
      <c r="Q515" s="32" t="s">
        <v>180</v>
      </c>
      <c r="R515" s="40"/>
    </row>
    <row r="516" spans="1:18" ht="30" customHeight="1" x14ac:dyDescent="0.3">
      <c r="A516" s="26" t="str">
        <f t="shared" ref="A516:A579" si="16">I516&amp;H516</f>
        <v>2025세종대</v>
      </c>
      <c r="B516" s="26">
        <f>COUNTIFS($A$4:A516,A516)</f>
        <v>1</v>
      </c>
      <c r="C516" s="26" t="str">
        <f t="shared" ref="C516:C579" si="17">A516&amp;B516</f>
        <v>2025세종대1</v>
      </c>
      <c r="E516" s="39" t="s">
        <v>148</v>
      </c>
      <c r="F516" s="26" t="s">
        <v>17</v>
      </c>
      <c r="H516" s="27" t="s">
        <v>251</v>
      </c>
      <c r="I516" s="27">
        <v>2025</v>
      </c>
      <c r="J516" s="27" t="s">
        <v>38</v>
      </c>
      <c r="K516" s="27" t="s">
        <v>20</v>
      </c>
      <c r="L516" s="27" t="s">
        <v>21</v>
      </c>
      <c r="M516" s="27" t="s">
        <v>22</v>
      </c>
      <c r="N516" s="40" t="s">
        <v>169</v>
      </c>
      <c r="O516" s="27" t="s">
        <v>33</v>
      </c>
      <c r="P516" s="27" t="s">
        <v>33</v>
      </c>
      <c r="Q516" s="41"/>
      <c r="R516" s="40"/>
    </row>
    <row r="517" spans="1:18" ht="30" customHeight="1" x14ac:dyDescent="0.3">
      <c r="A517" s="26" t="str">
        <f t="shared" si="16"/>
        <v>2025세종대</v>
      </c>
      <c r="B517" s="26">
        <f>COUNTIFS($A$4:A517,A517)</f>
        <v>2</v>
      </c>
      <c r="C517" s="26" t="str">
        <f t="shared" si="17"/>
        <v>2025세종대2</v>
      </c>
      <c r="E517" s="39" t="s">
        <v>148</v>
      </c>
      <c r="F517" s="26" t="s">
        <v>17</v>
      </c>
      <c r="H517" s="27" t="s">
        <v>251</v>
      </c>
      <c r="I517" s="27">
        <v>2025</v>
      </c>
      <c r="J517" s="27" t="s">
        <v>38</v>
      </c>
      <c r="K517" s="27" t="s">
        <v>20</v>
      </c>
      <c r="L517" s="27" t="s">
        <v>24</v>
      </c>
      <c r="M517" s="27" t="s">
        <v>22</v>
      </c>
      <c r="N517" s="40" t="s">
        <v>169</v>
      </c>
      <c r="O517" s="27" t="s">
        <v>33</v>
      </c>
      <c r="P517" s="27" t="s">
        <v>33</v>
      </c>
      <c r="Q517" s="41"/>
      <c r="R517" s="40"/>
    </row>
    <row r="518" spans="1:18" ht="30" customHeight="1" x14ac:dyDescent="0.3">
      <c r="A518" s="26" t="str">
        <f t="shared" si="16"/>
        <v>2025세종대</v>
      </c>
      <c r="B518" s="26">
        <f>COUNTIFS($A$4:A518,A518)</f>
        <v>3</v>
      </c>
      <c r="C518" s="26" t="str">
        <f t="shared" si="17"/>
        <v>2025세종대3</v>
      </c>
      <c r="E518" s="39" t="s">
        <v>148</v>
      </c>
      <c r="F518" s="26" t="s">
        <v>17</v>
      </c>
      <c r="H518" s="27" t="s">
        <v>251</v>
      </c>
      <c r="I518" s="27">
        <v>2025</v>
      </c>
      <c r="J518" s="27" t="s">
        <v>38</v>
      </c>
      <c r="K518" s="27" t="s">
        <v>20</v>
      </c>
      <c r="L518" s="27" t="s">
        <v>188</v>
      </c>
      <c r="M518" s="27" t="s">
        <v>22</v>
      </c>
      <c r="N518" s="29" t="s">
        <v>252</v>
      </c>
      <c r="O518" s="27" t="s">
        <v>33</v>
      </c>
      <c r="P518" s="27" t="s">
        <v>33</v>
      </c>
      <c r="Q518" s="41"/>
      <c r="R518" s="40"/>
    </row>
    <row r="519" spans="1:18" ht="30" customHeight="1" x14ac:dyDescent="0.3">
      <c r="A519" s="26" t="str">
        <f t="shared" si="16"/>
        <v>2025세종대</v>
      </c>
      <c r="B519" s="26">
        <f>COUNTIFS($A$4:A519,A519)</f>
        <v>4</v>
      </c>
      <c r="C519" s="26" t="str">
        <f t="shared" si="17"/>
        <v>2025세종대4</v>
      </c>
      <c r="E519" s="39" t="s">
        <v>148</v>
      </c>
      <c r="F519" s="26" t="s">
        <v>17</v>
      </c>
      <c r="H519" s="27" t="s">
        <v>251</v>
      </c>
      <c r="I519" s="27">
        <v>2025</v>
      </c>
      <c r="J519" s="27" t="s">
        <v>38</v>
      </c>
      <c r="K519" s="27" t="s">
        <v>253</v>
      </c>
      <c r="L519" s="27" t="s">
        <v>24</v>
      </c>
      <c r="M519" s="27" t="s">
        <v>22</v>
      </c>
      <c r="N519" s="40" t="s">
        <v>254</v>
      </c>
      <c r="O519" s="27" t="s">
        <v>33</v>
      </c>
      <c r="P519" s="27" t="s">
        <v>33</v>
      </c>
      <c r="Q519" s="41"/>
      <c r="R519" s="40"/>
    </row>
    <row r="520" spans="1:18" ht="30" customHeight="1" x14ac:dyDescent="0.3">
      <c r="A520" s="26" t="str">
        <f t="shared" si="16"/>
        <v>2025세종대</v>
      </c>
      <c r="B520" s="26">
        <f>COUNTIFS($A$4:A520,A520)</f>
        <v>5</v>
      </c>
      <c r="C520" s="26" t="str">
        <f t="shared" si="17"/>
        <v>2025세종대5</v>
      </c>
      <c r="E520" s="39" t="s">
        <v>148</v>
      </c>
      <c r="F520" s="26" t="s">
        <v>17</v>
      </c>
      <c r="H520" s="27" t="s">
        <v>251</v>
      </c>
      <c r="I520" s="27">
        <v>2025</v>
      </c>
      <c r="J520" s="27" t="s">
        <v>19</v>
      </c>
      <c r="K520" s="27" t="s">
        <v>255</v>
      </c>
      <c r="L520" s="27" t="s">
        <v>21</v>
      </c>
      <c r="M520" s="27" t="s">
        <v>22</v>
      </c>
      <c r="N520" s="40" t="s">
        <v>33</v>
      </c>
      <c r="O520" s="27" t="s">
        <v>33</v>
      </c>
      <c r="P520" s="27" t="s">
        <v>33</v>
      </c>
      <c r="Q520" s="41"/>
      <c r="R520" s="40"/>
    </row>
    <row r="521" spans="1:18" ht="30" customHeight="1" x14ac:dyDescent="0.3">
      <c r="A521" s="26" t="str">
        <f t="shared" si="16"/>
        <v>2025세종대</v>
      </c>
      <c r="B521" s="26">
        <f>COUNTIFS($A$4:A521,A521)</f>
        <v>6</v>
      </c>
      <c r="C521" s="26" t="str">
        <f t="shared" si="17"/>
        <v>2025세종대6</v>
      </c>
      <c r="E521" s="39" t="s">
        <v>148</v>
      </c>
      <c r="F521" s="26" t="s">
        <v>17</v>
      </c>
      <c r="H521" s="27" t="s">
        <v>251</v>
      </c>
      <c r="I521" s="27">
        <v>2025</v>
      </c>
      <c r="J521" s="27" t="s">
        <v>19</v>
      </c>
      <c r="K521" s="27" t="s">
        <v>255</v>
      </c>
      <c r="L521" s="27" t="s">
        <v>24</v>
      </c>
      <c r="M521" s="27" t="s">
        <v>22</v>
      </c>
      <c r="N521" s="40" t="s">
        <v>33</v>
      </c>
      <c r="O521" s="27" t="s">
        <v>33</v>
      </c>
      <c r="P521" s="27" t="s">
        <v>33</v>
      </c>
      <c r="Q521" s="41"/>
      <c r="R521" s="40"/>
    </row>
    <row r="522" spans="1:18" ht="30" customHeight="1" x14ac:dyDescent="0.3">
      <c r="A522" s="26" t="str">
        <f t="shared" si="16"/>
        <v>2025세종대</v>
      </c>
      <c r="B522" s="26">
        <f>COUNTIFS($A$4:A522,A522)</f>
        <v>7</v>
      </c>
      <c r="C522" s="26" t="str">
        <f t="shared" si="17"/>
        <v>2025세종대7</v>
      </c>
      <c r="E522" s="39" t="s">
        <v>148</v>
      </c>
      <c r="F522" s="26" t="s">
        <v>17</v>
      </c>
      <c r="H522" s="27" t="s">
        <v>251</v>
      </c>
      <c r="I522" s="27">
        <v>2025</v>
      </c>
      <c r="J522" s="27" t="s">
        <v>19</v>
      </c>
      <c r="K522" s="27" t="s">
        <v>256</v>
      </c>
      <c r="L522" s="27" t="s">
        <v>21</v>
      </c>
      <c r="M522" s="27" t="s">
        <v>22</v>
      </c>
      <c r="N522" s="40" t="s">
        <v>33</v>
      </c>
      <c r="O522" s="27" t="s">
        <v>33</v>
      </c>
      <c r="P522" s="27" t="s">
        <v>33</v>
      </c>
      <c r="Q522" s="41"/>
      <c r="R522" s="40"/>
    </row>
    <row r="523" spans="1:18" ht="30" customHeight="1" x14ac:dyDescent="0.3">
      <c r="A523" s="26" t="str">
        <f t="shared" si="16"/>
        <v>2025세종대</v>
      </c>
      <c r="B523" s="26">
        <f>COUNTIFS($A$4:A523,A523)</f>
        <v>8</v>
      </c>
      <c r="C523" s="26" t="str">
        <f t="shared" si="17"/>
        <v>2025세종대8</v>
      </c>
      <c r="E523" s="39" t="s">
        <v>148</v>
      </c>
      <c r="F523" s="26" t="s">
        <v>17</v>
      </c>
      <c r="H523" s="27" t="s">
        <v>251</v>
      </c>
      <c r="I523" s="27">
        <v>2025</v>
      </c>
      <c r="J523" s="27" t="s">
        <v>19</v>
      </c>
      <c r="K523" s="27" t="s">
        <v>256</v>
      </c>
      <c r="L523" s="27" t="s">
        <v>24</v>
      </c>
      <c r="M523" s="27" t="s">
        <v>22</v>
      </c>
      <c r="N523" s="40" t="s">
        <v>33</v>
      </c>
      <c r="O523" s="27" t="s">
        <v>33</v>
      </c>
      <c r="P523" s="27" t="s">
        <v>33</v>
      </c>
      <c r="Q523" s="41"/>
      <c r="R523" s="40"/>
    </row>
    <row r="524" spans="1:18" ht="30" customHeight="1" x14ac:dyDescent="0.3">
      <c r="A524" s="26" t="str">
        <f t="shared" si="16"/>
        <v>2025세종대</v>
      </c>
      <c r="B524" s="26">
        <f>COUNTIFS($A$4:A524,A524)</f>
        <v>9</v>
      </c>
      <c r="C524" s="26" t="str">
        <f t="shared" si="17"/>
        <v>2025세종대9</v>
      </c>
      <c r="E524" s="39" t="s">
        <v>148</v>
      </c>
      <c r="F524" s="26" t="s">
        <v>17</v>
      </c>
      <c r="H524" s="27" t="s">
        <v>251</v>
      </c>
      <c r="I524" s="27">
        <v>2025</v>
      </c>
      <c r="J524" s="27" t="s">
        <v>19</v>
      </c>
      <c r="K524" s="27" t="s">
        <v>257</v>
      </c>
      <c r="L524" s="27" t="s">
        <v>24</v>
      </c>
      <c r="M524" s="27" t="s">
        <v>22</v>
      </c>
      <c r="N524" s="40" t="s">
        <v>33</v>
      </c>
      <c r="O524" s="27" t="s">
        <v>33</v>
      </c>
      <c r="P524" s="27" t="s">
        <v>33</v>
      </c>
      <c r="Q524" s="41"/>
      <c r="R524" s="40"/>
    </row>
    <row r="525" spans="1:18" ht="30" customHeight="1" x14ac:dyDescent="0.3">
      <c r="A525" s="26" t="str">
        <f t="shared" si="16"/>
        <v>2025세종대</v>
      </c>
      <c r="B525" s="26">
        <f>COUNTIFS($A$4:A525,A525)</f>
        <v>10</v>
      </c>
      <c r="C525" s="26" t="str">
        <f t="shared" si="17"/>
        <v>2025세종대10</v>
      </c>
      <c r="E525" s="39" t="s">
        <v>148</v>
      </c>
      <c r="F525" s="26" t="s">
        <v>17</v>
      </c>
      <c r="H525" s="27" t="s">
        <v>251</v>
      </c>
      <c r="I525" s="27">
        <v>2025</v>
      </c>
      <c r="J525" s="27" t="s">
        <v>19</v>
      </c>
      <c r="K525" s="27" t="s">
        <v>258</v>
      </c>
      <c r="L525" s="27" t="s">
        <v>24</v>
      </c>
      <c r="M525" s="27" t="s">
        <v>22</v>
      </c>
      <c r="N525" s="40" t="s">
        <v>33</v>
      </c>
      <c r="O525" s="27" t="s">
        <v>33</v>
      </c>
      <c r="P525" s="27" t="s">
        <v>33</v>
      </c>
      <c r="Q525" s="41"/>
      <c r="R525" s="40"/>
    </row>
    <row r="526" spans="1:18" ht="30" customHeight="1" x14ac:dyDescent="0.3">
      <c r="A526" s="26" t="str">
        <f t="shared" si="16"/>
        <v>2025세종대</v>
      </c>
      <c r="B526" s="26">
        <f>COUNTIFS($A$4:A526,A526)</f>
        <v>11</v>
      </c>
      <c r="C526" s="26" t="str">
        <f t="shared" si="17"/>
        <v>2025세종대11</v>
      </c>
      <c r="E526" s="39" t="s">
        <v>148</v>
      </c>
      <c r="F526" s="26" t="s">
        <v>17</v>
      </c>
      <c r="H526" s="27" t="s">
        <v>251</v>
      </c>
      <c r="I526" s="27">
        <v>2025</v>
      </c>
      <c r="J526" s="27" t="s">
        <v>50</v>
      </c>
      <c r="K526" s="27" t="s">
        <v>156</v>
      </c>
      <c r="L526" s="27" t="s">
        <v>21</v>
      </c>
      <c r="M526" s="27" t="s">
        <v>22</v>
      </c>
      <c r="N526" s="40" t="s">
        <v>193</v>
      </c>
      <c r="O526" s="27" t="s">
        <v>33</v>
      </c>
      <c r="P526" s="27" t="s">
        <v>33</v>
      </c>
      <c r="Q526" s="41"/>
      <c r="R526" s="40"/>
    </row>
    <row r="527" spans="1:18" ht="30" customHeight="1" x14ac:dyDescent="0.3">
      <c r="A527" s="26" t="str">
        <f t="shared" si="16"/>
        <v>2025세종대</v>
      </c>
      <c r="B527" s="26">
        <f>COUNTIFS($A$4:A527,A527)</f>
        <v>12</v>
      </c>
      <c r="C527" s="26" t="str">
        <f t="shared" si="17"/>
        <v>2025세종대12</v>
      </c>
      <c r="E527" s="39" t="s">
        <v>148</v>
      </c>
      <c r="F527" s="26" t="s">
        <v>17</v>
      </c>
      <c r="H527" s="27" t="s">
        <v>251</v>
      </c>
      <c r="I527" s="27">
        <v>2025</v>
      </c>
      <c r="J527" s="27" t="s">
        <v>50</v>
      </c>
      <c r="K527" s="27" t="s">
        <v>156</v>
      </c>
      <c r="L527" s="27" t="s">
        <v>24</v>
      </c>
      <c r="M527" s="27" t="s">
        <v>22</v>
      </c>
      <c r="N527" s="40" t="s">
        <v>193</v>
      </c>
      <c r="O527" s="27" t="s">
        <v>33</v>
      </c>
      <c r="P527" s="27" t="s">
        <v>33</v>
      </c>
      <c r="Q527" s="41"/>
      <c r="R527" s="40"/>
    </row>
    <row r="528" spans="1:18" ht="30" customHeight="1" x14ac:dyDescent="0.3">
      <c r="A528" s="26" t="str">
        <f t="shared" si="16"/>
        <v>2026세종대</v>
      </c>
      <c r="B528" s="26">
        <f>COUNTIFS($A$4:A528,A528)</f>
        <v>1</v>
      </c>
      <c r="C528" s="26" t="str">
        <f t="shared" si="17"/>
        <v>2026세종대1</v>
      </c>
      <c r="E528" s="39" t="s">
        <v>148</v>
      </c>
      <c r="F528" s="26" t="s">
        <v>17</v>
      </c>
      <c r="H528" s="27" t="s">
        <v>251</v>
      </c>
      <c r="I528" s="27">
        <v>2026</v>
      </c>
      <c r="J528" s="27" t="s">
        <v>38</v>
      </c>
      <c r="K528" s="27" t="s">
        <v>20</v>
      </c>
      <c r="L528" s="27" t="s">
        <v>21</v>
      </c>
      <c r="M528" s="27" t="s">
        <v>22</v>
      </c>
      <c r="N528" s="40" t="s">
        <v>169</v>
      </c>
      <c r="O528" s="27" t="s">
        <v>33</v>
      </c>
      <c r="P528" s="27" t="s">
        <v>33</v>
      </c>
      <c r="Q528" s="41"/>
      <c r="R528" s="40"/>
    </row>
    <row r="529" spans="1:18" ht="30" customHeight="1" x14ac:dyDescent="0.3">
      <c r="A529" s="26" t="str">
        <f t="shared" si="16"/>
        <v>2026세종대</v>
      </c>
      <c r="B529" s="26">
        <f>COUNTIFS($A$4:A529,A529)</f>
        <v>2</v>
      </c>
      <c r="C529" s="26" t="str">
        <f t="shared" si="17"/>
        <v>2026세종대2</v>
      </c>
      <c r="E529" s="39" t="s">
        <v>148</v>
      </c>
      <c r="F529" s="26" t="s">
        <v>17</v>
      </c>
      <c r="H529" s="27" t="s">
        <v>251</v>
      </c>
      <c r="I529" s="27">
        <v>2026</v>
      </c>
      <c r="J529" s="27" t="s">
        <v>38</v>
      </c>
      <c r="K529" s="27" t="s">
        <v>20</v>
      </c>
      <c r="L529" s="27" t="s">
        <v>24</v>
      </c>
      <c r="M529" s="27" t="s">
        <v>22</v>
      </c>
      <c r="N529" s="40" t="s">
        <v>169</v>
      </c>
      <c r="O529" s="27" t="s">
        <v>33</v>
      </c>
      <c r="P529" s="27" t="s">
        <v>33</v>
      </c>
      <c r="Q529" s="41"/>
      <c r="R529" s="40"/>
    </row>
    <row r="530" spans="1:18" ht="30" customHeight="1" x14ac:dyDescent="0.3">
      <c r="A530" s="26" t="str">
        <f t="shared" si="16"/>
        <v>2026세종대</v>
      </c>
      <c r="B530" s="26">
        <f>COUNTIFS($A$4:A530,A530)</f>
        <v>3</v>
      </c>
      <c r="C530" s="26" t="str">
        <f t="shared" si="17"/>
        <v>2026세종대3</v>
      </c>
      <c r="E530" s="39" t="s">
        <v>148</v>
      </c>
      <c r="F530" s="26" t="s">
        <v>17</v>
      </c>
      <c r="H530" s="27" t="s">
        <v>251</v>
      </c>
      <c r="I530" s="27">
        <v>2026</v>
      </c>
      <c r="J530" s="27" t="s">
        <v>38</v>
      </c>
      <c r="K530" s="27" t="s">
        <v>20</v>
      </c>
      <c r="L530" s="27" t="s">
        <v>188</v>
      </c>
      <c r="M530" s="27" t="s">
        <v>22</v>
      </c>
      <c r="N530" s="29" t="s">
        <v>252</v>
      </c>
      <c r="O530" s="27" t="s">
        <v>33</v>
      </c>
      <c r="P530" s="27" t="s">
        <v>33</v>
      </c>
      <c r="Q530" s="41"/>
      <c r="R530" s="40"/>
    </row>
    <row r="531" spans="1:18" ht="30" customHeight="1" x14ac:dyDescent="0.3">
      <c r="A531" s="26" t="str">
        <f t="shared" si="16"/>
        <v>2026세종대</v>
      </c>
      <c r="B531" s="26">
        <f>COUNTIFS($A$4:A531,A531)</f>
        <v>4</v>
      </c>
      <c r="C531" s="26" t="str">
        <f t="shared" si="17"/>
        <v>2026세종대4</v>
      </c>
      <c r="E531" s="39" t="s">
        <v>148</v>
      </c>
      <c r="F531" s="26" t="s">
        <v>17</v>
      </c>
      <c r="H531" s="27" t="s">
        <v>251</v>
      </c>
      <c r="I531" s="27">
        <v>2026</v>
      </c>
      <c r="J531" s="27" t="s">
        <v>38</v>
      </c>
      <c r="K531" s="27" t="s">
        <v>253</v>
      </c>
      <c r="L531" s="27" t="s">
        <v>24</v>
      </c>
      <c r="M531" s="27" t="s">
        <v>22</v>
      </c>
      <c r="N531" s="40" t="s">
        <v>254</v>
      </c>
      <c r="O531" s="27"/>
      <c r="P531" s="27"/>
      <c r="Q531" s="41"/>
      <c r="R531" s="40"/>
    </row>
    <row r="532" spans="1:18" ht="30" customHeight="1" x14ac:dyDescent="0.3">
      <c r="A532" s="26" t="str">
        <f t="shared" si="16"/>
        <v>2026세종대</v>
      </c>
      <c r="B532" s="26">
        <f>COUNTIFS($A$4:A532,A532)</f>
        <v>5</v>
      </c>
      <c r="C532" s="26" t="str">
        <f t="shared" si="17"/>
        <v>2026세종대5</v>
      </c>
      <c r="E532" s="39" t="s">
        <v>148</v>
      </c>
      <c r="F532" s="26" t="s">
        <v>17</v>
      </c>
      <c r="H532" s="27" t="s">
        <v>251</v>
      </c>
      <c r="I532" s="27">
        <v>2026</v>
      </c>
      <c r="J532" s="27" t="s">
        <v>19</v>
      </c>
      <c r="K532" s="27" t="s">
        <v>259</v>
      </c>
      <c r="L532" s="27" t="s">
        <v>21</v>
      </c>
      <c r="M532" s="27" t="s">
        <v>22</v>
      </c>
      <c r="N532" s="40" t="s">
        <v>33</v>
      </c>
      <c r="O532" s="27"/>
      <c r="P532" s="27"/>
      <c r="Q532" s="41"/>
      <c r="R532" s="40"/>
    </row>
    <row r="533" spans="1:18" ht="30" customHeight="1" x14ac:dyDescent="0.3">
      <c r="A533" s="26" t="str">
        <f t="shared" si="16"/>
        <v>2026세종대</v>
      </c>
      <c r="B533" s="26">
        <f>COUNTIFS($A$4:A533,A533)</f>
        <v>6</v>
      </c>
      <c r="C533" s="26" t="str">
        <f t="shared" si="17"/>
        <v>2026세종대6</v>
      </c>
      <c r="E533" s="39" t="s">
        <v>148</v>
      </c>
      <c r="F533" s="26" t="s">
        <v>17</v>
      </c>
      <c r="H533" s="27" t="s">
        <v>251</v>
      </c>
      <c r="I533" s="27">
        <v>2026</v>
      </c>
      <c r="J533" s="27" t="s">
        <v>19</v>
      </c>
      <c r="K533" s="27" t="s">
        <v>259</v>
      </c>
      <c r="L533" s="27" t="s">
        <v>24</v>
      </c>
      <c r="M533" s="27" t="s">
        <v>22</v>
      </c>
      <c r="N533" s="40" t="s">
        <v>33</v>
      </c>
      <c r="O533" s="27"/>
      <c r="P533" s="27"/>
      <c r="Q533" s="41"/>
      <c r="R533" s="40"/>
    </row>
    <row r="534" spans="1:18" ht="30" customHeight="1" x14ac:dyDescent="0.3">
      <c r="A534" s="26" t="str">
        <f t="shared" si="16"/>
        <v>2026세종대</v>
      </c>
      <c r="B534" s="26">
        <f>COUNTIFS($A$4:A534,A534)</f>
        <v>7</v>
      </c>
      <c r="C534" s="26" t="str">
        <f t="shared" si="17"/>
        <v>2026세종대7</v>
      </c>
      <c r="E534" s="39" t="s">
        <v>148</v>
      </c>
      <c r="F534" s="26" t="s">
        <v>17</v>
      </c>
      <c r="H534" s="27" t="s">
        <v>251</v>
      </c>
      <c r="I534" s="27">
        <v>2026</v>
      </c>
      <c r="J534" s="27" t="s">
        <v>19</v>
      </c>
      <c r="K534" s="27" t="s">
        <v>260</v>
      </c>
      <c r="L534" s="27" t="s">
        <v>21</v>
      </c>
      <c r="M534" s="27" t="s">
        <v>22</v>
      </c>
      <c r="N534" s="40" t="s">
        <v>33</v>
      </c>
      <c r="O534" s="27"/>
      <c r="P534" s="27"/>
      <c r="Q534" s="41"/>
      <c r="R534" s="40"/>
    </row>
    <row r="535" spans="1:18" ht="30" customHeight="1" x14ac:dyDescent="0.3">
      <c r="A535" s="26" t="str">
        <f t="shared" si="16"/>
        <v>2026세종대</v>
      </c>
      <c r="B535" s="26">
        <f>COUNTIFS($A$4:A535,A535)</f>
        <v>8</v>
      </c>
      <c r="C535" s="26" t="str">
        <f t="shared" si="17"/>
        <v>2026세종대8</v>
      </c>
      <c r="E535" s="39" t="s">
        <v>148</v>
      </c>
      <c r="F535" s="26" t="s">
        <v>17</v>
      </c>
      <c r="H535" s="27" t="s">
        <v>251</v>
      </c>
      <c r="I535" s="27">
        <v>2026</v>
      </c>
      <c r="J535" s="27" t="s">
        <v>19</v>
      </c>
      <c r="K535" s="27" t="s">
        <v>260</v>
      </c>
      <c r="L535" s="27" t="s">
        <v>24</v>
      </c>
      <c r="M535" s="27" t="s">
        <v>22</v>
      </c>
      <c r="N535" s="40" t="s">
        <v>33</v>
      </c>
      <c r="O535" s="27"/>
      <c r="P535" s="27"/>
      <c r="Q535" s="41"/>
      <c r="R535" s="40"/>
    </row>
    <row r="536" spans="1:18" ht="30" customHeight="1" x14ac:dyDescent="0.3">
      <c r="A536" s="26" t="str">
        <f t="shared" si="16"/>
        <v>2026세종대</v>
      </c>
      <c r="B536" s="26">
        <f>COUNTIFS($A$4:A536,A536)</f>
        <v>9</v>
      </c>
      <c r="C536" s="26" t="str">
        <f t="shared" si="17"/>
        <v>2026세종대9</v>
      </c>
      <c r="E536" s="39" t="s">
        <v>148</v>
      </c>
      <c r="F536" s="26" t="s">
        <v>17</v>
      </c>
      <c r="H536" s="27" t="s">
        <v>251</v>
      </c>
      <c r="I536" s="27">
        <v>2026</v>
      </c>
      <c r="J536" s="27" t="s">
        <v>19</v>
      </c>
      <c r="K536" s="27" t="s">
        <v>258</v>
      </c>
      <c r="L536" s="27" t="s">
        <v>24</v>
      </c>
      <c r="M536" s="27" t="s">
        <v>22</v>
      </c>
      <c r="N536" s="40" t="s">
        <v>33</v>
      </c>
      <c r="O536" s="27"/>
      <c r="P536" s="27"/>
      <c r="Q536" s="41"/>
      <c r="R536" s="40"/>
    </row>
    <row r="537" spans="1:18" ht="30" customHeight="1" x14ac:dyDescent="0.3">
      <c r="A537" s="26" t="str">
        <f t="shared" si="16"/>
        <v>2026세종대</v>
      </c>
      <c r="B537" s="26">
        <f>COUNTIFS($A$4:A537,A537)</f>
        <v>10</v>
      </c>
      <c r="C537" s="26" t="str">
        <f t="shared" si="17"/>
        <v>2026세종대10</v>
      </c>
      <c r="E537" s="39" t="s">
        <v>148</v>
      </c>
      <c r="F537" s="26" t="s">
        <v>17</v>
      </c>
      <c r="H537" s="27" t="s">
        <v>251</v>
      </c>
      <c r="I537" s="27">
        <v>2026</v>
      </c>
      <c r="J537" s="27" t="s">
        <v>50</v>
      </c>
      <c r="K537" s="27" t="s">
        <v>156</v>
      </c>
      <c r="L537" s="27" t="s">
        <v>21</v>
      </c>
      <c r="M537" s="27" t="s">
        <v>22</v>
      </c>
      <c r="N537" s="40" t="s">
        <v>193</v>
      </c>
      <c r="O537" s="27" t="s">
        <v>33</v>
      </c>
      <c r="P537" s="27" t="s">
        <v>33</v>
      </c>
      <c r="Q537" s="41"/>
      <c r="R537" s="40"/>
    </row>
    <row r="538" spans="1:18" ht="30" customHeight="1" x14ac:dyDescent="0.3">
      <c r="A538" s="26" t="str">
        <f t="shared" si="16"/>
        <v>2026세종대</v>
      </c>
      <c r="B538" s="26">
        <f>COUNTIFS($A$4:A538,A538)</f>
        <v>11</v>
      </c>
      <c r="C538" s="26" t="str">
        <f t="shared" si="17"/>
        <v>2026세종대11</v>
      </c>
      <c r="E538" s="39" t="s">
        <v>148</v>
      </c>
      <c r="F538" s="26" t="s">
        <v>17</v>
      </c>
      <c r="H538" s="27" t="s">
        <v>251</v>
      </c>
      <c r="I538" s="27">
        <v>2026</v>
      </c>
      <c r="J538" s="27" t="s">
        <v>50</v>
      </c>
      <c r="K538" s="27" t="s">
        <v>156</v>
      </c>
      <c r="L538" s="27" t="s">
        <v>24</v>
      </c>
      <c r="M538" s="27" t="s">
        <v>22</v>
      </c>
      <c r="N538" s="40" t="s">
        <v>193</v>
      </c>
      <c r="O538" s="27" t="s">
        <v>33</v>
      </c>
      <c r="P538" s="27" t="s">
        <v>33</v>
      </c>
      <c r="Q538" s="41"/>
      <c r="R538" s="40"/>
    </row>
    <row r="539" spans="1:18" ht="30" customHeight="1" x14ac:dyDescent="0.3">
      <c r="A539" s="26" t="str">
        <f t="shared" si="16"/>
        <v>2027세종대</v>
      </c>
      <c r="B539" s="26">
        <f>COUNTIFS($A$4:A539,A539)</f>
        <v>1</v>
      </c>
      <c r="C539" s="26" t="str">
        <f t="shared" si="17"/>
        <v>2027세종대1</v>
      </c>
      <c r="E539" s="39" t="s">
        <v>148</v>
      </c>
      <c r="F539" s="26" t="s">
        <v>17</v>
      </c>
      <c r="H539" s="27" t="s">
        <v>251</v>
      </c>
      <c r="I539" s="27">
        <v>2027</v>
      </c>
      <c r="J539" s="27" t="s">
        <v>38</v>
      </c>
      <c r="K539" s="27" t="s">
        <v>20</v>
      </c>
      <c r="L539" s="27" t="s">
        <v>21</v>
      </c>
      <c r="M539" s="27" t="s">
        <v>22</v>
      </c>
      <c r="N539" s="40" t="s">
        <v>169</v>
      </c>
      <c r="O539" s="27" t="s">
        <v>33</v>
      </c>
      <c r="P539" s="27" t="s">
        <v>33</v>
      </c>
      <c r="Q539" s="41"/>
      <c r="R539" s="40"/>
    </row>
    <row r="540" spans="1:18" ht="30" customHeight="1" x14ac:dyDescent="0.3">
      <c r="A540" s="26" t="str">
        <f t="shared" si="16"/>
        <v>2027세종대</v>
      </c>
      <c r="B540" s="26">
        <f>COUNTIFS($A$4:A540,A540)</f>
        <v>2</v>
      </c>
      <c r="C540" s="26" t="str">
        <f t="shared" si="17"/>
        <v>2027세종대2</v>
      </c>
      <c r="E540" s="39" t="s">
        <v>148</v>
      </c>
      <c r="F540" s="26" t="s">
        <v>17</v>
      </c>
      <c r="H540" s="27" t="s">
        <v>251</v>
      </c>
      <c r="I540" s="27">
        <v>2027</v>
      </c>
      <c r="J540" s="27" t="s">
        <v>38</v>
      </c>
      <c r="K540" s="27" t="s">
        <v>20</v>
      </c>
      <c r="L540" s="27" t="s">
        <v>24</v>
      </c>
      <c r="M540" s="27" t="s">
        <v>22</v>
      </c>
      <c r="N540" s="40" t="s">
        <v>169</v>
      </c>
      <c r="O540" s="27" t="s">
        <v>33</v>
      </c>
      <c r="P540" s="27" t="s">
        <v>33</v>
      </c>
      <c r="Q540" s="41"/>
      <c r="R540" s="40"/>
    </row>
    <row r="541" spans="1:18" ht="30" customHeight="1" x14ac:dyDescent="0.3">
      <c r="A541" s="26" t="str">
        <f t="shared" si="16"/>
        <v>2027세종대</v>
      </c>
      <c r="B541" s="26">
        <f>COUNTIFS($A$4:A541,A541)</f>
        <v>3</v>
      </c>
      <c r="C541" s="26" t="str">
        <f t="shared" si="17"/>
        <v>2027세종대3</v>
      </c>
      <c r="E541" s="39" t="s">
        <v>148</v>
      </c>
      <c r="F541" s="26" t="s">
        <v>17</v>
      </c>
      <c r="H541" s="27" t="s">
        <v>251</v>
      </c>
      <c r="I541" s="27">
        <v>2027</v>
      </c>
      <c r="J541" s="27" t="s">
        <v>38</v>
      </c>
      <c r="K541" s="27" t="s">
        <v>20</v>
      </c>
      <c r="L541" s="27" t="s">
        <v>188</v>
      </c>
      <c r="M541" s="27" t="s">
        <v>22</v>
      </c>
      <c r="N541" s="29" t="s">
        <v>252</v>
      </c>
      <c r="O541" s="27" t="s">
        <v>33</v>
      </c>
      <c r="P541" s="27" t="s">
        <v>33</v>
      </c>
      <c r="Q541" s="41"/>
      <c r="R541" s="40"/>
    </row>
    <row r="542" spans="1:18" ht="30" customHeight="1" x14ac:dyDescent="0.3">
      <c r="A542" s="26" t="str">
        <f t="shared" si="16"/>
        <v>2027세종대</v>
      </c>
      <c r="B542" s="26">
        <f>COUNTIFS($A$4:A542,A542)</f>
        <v>4</v>
      </c>
      <c r="C542" s="26" t="str">
        <f t="shared" si="17"/>
        <v>2027세종대4</v>
      </c>
      <c r="E542" s="39" t="s">
        <v>148</v>
      </c>
      <c r="F542" s="26" t="s">
        <v>17</v>
      </c>
      <c r="H542" s="27" t="s">
        <v>251</v>
      </c>
      <c r="I542" s="27">
        <v>2027</v>
      </c>
      <c r="J542" s="27" t="s">
        <v>38</v>
      </c>
      <c r="K542" s="27" t="s">
        <v>253</v>
      </c>
      <c r="L542" s="27" t="s">
        <v>24</v>
      </c>
      <c r="M542" s="27" t="s">
        <v>22</v>
      </c>
      <c r="N542" s="40" t="s">
        <v>254</v>
      </c>
      <c r="O542" s="27" t="s">
        <v>33</v>
      </c>
      <c r="P542" s="27" t="s">
        <v>33</v>
      </c>
      <c r="Q542" s="41"/>
      <c r="R542" s="40"/>
    </row>
    <row r="543" spans="1:18" ht="30" customHeight="1" x14ac:dyDescent="0.3">
      <c r="A543" s="26" t="str">
        <f t="shared" si="16"/>
        <v>2027세종대</v>
      </c>
      <c r="B543" s="26">
        <f>COUNTIFS($A$4:A543,A543)</f>
        <v>5</v>
      </c>
      <c r="C543" s="26" t="str">
        <f t="shared" si="17"/>
        <v>2027세종대5</v>
      </c>
      <c r="E543" s="39" t="s">
        <v>148</v>
      </c>
      <c r="F543" s="26" t="s">
        <v>17</v>
      </c>
      <c r="H543" s="27" t="s">
        <v>251</v>
      </c>
      <c r="I543" s="27">
        <v>2027</v>
      </c>
      <c r="J543" s="27" t="s">
        <v>19</v>
      </c>
      <c r="K543" s="27" t="s">
        <v>261</v>
      </c>
      <c r="L543" s="27" t="s">
        <v>21</v>
      </c>
      <c r="M543" s="27" t="s">
        <v>22</v>
      </c>
      <c r="N543" s="40" t="s">
        <v>33</v>
      </c>
      <c r="O543" s="27" t="s">
        <v>33</v>
      </c>
      <c r="P543" s="27" t="s">
        <v>33</v>
      </c>
      <c r="Q543" s="41"/>
      <c r="R543" s="40"/>
    </row>
    <row r="544" spans="1:18" ht="30" customHeight="1" x14ac:dyDescent="0.3">
      <c r="A544" s="26" t="str">
        <f t="shared" si="16"/>
        <v>2027세종대</v>
      </c>
      <c r="B544" s="26">
        <f>COUNTIFS($A$4:A544,A544)</f>
        <v>6</v>
      </c>
      <c r="C544" s="26" t="str">
        <f t="shared" si="17"/>
        <v>2027세종대6</v>
      </c>
      <c r="E544" s="39" t="s">
        <v>148</v>
      </c>
      <c r="F544" s="26" t="s">
        <v>17</v>
      </c>
      <c r="H544" s="27" t="s">
        <v>251</v>
      </c>
      <c r="I544" s="27">
        <v>2027</v>
      </c>
      <c r="J544" s="27" t="s">
        <v>19</v>
      </c>
      <c r="K544" s="27" t="s">
        <v>261</v>
      </c>
      <c r="L544" s="27" t="s">
        <v>24</v>
      </c>
      <c r="M544" s="27" t="s">
        <v>22</v>
      </c>
      <c r="N544" s="40" t="s">
        <v>33</v>
      </c>
      <c r="O544" s="27" t="s">
        <v>33</v>
      </c>
      <c r="P544" s="27" t="s">
        <v>33</v>
      </c>
      <c r="Q544" s="41"/>
      <c r="R544" s="40"/>
    </row>
    <row r="545" spans="1:18" ht="30" customHeight="1" x14ac:dyDescent="0.3">
      <c r="A545" s="26" t="str">
        <f t="shared" si="16"/>
        <v>2027세종대</v>
      </c>
      <c r="B545" s="26">
        <f>COUNTIFS($A$4:A545,A545)</f>
        <v>7</v>
      </c>
      <c r="C545" s="26" t="str">
        <f t="shared" si="17"/>
        <v>2027세종대7</v>
      </c>
      <c r="E545" s="39" t="s">
        <v>148</v>
      </c>
      <c r="F545" s="26" t="s">
        <v>17</v>
      </c>
      <c r="H545" s="27" t="s">
        <v>251</v>
      </c>
      <c r="I545" s="27">
        <v>2027</v>
      </c>
      <c r="J545" s="27" t="s">
        <v>19</v>
      </c>
      <c r="K545" s="27" t="s">
        <v>262</v>
      </c>
      <c r="L545" s="27" t="s">
        <v>21</v>
      </c>
      <c r="M545" s="27" t="s">
        <v>22</v>
      </c>
      <c r="N545" s="40" t="s">
        <v>33</v>
      </c>
      <c r="O545" s="27" t="s">
        <v>33</v>
      </c>
      <c r="P545" s="27" t="s">
        <v>33</v>
      </c>
      <c r="Q545" s="41"/>
      <c r="R545" s="40"/>
    </row>
    <row r="546" spans="1:18" ht="30" customHeight="1" x14ac:dyDescent="0.3">
      <c r="A546" s="26" t="str">
        <f t="shared" si="16"/>
        <v>2027세종대</v>
      </c>
      <c r="B546" s="26">
        <f>COUNTIFS($A$4:A546,A546)</f>
        <v>8</v>
      </c>
      <c r="C546" s="26" t="str">
        <f t="shared" si="17"/>
        <v>2027세종대8</v>
      </c>
      <c r="E546" s="39" t="s">
        <v>148</v>
      </c>
      <c r="F546" s="26" t="s">
        <v>17</v>
      </c>
      <c r="H546" s="27" t="s">
        <v>251</v>
      </c>
      <c r="I546" s="27">
        <v>2027</v>
      </c>
      <c r="J546" s="27" t="s">
        <v>19</v>
      </c>
      <c r="K546" s="27" t="s">
        <v>262</v>
      </c>
      <c r="L546" s="27" t="s">
        <v>24</v>
      </c>
      <c r="M546" s="27" t="s">
        <v>22</v>
      </c>
      <c r="N546" s="40" t="s">
        <v>33</v>
      </c>
      <c r="O546" s="27" t="s">
        <v>33</v>
      </c>
      <c r="P546" s="27" t="s">
        <v>33</v>
      </c>
      <c r="Q546" s="41"/>
      <c r="R546" s="40"/>
    </row>
    <row r="547" spans="1:18" ht="30" customHeight="1" x14ac:dyDescent="0.3">
      <c r="A547" s="26" t="str">
        <f t="shared" si="16"/>
        <v>2027세종대</v>
      </c>
      <c r="B547" s="26">
        <f>COUNTIFS($A$4:A547,A547)</f>
        <v>9</v>
      </c>
      <c r="C547" s="26" t="str">
        <f t="shared" si="17"/>
        <v>2027세종대9</v>
      </c>
      <c r="E547" s="39" t="s">
        <v>148</v>
      </c>
      <c r="F547" s="26" t="s">
        <v>17</v>
      </c>
      <c r="H547" s="27" t="s">
        <v>251</v>
      </c>
      <c r="I547" s="27">
        <v>2027</v>
      </c>
      <c r="J547" s="27" t="s">
        <v>50</v>
      </c>
      <c r="K547" s="27" t="s">
        <v>156</v>
      </c>
      <c r="L547" s="27" t="s">
        <v>21</v>
      </c>
      <c r="M547" s="27" t="s">
        <v>22</v>
      </c>
      <c r="N547" s="40" t="s">
        <v>193</v>
      </c>
      <c r="O547" s="27" t="s">
        <v>33</v>
      </c>
      <c r="P547" s="27" t="s">
        <v>33</v>
      </c>
      <c r="Q547" s="41"/>
      <c r="R547" s="40"/>
    </row>
    <row r="548" spans="1:18" ht="30" customHeight="1" x14ac:dyDescent="0.3">
      <c r="A548" s="26" t="str">
        <f t="shared" si="16"/>
        <v>2027세종대</v>
      </c>
      <c r="B548" s="26">
        <f>COUNTIFS($A$4:A548,A548)</f>
        <v>10</v>
      </c>
      <c r="C548" s="26" t="str">
        <f t="shared" si="17"/>
        <v>2027세종대10</v>
      </c>
      <c r="E548" s="39" t="s">
        <v>148</v>
      </c>
      <c r="F548" s="26" t="s">
        <v>17</v>
      </c>
      <c r="H548" s="27" t="s">
        <v>251</v>
      </c>
      <c r="I548" s="27">
        <v>2027</v>
      </c>
      <c r="J548" s="27" t="s">
        <v>50</v>
      </c>
      <c r="K548" s="27" t="s">
        <v>156</v>
      </c>
      <c r="L548" s="27" t="s">
        <v>24</v>
      </c>
      <c r="M548" s="27" t="s">
        <v>22</v>
      </c>
      <c r="N548" s="40" t="s">
        <v>193</v>
      </c>
      <c r="O548" s="27" t="s">
        <v>33</v>
      </c>
      <c r="P548" s="27" t="s">
        <v>33</v>
      </c>
      <c r="Q548" s="41"/>
      <c r="R548" s="40"/>
    </row>
    <row r="549" spans="1:18" ht="30" customHeight="1" x14ac:dyDescent="0.3">
      <c r="A549" s="26" t="str">
        <f t="shared" si="16"/>
        <v>2027세종대</v>
      </c>
      <c r="B549" s="26">
        <f>COUNTIFS($A$4:A549,A549)</f>
        <v>11</v>
      </c>
      <c r="C549" s="26" t="str">
        <f t="shared" si="17"/>
        <v>2027세종대11</v>
      </c>
      <c r="E549" s="39" t="s">
        <v>148</v>
      </c>
      <c r="F549" s="26" t="s">
        <v>17</v>
      </c>
      <c r="H549" s="27" t="s">
        <v>251</v>
      </c>
      <c r="I549" s="27">
        <v>2027</v>
      </c>
      <c r="J549" s="27" t="s">
        <v>50</v>
      </c>
      <c r="K549" s="27" t="s">
        <v>156</v>
      </c>
      <c r="L549" s="27" t="s">
        <v>188</v>
      </c>
      <c r="M549" s="27" t="s">
        <v>22</v>
      </c>
      <c r="N549" s="29" t="s">
        <v>252</v>
      </c>
      <c r="O549" s="27" t="s">
        <v>33</v>
      </c>
      <c r="P549" s="27" t="s">
        <v>33</v>
      </c>
      <c r="Q549" s="32" t="s">
        <v>263</v>
      </c>
      <c r="R549" s="40"/>
    </row>
    <row r="550" spans="1:18" ht="30" customHeight="1" x14ac:dyDescent="0.3">
      <c r="A550" s="26" t="str">
        <f t="shared" si="16"/>
        <v>2025단국대(죽전)</v>
      </c>
      <c r="B550" s="26">
        <f>COUNTIFS($A$4:A550,A550)</f>
        <v>1</v>
      </c>
      <c r="C550" s="26" t="str">
        <f t="shared" si="17"/>
        <v>2025단국대(죽전)1</v>
      </c>
      <c r="E550" s="39" t="s">
        <v>148</v>
      </c>
      <c r="F550" s="26" t="s">
        <v>17</v>
      </c>
      <c r="H550" s="27" t="s">
        <v>264</v>
      </c>
      <c r="I550" s="27">
        <v>2025</v>
      </c>
      <c r="J550" s="27" t="s">
        <v>38</v>
      </c>
      <c r="K550" s="27" t="s">
        <v>172</v>
      </c>
      <c r="L550" s="27" t="s">
        <v>21</v>
      </c>
      <c r="M550" s="27" t="s">
        <v>22</v>
      </c>
      <c r="N550" s="40" t="s">
        <v>169</v>
      </c>
      <c r="O550" s="27" t="s">
        <v>33</v>
      </c>
      <c r="P550" s="27" t="s">
        <v>33</v>
      </c>
      <c r="Q550" s="41"/>
      <c r="R550" s="40"/>
    </row>
    <row r="551" spans="1:18" ht="30" customHeight="1" x14ac:dyDescent="0.3">
      <c r="A551" s="26" t="str">
        <f t="shared" si="16"/>
        <v>2025단국대(죽전)</v>
      </c>
      <c r="B551" s="26">
        <f>COUNTIFS($A$4:A551,A551)</f>
        <v>2</v>
      </c>
      <c r="C551" s="26" t="str">
        <f t="shared" si="17"/>
        <v>2025단국대(죽전)2</v>
      </c>
      <c r="E551" s="39" t="s">
        <v>148</v>
      </c>
      <c r="F551" s="26" t="s">
        <v>17</v>
      </c>
      <c r="H551" s="27" t="s">
        <v>264</v>
      </c>
      <c r="I551" s="27">
        <v>2025</v>
      </c>
      <c r="J551" s="27" t="s">
        <v>38</v>
      </c>
      <c r="K551" s="27" t="s">
        <v>172</v>
      </c>
      <c r="L551" s="27" t="s">
        <v>24</v>
      </c>
      <c r="M551" s="27" t="s">
        <v>22</v>
      </c>
      <c r="N551" s="40" t="s">
        <v>169</v>
      </c>
      <c r="O551" s="27" t="s">
        <v>33</v>
      </c>
      <c r="P551" s="27" t="s">
        <v>33</v>
      </c>
      <c r="Q551" s="41"/>
      <c r="R551" s="40"/>
    </row>
    <row r="552" spans="1:18" ht="30" customHeight="1" x14ac:dyDescent="0.3">
      <c r="A552" s="26" t="str">
        <f t="shared" si="16"/>
        <v>2025단국대(죽전)</v>
      </c>
      <c r="B552" s="26">
        <f>COUNTIFS($A$4:A552,A552)</f>
        <v>3</v>
      </c>
      <c r="C552" s="26" t="str">
        <f t="shared" si="17"/>
        <v>2025단국대(죽전)3</v>
      </c>
      <c r="E552" s="39" t="s">
        <v>148</v>
      </c>
      <c r="F552" s="26" t="s">
        <v>17</v>
      </c>
      <c r="H552" s="27" t="s">
        <v>264</v>
      </c>
      <c r="I552" s="27">
        <v>2025</v>
      </c>
      <c r="J552" s="27" t="s">
        <v>19</v>
      </c>
      <c r="K552" s="27" t="s">
        <v>265</v>
      </c>
      <c r="L552" s="27" t="s">
        <v>21</v>
      </c>
      <c r="M552" s="27" t="s">
        <v>22</v>
      </c>
      <c r="N552" s="40" t="s">
        <v>33</v>
      </c>
      <c r="O552" s="27" t="s">
        <v>33</v>
      </c>
      <c r="P552" s="27" t="s">
        <v>33</v>
      </c>
      <c r="Q552" s="41"/>
      <c r="R552" s="40"/>
    </row>
    <row r="553" spans="1:18" ht="30" customHeight="1" x14ac:dyDescent="0.3">
      <c r="A553" s="26" t="str">
        <f t="shared" si="16"/>
        <v>2025단국대(죽전)</v>
      </c>
      <c r="B553" s="26">
        <f>COUNTIFS($A$4:A553,A553)</f>
        <v>4</v>
      </c>
      <c r="C553" s="26" t="str">
        <f t="shared" si="17"/>
        <v>2025단국대(죽전)4</v>
      </c>
      <c r="E553" s="39" t="s">
        <v>148</v>
      </c>
      <c r="F553" s="26" t="s">
        <v>17</v>
      </c>
      <c r="H553" s="27" t="s">
        <v>264</v>
      </c>
      <c r="I553" s="27">
        <v>2025</v>
      </c>
      <c r="J553" s="27" t="s">
        <v>19</v>
      </c>
      <c r="K553" s="27" t="s">
        <v>265</v>
      </c>
      <c r="L553" s="27" t="s">
        <v>24</v>
      </c>
      <c r="M553" s="27" t="s">
        <v>22</v>
      </c>
      <c r="N553" s="40" t="s">
        <v>33</v>
      </c>
      <c r="O553" s="27" t="s">
        <v>33</v>
      </c>
      <c r="P553" s="27" t="s">
        <v>33</v>
      </c>
      <c r="Q553" s="41"/>
      <c r="R553" s="40"/>
    </row>
    <row r="554" spans="1:18" ht="30" customHeight="1" x14ac:dyDescent="0.3">
      <c r="A554" s="26" t="str">
        <f t="shared" si="16"/>
        <v>2025단국대(죽전)</v>
      </c>
      <c r="B554" s="26">
        <f>COUNTIFS($A$4:A554,A554)</f>
        <v>5</v>
      </c>
      <c r="C554" s="26" t="str">
        <f t="shared" si="17"/>
        <v>2025단국대(죽전)5</v>
      </c>
      <c r="E554" s="39" t="s">
        <v>148</v>
      </c>
      <c r="F554" s="26" t="s">
        <v>17</v>
      </c>
      <c r="H554" s="27" t="s">
        <v>264</v>
      </c>
      <c r="I554" s="27">
        <v>2025</v>
      </c>
      <c r="J554" s="27" t="s">
        <v>19</v>
      </c>
      <c r="K554" s="27" t="s">
        <v>266</v>
      </c>
      <c r="L554" s="27" t="s">
        <v>21</v>
      </c>
      <c r="M554" s="27" t="s">
        <v>22</v>
      </c>
      <c r="N554" s="40" t="s">
        <v>33</v>
      </c>
      <c r="O554" s="27" t="s">
        <v>33</v>
      </c>
      <c r="P554" s="27" t="s">
        <v>33</v>
      </c>
      <c r="Q554" s="41"/>
      <c r="R554" s="40"/>
    </row>
    <row r="555" spans="1:18" ht="30" customHeight="1" x14ac:dyDescent="0.3">
      <c r="A555" s="26" t="str">
        <f t="shared" si="16"/>
        <v>2025단국대(죽전)</v>
      </c>
      <c r="B555" s="26">
        <f>COUNTIFS($A$4:A555,A555)</f>
        <v>6</v>
      </c>
      <c r="C555" s="26" t="str">
        <f t="shared" si="17"/>
        <v>2025단국대(죽전)6</v>
      </c>
      <c r="E555" s="39" t="s">
        <v>148</v>
      </c>
      <c r="F555" s="26" t="s">
        <v>17</v>
      </c>
      <c r="H555" s="27" t="s">
        <v>264</v>
      </c>
      <c r="I555" s="27">
        <v>2025</v>
      </c>
      <c r="J555" s="27" t="s">
        <v>19</v>
      </c>
      <c r="K555" s="27" t="s">
        <v>266</v>
      </c>
      <c r="L555" s="27" t="s">
        <v>24</v>
      </c>
      <c r="M555" s="27" t="s">
        <v>22</v>
      </c>
      <c r="N555" s="40" t="s">
        <v>33</v>
      </c>
      <c r="O555" s="27" t="s">
        <v>33</v>
      </c>
      <c r="P555" s="27" t="s">
        <v>33</v>
      </c>
      <c r="Q555" s="41"/>
      <c r="R555" s="40"/>
    </row>
    <row r="556" spans="1:18" ht="30" customHeight="1" x14ac:dyDescent="0.3">
      <c r="A556" s="26" t="str">
        <f t="shared" si="16"/>
        <v>2025단국대(죽전)</v>
      </c>
      <c r="B556" s="26">
        <f>COUNTIFS($A$4:A556,A556)</f>
        <v>7</v>
      </c>
      <c r="C556" s="26" t="str">
        <f t="shared" si="17"/>
        <v>2025단국대(죽전)7</v>
      </c>
      <c r="E556" s="39" t="s">
        <v>148</v>
      </c>
      <c r="F556" s="26" t="s">
        <v>17</v>
      </c>
      <c r="H556" s="27" t="s">
        <v>264</v>
      </c>
      <c r="I556" s="27">
        <v>2025</v>
      </c>
      <c r="J556" s="27" t="s">
        <v>19</v>
      </c>
      <c r="K556" s="27" t="s">
        <v>168</v>
      </c>
      <c r="L556" s="27" t="s">
        <v>24</v>
      </c>
      <c r="M556" s="27" t="s">
        <v>22</v>
      </c>
      <c r="N556" s="40" t="s">
        <v>33</v>
      </c>
      <c r="O556" s="27" t="s">
        <v>33</v>
      </c>
      <c r="P556" s="27" t="s">
        <v>33</v>
      </c>
      <c r="Q556" s="41"/>
      <c r="R556" s="40"/>
    </row>
    <row r="557" spans="1:18" ht="30" customHeight="1" x14ac:dyDescent="0.3">
      <c r="A557" s="26" t="str">
        <f t="shared" si="16"/>
        <v>2025단국대(죽전)</v>
      </c>
      <c r="B557" s="26">
        <f>COUNTIFS($A$4:A557,A557)</f>
        <v>8</v>
      </c>
      <c r="C557" s="26" t="str">
        <f t="shared" si="17"/>
        <v>2025단국대(죽전)8</v>
      </c>
      <c r="E557" s="39" t="s">
        <v>148</v>
      </c>
      <c r="F557" s="26" t="s">
        <v>17</v>
      </c>
      <c r="H557" s="27" t="s">
        <v>264</v>
      </c>
      <c r="I557" s="27">
        <v>2025</v>
      </c>
      <c r="J557" s="27" t="s">
        <v>19</v>
      </c>
      <c r="K557" s="27" t="s">
        <v>267</v>
      </c>
      <c r="L557" s="27" t="s">
        <v>94</v>
      </c>
      <c r="M557" s="27" t="s">
        <v>22</v>
      </c>
      <c r="N557" s="40" t="s">
        <v>33</v>
      </c>
      <c r="O557" s="27" t="s">
        <v>33</v>
      </c>
      <c r="P557" s="27" t="s">
        <v>33</v>
      </c>
      <c r="Q557" s="41"/>
      <c r="R557" s="40"/>
    </row>
    <row r="558" spans="1:18" ht="30" customHeight="1" x14ac:dyDescent="0.3">
      <c r="A558" s="26" t="str">
        <f t="shared" si="16"/>
        <v>2025단국대(죽전)</v>
      </c>
      <c r="B558" s="26">
        <f>COUNTIFS($A$4:A558,A558)</f>
        <v>9</v>
      </c>
      <c r="C558" s="26" t="str">
        <f t="shared" si="17"/>
        <v>2025단국대(죽전)9</v>
      </c>
      <c r="E558" s="39" t="s">
        <v>148</v>
      </c>
      <c r="F558" s="26" t="s">
        <v>17</v>
      </c>
      <c r="H558" s="27" t="s">
        <v>264</v>
      </c>
      <c r="I558" s="27">
        <v>2025</v>
      </c>
      <c r="J558" s="27" t="s">
        <v>19</v>
      </c>
      <c r="K558" s="27" t="s">
        <v>267</v>
      </c>
      <c r="L558" s="27" t="s">
        <v>95</v>
      </c>
      <c r="M558" s="27" t="s">
        <v>22</v>
      </c>
      <c r="N558" s="40" t="s">
        <v>33</v>
      </c>
      <c r="O558" s="27" t="s">
        <v>33</v>
      </c>
      <c r="P558" s="27" t="s">
        <v>33</v>
      </c>
      <c r="Q558" s="41"/>
      <c r="R558" s="40"/>
    </row>
    <row r="559" spans="1:18" ht="30" customHeight="1" x14ac:dyDescent="0.3">
      <c r="A559" s="26" t="str">
        <f t="shared" si="16"/>
        <v>2025단국대(죽전)</v>
      </c>
      <c r="B559" s="26">
        <f>COUNTIFS($A$4:A559,A559)</f>
        <v>10</v>
      </c>
      <c r="C559" s="26" t="str">
        <f t="shared" si="17"/>
        <v>2025단국대(죽전)10</v>
      </c>
      <c r="E559" s="39" t="s">
        <v>148</v>
      </c>
      <c r="F559" s="26" t="s">
        <v>17</v>
      </c>
      <c r="H559" s="27" t="s">
        <v>264</v>
      </c>
      <c r="I559" s="27">
        <v>2025</v>
      </c>
      <c r="J559" s="27" t="s">
        <v>50</v>
      </c>
      <c r="K559" s="27" t="s">
        <v>156</v>
      </c>
      <c r="L559" s="27" t="s">
        <v>21</v>
      </c>
      <c r="M559" s="27" t="s">
        <v>22</v>
      </c>
      <c r="N559" s="40" t="s">
        <v>33</v>
      </c>
      <c r="O559" s="27" t="s">
        <v>33</v>
      </c>
      <c r="P559" s="27" t="s">
        <v>33</v>
      </c>
      <c r="Q559" s="41"/>
      <c r="R559" s="40"/>
    </row>
    <row r="560" spans="1:18" ht="30" customHeight="1" x14ac:dyDescent="0.3">
      <c r="A560" s="26" t="str">
        <f t="shared" si="16"/>
        <v>2025단국대(죽전)</v>
      </c>
      <c r="B560" s="26">
        <f>COUNTIFS($A$4:A560,A560)</f>
        <v>11</v>
      </c>
      <c r="C560" s="26" t="str">
        <f t="shared" si="17"/>
        <v>2025단국대(죽전)11</v>
      </c>
      <c r="E560" s="39" t="s">
        <v>148</v>
      </c>
      <c r="F560" s="26" t="s">
        <v>17</v>
      </c>
      <c r="H560" s="27" t="s">
        <v>264</v>
      </c>
      <c r="I560" s="27">
        <v>2025</v>
      </c>
      <c r="J560" s="27" t="s">
        <v>50</v>
      </c>
      <c r="K560" s="27" t="s">
        <v>156</v>
      </c>
      <c r="L560" s="27" t="s">
        <v>24</v>
      </c>
      <c r="M560" s="27" t="s">
        <v>22</v>
      </c>
      <c r="N560" s="40" t="s">
        <v>33</v>
      </c>
      <c r="O560" s="27" t="s">
        <v>33</v>
      </c>
      <c r="P560" s="27" t="s">
        <v>33</v>
      </c>
      <c r="Q560" s="41"/>
      <c r="R560" s="40"/>
    </row>
    <row r="561" spans="1:18" ht="30" customHeight="1" x14ac:dyDescent="0.3">
      <c r="A561" s="26" t="str">
        <f t="shared" si="16"/>
        <v>2026단국대(죽전)</v>
      </c>
      <c r="B561" s="26">
        <f>COUNTIFS($A$4:A561,A561)</f>
        <v>1</v>
      </c>
      <c r="C561" s="26" t="str">
        <f t="shared" si="17"/>
        <v>2026단국대(죽전)1</v>
      </c>
      <c r="E561" s="39" t="s">
        <v>148</v>
      </c>
      <c r="F561" s="26" t="s">
        <v>17</v>
      </c>
      <c r="H561" s="27" t="s">
        <v>264</v>
      </c>
      <c r="I561" s="27">
        <v>2026</v>
      </c>
      <c r="J561" s="27" t="s">
        <v>38</v>
      </c>
      <c r="K561" s="27" t="s">
        <v>172</v>
      </c>
      <c r="L561" s="27" t="s">
        <v>21</v>
      </c>
      <c r="M561" s="27" t="s">
        <v>22</v>
      </c>
      <c r="N561" s="40" t="s">
        <v>169</v>
      </c>
      <c r="O561" s="27" t="s">
        <v>33</v>
      </c>
      <c r="P561" s="27" t="s">
        <v>33</v>
      </c>
      <c r="Q561" s="41"/>
      <c r="R561" s="40"/>
    </row>
    <row r="562" spans="1:18" ht="30" customHeight="1" x14ac:dyDescent="0.3">
      <c r="A562" s="26" t="str">
        <f t="shared" si="16"/>
        <v>2026단국대(죽전)</v>
      </c>
      <c r="B562" s="26">
        <f>COUNTIFS($A$4:A562,A562)</f>
        <v>2</v>
      </c>
      <c r="C562" s="26" t="str">
        <f t="shared" si="17"/>
        <v>2026단국대(죽전)2</v>
      </c>
      <c r="E562" s="39" t="s">
        <v>148</v>
      </c>
      <c r="F562" s="26" t="s">
        <v>17</v>
      </c>
      <c r="H562" s="27" t="s">
        <v>264</v>
      </c>
      <c r="I562" s="27">
        <v>2026</v>
      </c>
      <c r="J562" s="27" t="s">
        <v>38</v>
      </c>
      <c r="K562" s="27" t="s">
        <v>172</v>
      </c>
      <c r="L562" s="27" t="s">
        <v>24</v>
      </c>
      <c r="M562" s="27" t="s">
        <v>22</v>
      </c>
      <c r="N562" s="40" t="s">
        <v>169</v>
      </c>
      <c r="O562" s="27" t="s">
        <v>33</v>
      </c>
      <c r="P562" s="27" t="s">
        <v>33</v>
      </c>
      <c r="Q562" s="41"/>
      <c r="R562" s="40"/>
    </row>
    <row r="563" spans="1:18" ht="30" customHeight="1" x14ac:dyDescent="0.3">
      <c r="A563" s="26" t="str">
        <f t="shared" si="16"/>
        <v>2026단국대(죽전)</v>
      </c>
      <c r="B563" s="26">
        <f>COUNTIFS($A$4:A563,A563)</f>
        <v>3</v>
      </c>
      <c r="C563" s="26" t="str">
        <f t="shared" si="17"/>
        <v>2026단국대(죽전)3</v>
      </c>
      <c r="E563" s="39" t="s">
        <v>148</v>
      </c>
      <c r="F563" s="26" t="s">
        <v>17</v>
      </c>
      <c r="H563" s="27" t="s">
        <v>264</v>
      </c>
      <c r="I563" s="27">
        <v>2026</v>
      </c>
      <c r="J563" s="27" t="s">
        <v>19</v>
      </c>
      <c r="K563" s="27" t="s">
        <v>265</v>
      </c>
      <c r="L563" s="27" t="s">
        <v>21</v>
      </c>
      <c r="M563" s="27" t="s">
        <v>22</v>
      </c>
      <c r="N563" s="40" t="s">
        <v>33</v>
      </c>
      <c r="O563" s="27" t="s">
        <v>33</v>
      </c>
      <c r="P563" s="27" t="s">
        <v>33</v>
      </c>
      <c r="Q563" s="41"/>
      <c r="R563" s="40"/>
    </row>
    <row r="564" spans="1:18" ht="30" customHeight="1" x14ac:dyDescent="0.3">
      <c r="A564" s="26" t="str">
        <f t="shared" si="16"/>
        <v>2026단국대(죽전)</v>
      </c>
      <c r="B564" s="26">
        <f>COUNTIFS($A$4:A564,A564)</f>
        <v>4</v>
      </c>
      <c r="C564" s="26" t="str">
        <f t="shared" si="17"/>
        <v>2026단국대(죽전)4</v>
      </c>
      <c r="E564" s="39" t="s">
        <v>148</v>
      </c>
      <c r="F564" s="26" t="s">
        <v>17</v>
      </c>
      <c r="H564" s="27" t="s">
        <v>264</v>
      </c>
      <c r="I564" s="27">
        <v>2026</v>
      </c>
      <c r="J564" s="27" t="s">
        <v>19</v>
      </c>
      <c r="K564" s="27" t="s">
        <v>265</v>
      </c>
      <c r="L564" s="27" t="s">
        <v>24</v>
      </c>
      <c r="M564" s="27" t="s">
        <v>22</v>
      </c>
      <c r="N564" s="40" t="s">
        <v>33</v>
      </c>
      <c r="O564" s="27" t="s">
        <v>33</v>
      </c>
      <c r="P564" s="27" t="s">
        <v>33</v>
      </c>
      <c r="Q564" s="41"/>
      <c r="R564" s="40"/>
    </row>
    <row r="565" spans="1:18" ht="30" customHeight="1" x14ac:dyDescent="0.3">
      <c r="A565" s="26" t="str">
        <f t="shared" si="16"/>
        <v>2026단국대(죽전)</v>
      </c>
      <c r="B565" s="26">
        <f>COUNTIFS($A$4:A565,A565)</f>
        <v>5</v>
      </c>
      <c r="C565" s="26" t="str">
        <f t="shared" si="17"/>
        <v>2026단국대(죽전)5</v>
      </c>
      <c r="E565" s="39" t="s">
        <v>148</v>
      </c>
      <c r="F565" s="26" t="s">
        <v>17</v>
      </c>
      <c r="H565" s="27" t="s">
        <v>264</v>
      </c>
      <c r="I565" s="27">
        <v>2026</v>
      </c>
      <c r="J565" s="27" t="s">
        <v>19</v>
      </c>
      <c r="K565" s="27" t="s">
        <v>266</v>
      </c>
      <c r="L565" s="27" t="s">
        <v>21</v>
      </c>
      <c r="M565" s="27" t="s">
        <v>22</v>
      </c>
      <c r="N565" s="40" t="s">
        <v>33</v>
      </c>
      <c r="O565" s="27" t="s">
        <v>33</v>
      </c>
      <c r="P565" s="27" t="s">
        <v>33</v>
      </c>
      <c r="Q565" s="41"/>
      <c r="R565" s="40"/>
    </row>
    <row r="566" spans="1:18" ht="30" customHeight="1" x14ac:dyDescent="0.3">
      <c r="A566" s="26" t="str">
        <f t="shared" si="16"/>
        <v>2025단국대(죽전)</v>
      </c>
      <c r="B566" s="26">
        <f>COUNTIFS($A$4:A566,A566)</f>
        <v>12</v>
      </c>
      <c r="C566" s="26" t="str">
        <f t="shared" si="17"/>
        <v>2025단국대(죽전)12</v>
      </c>
      <c r="E566" s="39" t="s">
        <v>148</v>
      </c>
      <c r="F566" s="26" t="s">
        <v>17</v>
      </c>
      <c r="H566" s="27" t="s">
        <v>264</v>
      </c>
      <c r="I566" s="27">
        <v>2025</v>
      </c>
      <c r="J566" s="27" t="s">
        <v>19</v>
      </c>
      <c r="K566" s="27" t="s">
        <v>266</v>
      </c>
      <c r="L566" s="27" t="s">
        <v>24</v>
      </c>
      <c r="M566" s="27" t="s">
        <v>22</v>
      </c>
      <c r="N566" s="40" t="s">
        <v>33</v>
      </c>
      <c r="O566" s="27" t="s">
        <v>33</v>
      </c>
      <c r="P566" s="27" t="s">
        <v>33</v>
      </c>
      <c r="Q566" s="41"/>
      <c r="R566" s="40"/>
    </row>
    <row r="567" spans="1:18" ht="30" customHeight="1" x14ac:dyDescent="0.3">
      <c r="A567" s="26" t="str">
        <f t="shared" si="16"/>
        <v>2026단국대(죽전)</v>
      </c>
      <c r="B567" s="26">
        <f>COUNTIFS($A$4:A567,A567)</f>
        <v>6</v>
      </c>
      <c r="C567" s="26" t="str">
        <f t="shared" si="17"/>
        <v>2026단국대(죽전)6</v>
      </c>
      <c r="E567" s="39" t="s">
        <v>148</v>
      </c>
      <c r="F567" s="26" t="s">
        <v>17</v>
      </c>
      <c r="H567" s="27" t="s">
        <v>264</v>
      </c>
      <c r="I567" s="27">
        <v>2026</v>
      </c>
      <c r="J567" s="27" t="s">
        <v>19</v>
      </c>
      <c r="K567" s="27" t="s">
        <v>168</v>
      </c>
      <c r="L567" s="27" t="s">
        <v>24</v>
      </c>
      <c r="M567" s="27" t="s">
        <v>22</v>
      </c>
      <c r="N567" s="40" t="s">
        <v>33</v>
      </c>
      <c r="O567" s="27" t="s">
        <v>33</v>
      </c>
      <c r="P567" s="27" t="s">
        <v>33</v>
      </c>
      <c r="Q567" s="41"/>
      <c r="R567" s="40"/>
    </row>
    <row r="568" spans="1:18" ht="30" customHeight="1" x14ac:dyDescent="0.3">
      <c r="A568" s="26" t="str">
        <f t="shared" si="16"/>
        <v>2026단국대(죽전)</v>
      </c>
      <c r="B568" s="26">
        <f>COUNTIFS($A$4:A568,A568)</f>
        <v>7</v>
      </c>
      <c r="C568" s="26" t="str">
        <f t="shared" si="17"/>
        <v>2026단국대(죽전)7</v>
      </c>
      <c r="E568" s="39" t="s">
        <v>148</v>
      </c>
      <c r="F568" s="26" t="s">
        <v>17</v>
      </c>
      <c r="H568" s="27" t="s">
        <v>264</v>
      </c>
      <c r="I568" s="27">
        <v>2026</v>
      </c>
      <c r="J568" s="27" t="s">
        <v>19</v>
      </c>
      <c r="K568" s="27" t="s">
        <v>267</v>
      </c>
      <c r="L568" s="27" t="s">
        <v>94</v>
      </c>
      <c r="M568" s="27" t="s">
        <v>22</v>
      </c>
      <c r="N568" s="40" t="s">
        <v>33</v>
      </c>
      <c r="O568" s="27" t="s">
        <v>33</v>
      </c>
      <c r="P568" s="27" t="s">
        <v>33</v>
      </c>
      <c r="Q568" s="41"/>
      <c r="R568" s="40"/>
    </row>
    <row r="569" spans="1:18" ht="30" customHeight="1" x14ac:dyDescent="0.3">
      <c r="A569" s="26" t="str">
        <f t="shared" si="16"/>
        <v>2026단국대(죽전)</v>
      </c>
      <c r="B569" s="26">
        <f>COUNTIFS($A$4:A569,A569)</f>
        <v>8</v>
      </c>
      <c r="C569" s="26" t="str">
        <f t="shared" si="17"/>
        <v>2026단국대(죽전)8</v>
      </c>
      <c r="E569" s="39" t="s">
        <v>148</v>
      </c>
      <c r="F569" s="26" t="s">
        <v>17</v>
      </c>
      <c r="H569" s="27" t="s">
        <v>264</v>
      </c>
      <c r="I569" s="27">
        <v>2026</v>
      </c>
      <c r="J569" s="27" t="s">
        <v>19</v>
      </c>
      <c r="K569" s="27" t="s">
        <v>267</v>
      </c>
      <c r="L569" s="27" t="s">
        <v>95</v>
      </c>
      <c r="M569" s="27" t="s">
        <v>22</v>
      </c>
      <c r="N569" s="40" t="s">
        <v>33</v>
      </c>
      <c r="O569" s="27" t="s">
        <v>33</v>
      </c>
      <c r="P569" s="27" t="s">
        <v>33</v>
      </c>
      <c r="Q569" s="41"/>
      <c r="R569" s="40"/>
    </row>
    <row r="570" spans="1:18" ht="30" customHeight="1" x14ac:dyDescent="0.3">
      <c r="A570" s="26" t="str">
        <f t="shared" si="16"/>
        <v>2026단국대(죽전)</v>
      </c>
      <c r="B570" s="26">
        <f>COUNTIFS($A$4:A570,A570)</f>
        <v>9</v>
      </c>
      <c r="C570" s="26" t="str">
        <f t="shared" si="17"/>
        <v>2026단국대(죽전)9</v>
      </c>
      <c r="E570" s="39" t="s">
        <v>148</v>
      </c>
      <c r="F570" s="26" t="s">
        <v>17</v>
      </c>
      <c r="H570" s="27" t="s">
        <v>264</v>
      </c>
      <c r="I570" s="27">
        <v>2026</v>
      </c>
      <c r="J570" s="27" t="s">
        <v>50</v>
      </c>
      <c r="K570" s="27" t="s">
        <v>156</v>
      </c>
      <c r="L570" s="27" t="s">
        <v>21</v>
      </c>
      <c r="M570" s="27" t="s">
        <v>22</v>
      </c>
      <c r="N570" s="40" t="s">
        <v>33</v>
      </c>
      <c r="O570" s="27" t="s">
        <v>33</v>
      </c>
      <c r="P570" s="27" t="s">
        <v>33</v>
      </c>
      <c r="Q570" s="41"/>
      <c r="R570" s="40"/>
    </row>
    <row r="571" spans="1:18" ht="30" customHeight="1" x14ac:dyDescent="0.3">
      <c r="A571" s="26" t="str">
        <f t="shared" si="16"/>
        <v>2026단국대(죽전)</v>
      </c>
      <c r="B571" s="26">
        <f>COUNTIFS($A$4:A571,A571)</f>
        <v>10</v>
      </c>
      <c r="C571" s="26" t="str">
        <f t="shared" si="17"/>
        <v>2026단국대(죽전)10</v>
      </c>
      <c r="E571" s="39" t="s">
        <v>148</v>
      </c>
      <c r="F571" s="26" t="s">
        <v>17</v>
      </c>
      <c r="H571" s="27" t="s">
        <v>264</v>
      </c>
      <c r="I571" s="27">
        <v>2026</v>
      </c>
      <c r="J571" s="27" t="s">
        <v>50</v>
      </c>
      <c r="K571" s="27" t="s">
        <v>156</v>
      </c>
      <c r="L571" s="27" t="s">
        <v>24</v>
      </c>
      <c r="M571" s="27" t="s">
        <v>22</v>
      </c>
      <c r="N571" s="40" t="s">
        <v>33</v>
      </c>
      <c r="O571" s="27" t="s">
        <v>33</v>
      </c>
      <c r="P571" s="27" t="s">
        <v>33</v>
      </c>
      <c r="Q571" s="41"/>
      <c r="R571" s="40"/>
    </row>
    <row r="572" spans="1:18" ht="30" customHeight="1" x14ac:dyDescent="0.3">
      <c r="A572" s="26" t="str">
        <f t="shared" si="16"/>
        <v>2027단국대(죽전)</v>
      </c>
      <c r="B572" s="26">
        <f>COUNTIFS($A$4:A572,A572)</f>
        <v>1</v>
      </c>
      <c r="C572" s="26" t="str">
        <f t="shared" si="17"/>
        <v>2027단국대(죽전)1</v>
      </c>
      <c r="E572" s="39" t="s">
        <v>148</v>
      </c>
      <c r="F572" s="26" t="s">
        <v>17</v>
      </c>
      <c r="H572" s="27" t="s">
        <v>264</v>
      </c>
      <c r="I572" s="27">
        <v>2027</v>
      </c>
      <c r="J572" s="27" t="s">
        <v>38</v>
      </c>
      <c r="K572" s="27" t="s">
        <v>172</v>
      </c>
      <c r="L572" s="27" t="s">
        <v>21</v>
      </c>
      <c r="M572" s="27" t="s">
        <v>22</v>
      </c>
      <c r="N572" s="40" t="s">
        <v>169</v>
      </c>
      <c r="O572" s="27" t="s">
        <v>33</v>
      </c>
      <c r="P572" s="27" t="s">
        <v>33</v>
      </c>
      <c r="Q572" s="41"/>
      <c r="R572" s="40"/>
    </row>
    <row r="573" spans="1:18" ht="30" customHeight="1" x14ac:dyDescent="0.3">
      <c r="A573" s="26" t="str">
        <f t="shared" si="16"/>
        <v>2027단국대(죽전)</v>
      </c>
      <c r="B573" s="26">
        <f>COUNTIFS($A$4:A573,A573)</f>
        <v>2</v>
      </c>
      <c r="C573" s="26" t="str">
        <f t="shared" si="17"/>
        <v>2027단국대(죽전)2</v>
      </c>
      <c r="E573" s="39" t="s">
        <v>148</v>
      </c>
      <c r="F573" s="26" t="s">
        <v>17</v>
      </c>
      <c r="H573" s="27" t="s">
        <v>264</v>
      </c>
      <c r="I573" s="27">
        <v>2027</v>
      </c>
      <c r="J573" s="27" t="s">
        <v>38</v>
      </c>
      <c r="K573" s="27" t="s">
        <v>172</v>
      </c>
      <c r="L573" s="27" t="s">
        <v>24</v>
      </c>
      <c r="M573" s="27" t="s">
        <v>22</v>
      </c>
      <c r="N573" s="40" t="s">
        <v>169</v>
      </c>
      <c r="O573" s="27" t="s">
        <v>33</v>
      </c>
      <c r="P573" s="27" t="s">
        <v>33</v>
      </c>
      <c r="Q573" s="41"/>
      <c r="R573" s="40"/>
    </row>
    <row r="574" spans="1:18" ht="30" customHeight="1" x14ac:dyDescent="0.3">
      <c r="A574" s="26" t="str">
        <f t="shared" si="16"/>
        <v>2027단국대(죽전)</v>
      </c>
      <c r="B574" s="26">
        <f>COUNTIFS($A$4:A574,A574)</f>
        <v>3</v>
      </c>
      <c r="C574" s="26" t="str">
        <f t="shared" si="17"/>
        <v>2027단국대(죽전)3</v>
      </c>
      <c r="E574" s="39" t="s">
        <v>148</v>
      </c>
      <c r="F574" s="26" t="s">
        <v>17</v>
      </c>
      <c r="H574" s="27" t="s">
        <v>264</v>
      </c>
      <c r="I574" s="27">
        <v>2027</v>
      </c>
      <c r="J574" s="27" t="s">
        <v>19</v>
      </c>
      <c r="K574" s="27" t="s">
        <v>265</v>
      </c>
      <c r="L574" s="27" t="s">
        <v>21</v>
      </c>
      <c r="M574" s="27" t="s">
        <v>22</v>
      </c>
      <c r="N574" s="40" t="s">
        <v>33</v>
      </c>
      <c r="O574" s="27" t="s">
        <v>33</v>
      </c>
      <c r="P574" s="27" t="s">
        <v>33</v>
      </c>
      <c r="Q574" s="41"/>
      <c r="R574" s="40"/>
    </row>
    <row r="575" spans="1:18" ht="30" customHeight="1" x14ac:dyDescent="0.3">
      <c r="A575" s="26" t="str">
        <f t="shared" si="16"/>
        <v>2027단국대(죽전)</v>
      </c>
      <c r="B575" s="26">
        <f>COUNTIFS($A$4:A575,A575)</f>
        <v>4</v>
      </c>
      <c r="C575" s="26" t="str">
        <f t="shared" si="17"/>
        <v>2027단국대(죽전)4</v>
      </c>
      <c r="E575" s="39" t="s">
        <v>148</v>
      </c>
      <c r="F575" s="26" t="s">
        <v>17</v>
      </c>
      <c r="H575" s="27" t="s">
        <v>264</v>
      </c>
      <c r="I575" s="27">
        <v>2027</v>
      </c>
      <c r="J575" s="27" t="s">
        <v>19</v>
      </c>
      <c r="K575" s="27" t="s">
        <v>265</v>
      </c>
      <c r="L575" s="27" t="s">
        <v>24</v>
      </c>
      <c r="M575" s="27" t="s">
        <v>22</v>
      </c>
      <c r="N575" s="40" t="s">
        <v>33</v>
      </c>
      <c r="O575" s="27" t="s">
        <v>33</v>
      </c>
      <c r="P575" s="27" t="s">
        <v>33</v>
      </c>
      <c r="Q575" s="41"/>
      <c r="R575" s="40"/>
    </row>
    <row r="576" spans="1:18" ht="30" customHeight="1" x14ac:dyDescent="0.3">
      <c r="A576" s="26" t="str">
        <f t="shared" si="16"/>
        <v>2027단국대(죽전)</v>
      </c>
      <c r="B576" s="26">
        <f>COUNTIFS($A$4:A576,A576)</f>
        <v>5</v>
      </c>
      <c r="C576" s="26" t="str">
        <f t="shared" si="17"/>
        <v>2027단국대(죽전)5</v>
      </c>
      <c r="E576" s="39" t="s">
        <v>148</v>
      </c>
      <c r="F576" s="26" t="s">
        <v>17</v>
      </c>
      <c r="H576" s="27" t="s">
        <v>264</v>
      </c>
      <c r="I576" s="27">
        <v>2027</v>
      </c>
      <c r="J576" s="27" t="s">
        <v>19</v>
      </c>
      <c r="K576" s="27" t="s">
        <v>266</v>
      </c>
      <c r="L576" s="27" t="s">
        <v>21</v>
      </c>
      <c r="M576" s="27" t="s">
        <v>22</v>
      </c>
      <c r="N576" s="40" t="s">
        <v>33</v>
      </c>
      <c r="O576" s="27" t="s">
        <v>33</v>
      </c>
      <c r="P576" s="27" t="s">
        <v>33</v>
      </c>
      <c r="Q576" s="41"/>
      <c r="R576" s="40"/>
    </row>
    <row r="577" spans="1:18" ht="30" customHeight="1" x14ac:dyDescent="0.3">
      <c r="A577" s="26" t="str">
        <f t="shared" si="16"/>
        <v>2027단국대(죽전)</v>
      </c>
      <c r="B577" s="26">
        <f>COUNTIFS($A$4:A577,A577)</f>
        <v>6</v>
      </c>
      <c r="C577" s="26" t="str">
        <f t="shared" si="17"/>
        <v>2027단국대(죽전)6</v>
      </c>
      <c r="E577" s="39" t="s">
        <v>148</v>
      </c>
      <c r="F577" s="26" t="s">
        <v>17</v>
      </c>
      <c r="H577" s="27" t="s">
        <v>264</v>
      </c>
      <c r="I577" s="27">
        <v>2027</v>
      </c>
      <c r="J577" s="27" t="s">
        <v>19</v>
      </c>
      <c r="K577" s="27" t="s">
        <v>266</v>
      </c>
      <c r="L577" s="27" t="s">
        <v>24</v>
      </c>
      <c r="M577" s="27" t="s">
        <v>22</v>
      </c>
      <c r="N577" s="40" t="s">
        <v>33</v>
      </c>
      <c r="O577" s="27" t="s">
        <v>33</v>
      </c>
      <c r="P577" s="27" t="s">
        <v>33</v>
      </c>
      <c r="Q577" s="41"/>
      <c r="R577" s="40"/>
    </row>
    <row r="578" spans="1:18" ht="30" customHeight="1" x14ac:dyDescent="0.3">
      <c r="A578" s="26" t="str">
        <f t="shared" si="16"/>
        <v>2027단국대(죽전)</v>
      </c>
      <c r="B578" s="26">
        <f>COUNTIFS($A$4:A578,A578)</f>
        <v>7</v>
      </c>
      <c r="C578" s="26" t="str">
        <f t="shared" si="17"/>
        <v>2027단국대(죽전)7</v>
      </c>
      <c r="E578" s="39" t="s">
        <v>148</v>
      </c>
      <c r="F578" s="26" t="s">
        <v>17</v>
      </c>
      <c r="H578" s="27" t="s">
        <v>264</v>
      </c>
      <c r="I578" s="27">
        <v>2027</v>
      </c>
      <c r="J578" s="27" t="s">
        <v>19</v>
      </c>
      <c r="K578" s="27" t="s">
        <v>168</v>
      </c>
      <c r="L578" s="27" t="s">
        <v>24</v>
      </c>
      <c r="M578" s="27" t="s">
        <v>22</v>
      </c>
      <c r="N578" s="40" t="s">
        <v>33</v>
      </c>
      <c r="O578" s="27" t="s">
        <v>33</v>
      </c>
      <c r="P578" s="27" t="s">
        <v>33</v>
      </c>
      <c r="Q578" s="41"/>
      <c r="R578" s="40"/>
    </row>
    <row r="579" spans="1:18" ht="30" customHeight="1" x14ac:dyDescent="0.3">
      <c r="A579" s="26" t="str">
        <f t="shared" si="16"/>
        <v>2027단국대(죽전)</v>
      </c>
      <c r="B579" s="26">
        <f>COUNTIFS($A$4:A579,A579)</f>
        <v>8</v>
      </c>
      <c r="C579" s="26" t="str">
        <f t="shared" si="17"/>
        <v>2027단국대(죽전)8</v>
      </c>
      <c r="E579" s="39" t="s">
        <v>148</v>
      </c>
      <c r="F579" s="26" t="s">
        <v>17</v>
      </c>
      <c r="H579" s="27" t="s">
        <v>264</v>
      </c>
      <c r="I579" s="27">
        <v>2027</v>
      </c>
      <c r="J579" s="27" t="s">
        <v>19</v>
      </c>
      <c r="K579" s="27" t="s">
        <v>267</v>
      </c>
      <c r="L579" s="27" t="s">
        <v>94</v>
      </c>
      <c r="M579" s="27" t="s">
        <v>22</v>
      </c>
      <c r="N579" s="40" t="s">
        <v>22</v>
      </c>
      <c r="O579" s="27" t="s">
        <v>22</v>
      </c>
      <c r="P579" s="27" t="s">
        <v>22</v>
      </c>
      <c r="Q579" s="41"/>
      <c r="R579" s="40"/>
    </row>
    <row r="580" spans="1:18" ht="30" customHeight="1" x14ac:dyDescent="0.3">
      <c r="A580" s="26" t="str">
        <f t="shared" ref="A580:A643" si="18">I580&amp;H580</f>
        <v>2027단국대(죽전)</v>
      </c>
      <c r="B580" s="26">
        <f>COUNTIFS($A$4:A580,A580)</f>
        <v>9</v>
      </c>
      <c r="C580" s="26" t="str">
        <f t="shared" ref="C580:C643" si="19">A580&amp;B580</f>
        <v>2027단국대(죽전)9</v>
      </c>
      <c r="E580" s="39" t="s">
        <v>148</v>
      </c>
      <c r="F580" s="26" t="s">
        <v>17</v>
      </c>
      <c r="H580" s="27" t="s">
        <v>264</v>
      </c>
      <c r="I580" s="27">
        <v>2027</v>
      </c>
      <c r="J580" s="27" t="s">
        <v>19</v>
      </c>
      <c r="K580" s="27" t="s">
        <v>267</v>
      </c>
      <c r="L580" s="27" t="s">
        <v>95</v>
      </c>
      <c r="M580" s="27" t="s">
        <v>22</v>
      </c>
      <c r="N580" s="40" t="s">
        <v>22</v>
      </c>
      <c r="O580" s="27" t="s">
        <v>22</v>
      </c>
      <c r="P580" s="27" t="s">
        <v>22</v>
      </c>
      <c r="Q580" s="41"/>
      <c r="R580" s="40"/>
    </row>
    <row r="581" spans="1:18" ht="30" customHeight="1" x14ac:dyDescent="0.3">
      <c r="A581" s="26" t="str">
        <f t="shared" si="18"/>
        <v>2027단국대(죽전)</v>
      </c>
      <c r="B581" s="26">
        <f>COUNTIFS($A$4:A581,A581)</f>
        <v>10</v>
      </c>
      <c r="C581" s="26" t="str">
        <f t="shared" si="19"/>
        <v>2027단국대(죽전)10</v>
      </c>
      <c r="E581" s="39" t="s">
        <v>148</v>
      </c>
      <c r="F581" s="26" t="s">
        <v>17</v>
      </c>
      <c r="H581" s="27" t="s">
        <v>264</v>
      </c>
      <c r="I581" s="27">
        <v>2027</v>
      </c>
      <c r="J581" s="27" t="s">
        <v>50</v>
      </c>
      <c r="K581" s="27" t="s">
        <v>156</v>
      </c>
      <c r="L581" s="27" t="s">
        <v>21</v>
      </c>
      <c r="M581" s="27" t="s">
        <v>22</v>
      </c>
      <c r="N581" s="40" t="s">
        <v>33</v>
      </c>
      <c r="O581" s="27" t="s">
        <v>22</v>
      </c>
      <c r="P581" s="27" t="s">
        <v>22</v>
      </c>
      <c r="Q581" s="41"/>
      <c r="R581" s="40"/>
    </row>
    <row r="582" spans="1:18" ht="30" customHeight="1" x14ac:dyDescent="0.3">
      <c r="A582" s="26" t="str">
        <f t="shared" si="18"/>
        <v>2027단국대(죽전)</v>
      </c>
      <c r="B582" s="26">
        <f>COUNTIFS($A$4:A582,A582)</f>
        <v>11</v>
      </c>
      <c r="C582" s="26" t="str">
        <f t="shared" si="19"/>
        <v>2027단국대(죽전)11</v>
      </c>
      <c r="E582" s="39" t="s">
        <v>148</v>
      </c>
      <c r="F582" s="26" t="s">
        <v>17</v>
      </c>
      <c r="H582" s="27" t="s">
        <v>264</v>
      </c>
      <c r="I582" s="27">
        <v>2027</v>
      </c>
      <c r="J582" s="27" t="s">
        <v>50</v>
      </c>
      <c r="K582" s="27" t="s">
        <v>156</v>
      </c>
      <c r="L582" s="27" t="s">
        <v>24</v>
      </c>
      <c r="M582" s="27" t="s">
        <v>22</v>
      </c>
      <c r="N582" s="40" t="s">
        <v>33</v>
      </c>
      <c r="O582" s="27" t="s">
        <v>22</v>
      </c>
      <c r="P582" s="27" t="s">
        <v>22</v>
      </c>
      <c r="Q582" s="41"/>
      <c r="R582" s="40"/>
    </row>
    <row r="583" spans="1:18" ht="96" x14ac:dyDescent="0.3">
      <c r="A583" s="26" t="str">
        <f t="shared" si="18"/>
        <v>2025단국대(천안)</v>
      </c>
      <c r="B583" s="26">
        <f>COUNTIFS($A$4:A583,A583)</f>
        <v>1</v>
      </c>
      <c r="C583" s="26" t="str">
        <f t="shared" si="19"/>
        <v>2025단국대(천안)1</v>
      </c>
      <c r="E583" s="39" t="s">
        <v>148</v>
      </c>
      <c r="F583" s="26" t="s">
        <v>17</v>
      </c>
      <c r="H583" s="27" t="s">
        <v>268</v>
      </c>
      <c r="I583" s="27">
        <v>2025</v>
      </c>
      <c r="J583" s="27" t="s">
        <v>38</v>
      </c>
      <c r="K583" s="27" t="s">
        <v>269</v>
      </c>
      <c r="L583" s="27" t="s">
        <v>21</v>
      </c>
      <c r="M583" s="27" t="s">
        <v>22</v>
      </c>
      <c r="N583" s="29" t="s">
        <v>270</v>
      </c>
      <c r="O583" s="27" t="s">
        <v>22</v>
      </c>
      <c r="P583" s="27" t="s">
        <v>22</v>
      </c>
      <c r="Q583" s="32" t="s">
        <v>271</v>
      </c>
      <c r="R583" s="40"/>
    </row>
    <row r="584" spans="1:18" ht="60" x14ac:dyDescent="0.3">
      <c r="A584" s="26" t="str">
        <f t="shared" si="18"/>
        <v>2025단국대(천안)</v>
      </c>
      <c r="B584" s="26">
        <f>COUNTIFS($A$4:A584,A584)</f>
        <v>2</v>
      </c>
      <c r="C584" s="26" t="str">
        <f t="shared" si="19"/>
        <v>2025단국대(천안)2</v>
      </c>
      <c r="E584" s="39" t="s">
        <v>148</v>
      </c>
      <c r="F584" s="26" t="s">
        <v>17</v>
      </c>
      <c r="H584" s="27" t="s">
        <v>268</v>
      </c>
      <c r="I584" s="27">
        <v>2025</v>
      </c>
      <c r="J584" s="27" t="s">
        <v>38</v>
      </c>
      <c r="K584" s="27" t="s">
        <v>269</v>
      </c>
      <c r="L584" s="27" t="s">
        <v>24</v>
      </c>
      <c r="M584" s="27" t="s">
        <v>22</v>
      </c>
      <c r="N584" s="29" t="s">
        <v>272</v>
      </c>
      <c r="O584" s="27" t="s">
        <v>22</v>
      </c>
      <c r="P584" s="27" t="s">
        <v>22</v>
      </c>
      <c r="Q584" s="41"/>
      <c r="R584" s="40"/>
    </row>
    <row r="585" spans="1:18" ht="30" customHeight="1" x14ac:dyDescent="0.3">
      <c r="A585" s="26" t="str">
        <f t="shared" si="18"/>
        <v>2025단국대(천안)</v>
      </c>
      <c r="B585" s="26">
        <f>COUNTIFS($A$4:A585,A585)</f>
        <v>3</v>
      </c>
      <c r="C585" s="26" t="str">
        <f t="shared" si="19"/>
        <v>2025단국대(천안)3</v>
      </c>
      <c r="E585" s="39" t="s">
        <v>148</v>
      </c>
      <c r="F585" s="26" t="s">
        <v>17</v>
      </c>
      <c r="H585" s="27" t="s">
        <v>268</v>
      </c>
      <c r="I585" s="27">
        <v>2025</v>
      </c>
      <c r="J585" s="27" t="s">
        <v>273</v>
      </c>
      <c r="K585" s="27" t="s">
        <v>265</v>
      </c>
      <c r="L585" s="27" t="s">
        <v>94</v>
      </c>
      <c r="M585" s="27" t="s">
        <v>22</v>
      </c>
      <c r="N585" s="29" t="s">
        <v>22</v>
      </c>
      <c r="O585" s="27" t="s">
        <v>22</v>
      </c>
      <c r="P585" s="27" t="s">
        <v>22</v>
      </c>
      <c r="Q585" s="41"/>
      <c r="R585" s="40"/>
    </row>
    <row r="586" spans="1:18" ht="30" customHeight="1" x14ac:dyDescent="0.3">
      <c r="A586" s="26" t="str">
        <f t="shared" si="18"/>
        <v>2025단국대(천안)</v>
      </c>
      <c r="B586" s="26">
        <f>COUNTIFS($A$4:A586,A586)</f>
        <v>4</v>
      </c>
      <c r="C586" s="26" t="str">
        <f t="shared" si="19"/>
        <v>2025단국대(천안)4</v>
      </c>
      <c r="E586" s="39" t="s">
        <v>148</v>
      </c>
      <c r="F586" s="26" t="s">
        <v>17</v>
      </c>
      <c r="H586" s="27" t="s">
        <v>268</v>
      </c>
      <c r="I586" s="27">
        <v>2025</v>
      </c>
      <c r="J586" s="27" t="s">
        <v>273</v>
      </c>
      <c r="K586" s="27" t="s">
        <v>265</v>
      </c>
      <c r="L586" s="27" t="s">
        <v>95</v>
      </c>
      <c r="M586" s="27" t="s">
        <v>22</v>
      </c>
      <c r="N586" s="29" t="s">
        <v>22</v>
      </c>
      <c r="O586" s="27" t="s">
        <v>22</v>
      </c>
      <c r="P586" s="27" t="s">
        <v>22</v>
      </c>
      <c r="Q586" s="41"/>
      <c r="R586" s="40"/>
    </row>
    <row r="587" spans="1:18" ht="30" customHeight="1" x14ac:dyDescent="0.3">
      <c r="A587" s="26" t="str">
        <f t="shared" si="18"/>
        <v>2025단국대(천안)</v>
      </c>
      <c r="B587" s="26">
        <f>COUNTIFS($A$4:A587,A587)</f>
        <v>5</v>
      </c>
      <c r="C587" s="26" t="str">
        <f t="shared" si="19"/>
        <v>2025단국대(천안)5</v>
      </c>
      <c r="E587" s="39" t="s">
        <v>148</v>
      </c>
      <c r="F587" s="26" t="s">
        <v>17</v>
      </c>
      <c r="H587" s="27" t="s">
        <v>268</v>
      </c>
      <c r="I587" s="27">
        <v>2025</v>
      </c>
      <c r="J587" s="27" t="s">
        <v>273</v>
      </c>
      <c r="K587" s="27" t="s">
        <v>266</v>
      </c>
      <c r="L587" s="27" t="s">
        <v>94</v>
      </c>
      <c r="M587" s="27" t="s">
        <v>22</v>
      </c>
      <c r="N587" s="29" t="s">
        <v>22</v>
      </c>
      <c r="O587" s="27" t="s">
        <v>22</v>
      </c>
      <c r="P587" s="27" t="s">
        <v>22</v>
      </c>
      <c r="Q587" s="41"/>
      <c r="R587" s="40"/>
    </row>
    <row r="588" spans="1:18" ht="30" customHeight="1" x14ac:dyDescent="0.3">
      <c r="A588" s="26" t="str">
        <f t="shared" si="18"/>
        <v>2025단국대(천안)</v>
      </c>
      <c r="B588" s="26">
        <f>COUNTIFS($A$4:A588,A588)</f>
        <v>6</v>
      </c>
      <c r="C588" s="26" t="str">
        <f t="shared" si="19"/>
        <v>2025단국대(천안)6</v>
      </c>
      <c r="E588" s="39" t="s">
        <v>148</v>
      </c>
      <c r="F588" s="26" t="s">
        <v>17</v>
      </c>
      <c r="H588" s="27" t="s">
        <v>268</v>
      </c>
      <c r="I588" s="27">
        <v>2025</v>
      </c>
      <c r="J588" s="27" t="s">
        <v>273</v>
      </c>
      <c r="K588" s="27" t="s">
        <v>266</v>
      </c>
      <c r="L588" s="27" t="s">
        <v>95</v>
      </c>
      <c r="M588" s="27" t="s">
        <v>22</v>
      </c>
      <c r="N588" s="29" t="s">
        <v>22</v>
      </c>
      <c r="O588" s="27" t="s">
        <v>22</v>
      </c>
      <c r="P588" s="27" t="s">
        <v>22</v>
      </c>
      <c r="Q588" s="41"/>
      <c r="R588" s="40"/>
    </row>
    <row r="589" spans="1:18" ht="60" x14ac:dyDescent="0.3">
      <c r="A589" s="26" t="str">
        <f t="shared" si="18"/>
        <v>2025단국대(천안)</v>
      </c>
      <c r="B589" s="26">
        <f>COUNTIFS($A$4:A589,A589)</f>
        <v>7</v>
      </c>
      <c r="C589" s="26" t="str">
        <f t="shared" si="19"/>
        <v>2025단국대(천안)7</v>
      </c>
      <c r="E589" s="39" t="s">
        <v>148</v>
      </c>
      <c r="F589" s="26" t="s">
        <v>17</v>
      </c>
      <c r="H589" s="27" t="s">
        <v>268</v>
      </c>
      <c r="I589" s="27">
        <v>2025</v>
      </c>
      <c r="J589" s="27" t="s">
        <v>273</v>
      </c>
      <c r="K589" s="27" t="s">
        <v>266</v>
      </c>
      <c r="L589" s="27" t="s">
        <v>24</v>
      </c>
      <c r="M589" s="27" t="s">
        <v>42</v>
      </c>
      <c r="N589" s="29" t="s">
        <v>274</v>
      </c>
      <c r="O589" s="27" t="s">
        <v>27</v>
      </c>
      <c r="P589" s="27" t="s">
        <v>28</v>
      </c>
      <c r="Q589" s="41"/>
      <c r="R589" s="40"/>
    </row>
    <row r="590" spans="1:18" ht="60" x14ac:dyDescent="0.3">
      <c r="A590" s="26" t="str">
        <f t="shared" si="18"/>
        <v>2026단국대(천안)</v>
      </c>
      <c r="B590" s="26">
        <f>COUNTIFS($A$4:A590,A590)</f>
        <v>1</v>
      </c>
      <c r="C590" s="26" t="str">
        <f t="shared" si="19"/>
        <v>2026단국대(천안)1</v>
      </c>
      <c r="E590" s="39" t="s">
        <v>148</v>
      </c>
      <c r="F590" s="26" t="s">
        <v>17</v>
      </c>
      <c r="H590" s="27" t="s">
        <v>268</v>
      </c>
      <c r="I590" s="27">
        <v>2026</v>
      </c>
      <c r="J590" s="27" t="s">
        <v>38</v>
      </c>
      <c r="K590" s="27" t="s">
        <v>269</v>
      </c>
      <c r="L590" s="27" t="s">
        <v>21</v>
      </c>
      <c r="M590" s="27" t="s">
        <v>22</v>
      </c>
      <c r="N590" s="29" t="s">
        <v>275</v>
      </c>
      <c r="O590" s="27" t="s">
        <v>22</v>
      </c>
      <c r="P590" s="27" t="s">
        <v>22</v>
      </c>
      <c r="Q590" s="32" t="s">
        <v>276</v>
      </c>
      <c r="R590" s="40"/>
    </row>
    <row r="591" spans="1:18" ht="60" x14ac:dyDescent="0.3">
      <c r="A591" s="26" t="str">
        <f t="shared" si="18"/>
        <v>2026단국대(천안)</v>
      </c>
      <c r="B591" s="26">
        <f>COUNTIFS($A$4:A591,A591)</f>
        <v>2</v>
      </c>
      <c r="C591" s="26" t="str">
        <f t="shared" si="19"/>
        <v>2026단국대(천안)2</v>
      </c>
      <c r="E591" s="39" t="s">
        <v>148</v>
      </c>
      <c r="F591" s="26" t="s">
        <v>17</v>
      </c>
      <c r="H591" s="27" t="s">
        <v>268</v>
      </c>
      <c r="I591" s="27">
        <v>2026</v>
      </c>
      <c r="J591" s="27" t="s">
        <v>38</v>
      </c>
      <c r="K591" s="27" t="s">
        <v>269</v>
      </c>
      <c r="L591" s="27" t="s">
        <v>24</v>
      </c>
      <c r="M591" s="27" t="s">
        <v>22</v>
      </c>
      <c r="N591" s="29" t="s">
        <v>272</v>
      </c>
      <c r="O591" s="27" t="s">
        <v>22</v>
      </c>
      <c r="P591" s="27" t="s">
        <v>22</v>
      </c>
      <c r="Q591" s="41"/>
      <c r="R591" s="40"/>
    </row>
    <row r="592" spans="1:18" ht="96" x14ac:dyDescent="0.3">
      <c r="A592" s="26" t="str">
        <f t="shared" si="18"/>
        <v>2026단국대(천안)</v>
      </c>
      <c r="B592" s="26">
        <f>COUNTIFS($A$4:A592,A592)</f>
        <v>3</v>
      </c>
      <c r="C592" s="26" t="str">
        <f t="shared" si="19"/>
        <v>2026단국대(천안)3</v>
      </c>
      <c r="E592" s="39" t="s">
        <v>148</v>
      </c>
      <c r="F592" s="26" t="s">
        <v>277</v>
      </c>
      <c r="H592" s="27" t="s">
        <v>268</v>
      </c>
      <c r="I592" s="27">
        <v>2026</v>
      </c>
      <c r="J592" s="27" t="s">
        <v>38</v>
      </c>
      <c r="K592" s="27" t="s">
        <v>278</v>
      </c>
      <c r="L592" s="27" t="s">
        <v>95</v>
      </c>
      <c r="M592" s="27" t="s">
        <v>42</v>
      </c>
      <c r="N592" s="29" t="s">
        <v>279</v>
      </c>
      <c r="O592" s="27" t="s">
        <v>27</v>
      </c>
      <c r="P592" s="27" t="s">
        <v>28</v>
      </c>
      <c r="Q592" s="32" t="s">
        <v>238</v>
      </c>
      <c r="R592" s="40"/>
    </row>
    <row r="593" spans="1:18" ht="30" customHeight="1" x14ac:dyDescent="0.3">
      <c r="A593" s="26" t="str">
        <f t="shared" si="18"/>
        <v>2026단국대(천안)</v>
      </c>
      <c r="B593" s="26">
        <f>COUNTIFS($A$4:A593,A593)</f>
        <v>4</v>
      </c>
      <c r="C593" s="26" t="str">
        <f t="shared" si="19"/>
        <v>2026단국대(천안)4</v>
      </c>
      <c r="E593" s="39" t="s">
        <v>148</v>
      </c>
      <c r="F593" s="26" t="s">
        <v>17</v>
      </c>
      <c r="H593" s="27" t="s">
        <v>268</v>
      </c>
      <c r="I593" s="27">
        <v>2026</v>
      </c>
      <c r="J593" s="27" t="s">
        <v>273</v>
      </c>
      <c r="K593" s="27" t="s">
        <v>265</v>
      </c>
      <c r="L593" s="27" t="s">
        <v>94</v>
      </c>
      <c r="M593" s="27" t="s">
        <v>22</v>
      </c>
      <c r="N593" s="29" t="s">
        <v>22</v>
      </c>
      <c r="O593" s="27" t="s">
        <v>22</v>
      </c>
      <c r="P593" s="27" t="s">
        <v>22</v>
      </c>
      <c r="Q593" s="41"/>
      <c r="R593" s="40"/>
    </row>
    <row r="594" spans="1:18" ht="30" customHeight="1" x14ac:dyDescent="0.3">
      <c r="A594" s="26" t="str">
        <f t="shared" si="18"/>
        <v>2026단국대(천안)</v>
      </c>
      <c r="B594" s="26">
        <f>COUNTIFS($A$4:A594,A594)</f>
        <v>5</v>
      </c>
      <c r="C594" s="26" t="str">
        <f t="shared" si="19"/>
        <v>2026단국대(천안)5</v>
      </c>
      <c r="E594" s="39" t="s">
        <v>148</v>
      </c>
      <c r="F594" s="26" t="s">
        <v>17</v>
      </c>
      <c r="H594" s="27" t="s">
        <v>268</v>
      </c>
      <c r="I594" s="27">
        <v>2026</v>
      </c>
      <c r="J594" s="27" t="s">
        <v>273</v>
      </c>
      <c r="K594" s="27" t="s">
        <v>265</v>
      </c>
      <c r="L594" s="27" t="s">
        <v>95</v>
      </c>
      <c r="M594" s="27" t="s">
        <v>22</v>
      </c>
      <c r="N594" s="29" t="s">
        <v>22</v>
      </c>
      <c r="O594" s="27" t="s">
        <v>22</v>
      </c>
      <c r="P594" s="27" t="s">
        <v>22</v>
      </c>
      <c r="Q594" s="41"/>
      <c r="R594" s="40"/>
    </row>
    <row r="595" spans="1:18" ht="30" customHeight="1" x14ac:dyDescent="0.3">
      <c r="A595" s="26" t="str">
        <f t="shared" si="18"/>
        <v>2026단국대(천안)</v>
      </c>
      <c r="B595" s="26">
        <f>COUNTIFS($A$4:A595,A595)</f>
        <v>6</v>
      </c>
      <c r="C595" s="26" t="str">
        <f t="shared" si="19"/>
        <v>2026단국대(천안)6</v>
      </c>
      <c r="E595" s="39" t="s">
        <v>148</v>
      </c>
      <c r="F595" s="26" t="s">
        <v>17</v>
      </c>
      <c r="H595" s="27" t="s">
        <v>268</v>
      </c>
      <c r="I595" s="27">
        <v>2026</v>
      </c>
      <c r="J595" s="27" t="s">
        <v>273</v>
      </c>
      <c r="K595" s="27" t="s">
        <v>266</v>
      </c>
      <c r="L595" s="27" t="s">
        <v>94</v>
      </c>
      <c r="M595" s="27" t="s">
        <v>22</v>
      </c>
      <c r="N595" s="29" t="s">
        <v>22</v>
      </c>
      <c r="O595" s="27" t="s">
        <v>22</v>
      </c>
      <c r="P595" s="27" t="s">
        <v>22</v>
      </c>
      <c r="Q595" s="41"/>
      <c r="R595" s="40"/>
    </row>
    <row r="596" spans="1:18" ht="30" customHeight="1" x14ac:dyDescent="0.3">
      <c r="A596" s="26" t="str">
        <f t="shared" si="18"/>
        <v>2026단국대(천안)</v>
      </c>
      <c r="B596" s="26">
        <f>COUNTIFS($A$4:A596,A596)</f>
        <v>7</v>
      </c>
      <c r="C596" s="26" t="str">
        <f t="shared" si="19"/>
        <v>2026단국대(천안)7</v>
      </c>
      <c r="E596" s="39" t="s">
        <v>148</v>
      </c>
      <c r="F596" s="26" t="s">
        <v>17</v>
      </c>
      <c r="H596" s="27" t="s">
        <v>268</v>
      </c>
      <c r="I596" s="27">
        <v>2026</v>
      </c>
      <c r="J596" s="27" t="s">
        <v>273</v>
      </c>
      <c r="K596" s="27" t="s">
        <v>266</v>
      </c>
      <c r="L596" s="27" t="s">
        <v>95</v>
      </c>
      <c r="M596" s="27" t="s">
        <v>22</v>
      </c>
      <c r="N596" s="29" t="s">
        <v>22</v>
      </c>
      <c r="O596" s="27" t="s">
        <v>22</v>
      </c>
      <c r="P596" s="27" t="s">
        <v>22</v>
      </c>
      <c r="Q596" s="41"/>
      <c r="R596" s="40"/>
    </row>
    <row r="597" spans="1:18" ht="60" x14ac:dyDescent="0.3">
      <c r="A597" s="26" t="str">
        <f t="shared" si="18"/>
        <v>2026단국대(천안)</v>
      </c>
      <c r="B597" s="26">
        <f>COUNTIFS($A$4:A597,A597)</f>
        <v>8</v>
      </c>
      <c r="C597" s="26" t="str">
        <f t="shared" si="19"/>
        <v>2026단국대(천안)8</v>
      </c>
      <c r="E597" s="39" t="s">
        <v>148</v>
      </c>
      <c r="F597" s="26" t="s">
        <v>17</v>
      </c>
      <c r="H597" s="27" t="s">
        <v>268</v>
      </c>
      <c r="I597" s="27">
        <v>2026</v>
      </c>
      <c r="J597" s="27" t="s">
        <v>273</v>
      </c>
      <c r="K597" s="27" t="s">
        <v>266</v>
      </c>
      <c r="L597" s="27" t="s">
        <v>24</v>
      </c>
      <c r="M597" s="27" t="s">
        <v>42</v>
      </c>
      <c r="N597" s="29" t="s">
        <v>274</v>
      </c>
      <c r="O597" s="27" t="s">
        <v>27</v>
      </c>
      <c r="P597" s="27" t="s">
        <v>28</v>
      </c>
      <c r="Q597" s="41"/>
      <c r="R597" s="40"/>
    </row>
    <row r="598" spans="1:18" ht="60" x14ac:dyDescent="0.3">
      <c r="A598" s="26" t="str">
        <f t="shared" si="18"/>
        <v>2026단국대(천안)</v>
      </c>
      <c r="B598" s="26">
        <f>COUNTIFS($A$4:A598,A598)</f>
        <v>9</v>
      </c>
      <c r="C598" s="26" t="str">
        <f t="shared" si="19"/>
        <v>2026단국대(천안)9</v>
      </c>
      <c r="E598" s="39" t="s">
        <v>148</v>
      </c>
      <c r="F598" s="26" t="s">
        <v>17</v>
      </c>
      <c r="H598" s="27" t="s">
        <v>268</v>
      </c>
      <c r="I598" s="27">
        <v>2026</v>
      </c>
      <c r="J598" s="27" t="s">
        <v>237</v>
      </c>
      <c r="K598" s="27" t="s">
        <v>156</v>
      </c>
      <c r="L598" s="27" t="s">
        <v>24</v>
      </c>
      <c r="M598" s="27" t="s">
        <v>42</v>
      </c>
      <c r="N598" s="29" t="s">
        <v>280</v>
      </c>
      <c r="O598" s="27" t="s">
        <v>27</v>
      </c>
      <c r="P598" s="27" t="s">
        <v>28</v>
      </c>
      <c r="Q598" s="32" t="s">
        <v>238</v>
      </c>
      <c r="R598" s="40"/>
    </row>
    <row r="599" spans="1:18" ht="60" x14ac:dyDescent="0.3">
      <c r="A599" s="26" t="str">
        <f t="shared" si="18"/>
        <v>2027단국대(천안)</v>
      </c>
      <c r="B599" s="26">
        <f>COUNTIFS($A$4:A599,A599)</f>
        <v>1</v>
      </c>
      <c r="C599" s="26" t="str">
        <f t="shared" si="19"/>
        <v>2027단국대(천안)1</v>
      </c>
      <c r="E599" s="39" t="s">
        <v>148</v>
      </c>
      <c r="F599" s="26" t="s">
        <v>17</v>
      </c>
      <c r="H599" s="27" t="s">
        <v>268</v>
      </c>
      <c r="I599" s="27">
        <v>2027</v>
      </c>
      <c r="J599" s="27" t="s">
        <v>38</v>
      </c>
      <c r="K599" s="27" t="s">
        <v>269</v>
      </c>
      <c r="L599" s="27" t="s">
        <v>21</v>
      </c>
      <c r="M599" s="27" t="s">
        <v>22</v>
      </c>
      <c r="N599" s="29" t="s">
        <v>275</v>
      </c>
      <c r="O599" s="27" t="s">
        <v>22</v>
      </c>
      <c r="P599" s="27" t="s">
        <v>22</v>
      </c>
      <c r="Q599" s="41"/>
      <c r="R599" s="40"/>
    </row>
    <row r="600" spans="1:18" ht="60" x14ac:dyDescent="0.3">
      <c r="A600" s="26" t="str">
        <f t="shared" si="18"/>
        <v>2027단국대(천안)</v>
      </c>
      <c r="B600" s="26">
        <f>COUNTIFS($A$4:A600,A600)</f>
        <v>2</v>
      </c>
      <c r="C600" s="26" t="str">
        <f t="shared" si="19"/>
        <v>2027단국대(천안)2</v>
      </c>
      <c r="E600" s="39" t="s">
        <v>148</v>
      </c>
      <c r="F600" s="26" t="s">
        <v>17</v>
      </c>
      <c r="H600" s="27" t="s">
        <v>268</v>
      </c>
      <c r="I600" s="27">
        <v>2027</v>
      </c>
      <c r="J600" s="27" t="s">
        <v>38</v>
      </c>
      <c r="K600" s="27" t="s">
        <v>269</v>
      </c>
      <c r="L600" s="27" t="s">
        <v>24</v>
      </c>
      <c r="M600" s="27" t="s">
        <v>22</v>
      </c>
      <c r="N600" s="29" t="s">
        <v>272</v>
      </c>
      <c r="O600" s="27" t="s">
        <v>22</v>
      </c>
      <c r="P600" s="27" t="s">
        <v>22</v>
      </c>
      <c r="Q600" s="41"/>
      <c r="R600" s="40"/>
    </row>
    <row r="601" spans="1:18" ht="96" x14ac:dyDescent="0.3">
      <c r="A601" s="26" t="str">
        <f t="shared" si="18"/>
        <v>2027단국대(천안)</v>
      </c>
      <c r="B601" s="26">
        <f>COUNTIFS($A$4:A601,A601)</f>
        <v>3</v>
      </c>
      <c r="C601" s="26" t="str">
        <f t="shared" si="19"/>
        <v>2027단국대(천안)3</v>
      </c>
      <c r="E601" s="39" t="s">
        <v>148</v>
      </c>
      <c r="F601" s="26" t="s">
        <v>17</v>
      </c>
      <c r="H601" s="27" t="s">
        <v>268</v>
      </c>
      <c r="I601" s="27">
        <v>2027</v>
      </c>
      <c r="J601" s="27" t="s">
        <v>38</v>
      </c>
      <c r="K601" s="27" t="s">
        <v>278</v>
      </c>
      <c r="L601" s="27" t="s">
        <v>95</v>
      </c>
      <c r="M601" s="27" t="s">
        <v>42</v>
      </c>
      <c r="N601" s="29" t="s">
        <v>279</v>
      </c>
      <c r="O601" s="27" t="s">
        <v>27</v>
      </c>
      <c r="P601" s="27" t="s">
        <v>28</v>
      </c>
      <c r="Q601" s="41"/>
      <c r="R601" s="40"/>
    </row>
    <row r="602" spans="1:18" ht="30" customHeight="1" x14ac:dyDescent="0.3">
      <c r="A602" s="26" t="str">
        <f t="shared" si="18"/>
        <v>2027단국대(천안)</v>
      </c>
      <c r="B602" s="26">
        <f>COUNTIFS($A$4:A602,A602)</f>
        <v>4</v>
      </c>
      <c r="C602" s="26" t="str">
        <f t="shared" si="19"/>
        <v>2027단국대(천안)4</v>
      </c>
      <c r="E602" s="39" t="s">
        <v>148</v>
      </c>
      <c r="F602" s="26" t="s">
        <v>17</v>
      </c>
      <c r="H602" s="27" t="s">
        <v>268</v>
      </c>
      <c r="I602" s="27">
        <v>2027</v>
      </c>
      <c r="J602" s="27" t="s">
        <v>273</v>
      </c>
      <c r="K602" s="27" t="s">
        <v>265</v>
      </c>
      <c r="L602" s="27" t="s">
        <v>94</v>
      </c>
      <c r="M602" s="27" t="s">
        <v>22</v>
      </c>
      <c r="N602" s="29" t="s">
        <v>22</v>
      </c>
      <c r="O602" s="27" t="s">
        <v>22</v>
      </c>
      <c r="P602" s="27" t="s">
        <v>22</v>
      </c>
      <c r="Q602" s="41"/>
      <c r="R602" s="40"/>
    </row>
    <row r="603" spans="1:18" ht="30" customHeight="1" x14ac:dyDescent="0.3">
      <c r="A603" s="26" t="str">
        <f t="shared" si="18"/>
        <v>2027단국대(천안)</v>
      </c>
      <c r="B603" s="26">
        <f>COUNTIFS($A$4:A603,A603)</f>
        <v>5</v>
      </c>
      <c r="C603" s="26" t="str">
        <f t="shared" si="19"/>
        <v>2027단국대(천안)5</v>
      </c>
      <c r="E603" s="39" t="s">
        <v>148</v>
      </c>
      <c r="F603" s="26" t="s">
        <v>17</v>
      </c>
      <c r="H603" s="27" t="s">
        <v>268</v>
      </c>
      <c r="I603" s="27">
        <v>2027</v>
      </c>
      <c r="J603" s="27" t="s">
        <v>273</v>
      </c>
      <c r="K603" s="27" t="s">
        <v>265</v>
      </c>
      <c r="L603" s="27" t="s">
        <v>95</v>
      </c>
      <c r="M603" s="27" t="s">
        <v>22</v>
      </c>
      <c r="N603" s="29" t="s">
        <v>22</v>
      </c>
      <c r="O603" s="27" t="s">
        <v>22</v>
      </c>
      <c r="P603" s="27" t="s">
        <v>22</v>
      </c>
      <c r="Q603" s="41"/>
      <c r="R603" s="40"/>
    </row>
    <row r="604" spans="1:18" ht="30" customHeight="1" x14ac:dyDescent="0.3">
      <c r="A604" s="26" t="str">
        <f t="shared" si="18"/>
        <v>2027단국대(천안)</v>
      </c>
      <c r="B604" s="26">
        <f>COUNTIFS($A$4:A604,A604)</f>
        <v>6</v>
      </c>
      <c r="C604" s="26" t="str">
        <f t="shared" si="19"/>
        <v>2027단국대(천안)6</v>
      </c>
      <c r="E604" s="39" t="s">
        <v>148</v>
      </c>
      <c r="F604" s="26" t="s">
        <v>17</v>
      </c>
      <c r="H604" s="27" t="s">
        <v>268</v>
      </c>
      <c r="I604" s="27">
        <v>2027</v>
      </c>
      <c r="J604" s="27" t="s">
        <v>273</v>
      </c>
      <c r="K604" s="27" t="s">
        <v>266</v>
      </c>
      <c r="L604" s="27" t="s">
        <v>94</v>
      </c>
      <c r="M604" s="27" t="s">
        <v>22</v>
      </c>
      <c r="N604" s="29" t="s">
        <v>22</v>
      </c>
      <c r="O604" s="27" t="s">
        <v>22</v>
      </c>
      <c r="P604" s="27" t="s">
        <v>22</v>
      </c>
      <c r="Q604" s="41"/>
      <c r="R604" s="40"/>
    </row>
    <row r="605" spans="1:18" ht="30" customHeight="1" x14ac:dyDescent="0.3">
      <c r="A605" s="26" t="str">
        <f t="shared" si="18"/>
        <v>2027단국대(천안)</v>
      </c>
      <c r="B605" s="26">
        <f>COUNTIFS($A$4:A605,A605)</f>
        <v>7</v>
      </c>
      <c r="C605" s="26" t="str">
        <f t="shared" si="19"/>
        <v>2027단국대(천안)7</v>
      </c>
      <c r="E605" s="39" t="s">
        <v>148</v>
      </c>
      <c r="F605" s="26" t="s">
        <v>17</v>
      </c>
      <c r="H605" s="27" t="s">
        <v>268</v>
      </c>
      <c r="I605" s="27">
        <v>2027</v>
      </c>
      <c r="J605" s="27" t="s">
        <v>273</v>
      </c>
      <c r="K605" s="27" t="s">
        <v>266</v>
      </c>
      <c r="L605" s="27" t="s">
        <v>95</v>
      </c>
      <c r="M605" s="27" t="s">
        <v>22</v>
      </c>
      <c r="N605" s="29" t="s">
        <v>22</v>
      </c>
      <c r="O605" s="27" t="s">
        <v>22</v>
      </c>
      <c r="P605" s="27" t="s">
        <v>22</v>
      </c>
      <c r="Q605" s="41"/>
      <c r="R605" s="40"/>
    </row>
    <row r="606" spans="1:18" ht="60" x14ac:dyDescent="0.3">
      <c r="A606" s="26" t="str">
        <f t="shared" si="18"/>
        <v>2027단국대(천안)</v>
      </c>
      <c r="B606" s="26">
        <f>COUNTIFS($A$4:A606,A606)</f>
        <v>8</v>
      </c>
      <c r="C606" s="26" t="str">
        <f t="shared" si="19"/>
        <v>2027단국대(천안)8</v>
      </c>
      <c r="E606" s="39" t="s">
        <v>148</v>
      </c>
      <c r="F606" s="26" t="s">
        <v>17</v>
      </c>
      <c r="H606" s="27" t="s">
        <v>268</v>
      </c>
      <c r="I606" s="27">
        <v>2027</v>
      </c>
      <c r="J606" s="27" t="s">
        <v>273</v>
      </c>
      <c r="K606" s="27" t="s">
        <v>266</v>
      </c>
      <c r="L606" s="27" t="s">
        <v>24</v>
      </c>
      <c r="M606" s="27" t="s">
        <v>42</v>
      </c>
      <c r="N606" s="29" t="s">
        <v>274</v>
      </c>
      <c r="O606" s="27" t="s">
        <v>27</v>
      </c>
      <c r="P606" s="27" t="s">
        <v>28</v>
      </c>
      <c r="Q606" s="41"/>
      <c r="R606" s="40"/>
    </row>
    <row r="607" spans="1:18" ht="30" customHeight="1" x14ac:dyDescent="0.3">
      <c r="A607" s="26" t="str">
        <f t="shared" si="18"/>
        <v>2025인하대</v>
      </c>
      <c r="B607" s="26">
        <f>COUNTIFS($A$4:A607,A607)</f>
        <v>1</v>
      </c>
      <c r="C607" s="26" t="str">
        <f t="shared" si="19"/>
        <v>2025인하대1</v>
      </c>
      <c r="E607" s="39" t="s">
        <v>148</v>
      </c>
      <c r="F607" s="26" t="s">
        <v>17</v>
      </c>
      <c r="H607" s="27" t="s">
        <v>281</v>
      </c>
      <c r="I607" s="27">
        <v>2025</v>
      </c>
      <c r="J607" s="27" t="s">
        <v>38</v>
      </c>
      <c r="K607" s="27" t="s">
        <v>20</v>
      </c>
      <c r="L607" s="27" t="s">
        <v>21</v>
      </c>
      <c r="M607" s="27" t="s">
        <v>22</v>
      </c>
      <c r="N607" s="40" t="s">
        <v>169</v>
      </c>
      <c r="O607" s="27" t="s">
        <v>33</v>
      </c>
      <c r="P607" s="27" t="s">
        <v>33</v>
      </c>
      <c r="Q607" s="41"/>
      <c r="R607" s="40"/>
    </row>
    <row r="608" spans="1:18" ht="30" customHeight="1" x14ac:dyDescent="0.3">
      <c r="A608" s="26" t="str">
        <f t="shared" si="18"/>
        <v>2025인하대</v>
      </c>
      <c r="B608" s="26">
        <f>COUNTIFS($A$4:A608,A608)</f>
        <v>2</v>
      </c>
      <c r="C608" s="26" t="str">
        <f t="shared" si="19"/>
        <v>2025인하대2</v>
      </c>
      <c r="E608" s="39" t="s">
        <v>148</v>
      </c>
      <c r="F608" s="26" t="s">
        <v>17</v>
      </c>
      <c r="H608" s="27" t="s">
        <v>281</v>
      </c>
      <c r="I608" s="27">
        <v>2025</v>
      </c>
      <c r="J608" s="27" t="s">
        <v>38</v>
      </c>
      <c r="K608" s="27" t="s">
        <v>20</v>
      </c>
      <c r="L608" s="27" t="s">
        <v>24</v>
      </c>
      <c r="M608" s="27" t="s">
        <v>22</v>
      </c>
      <c r="N608" s="40" t="s">
        <v>193</v>
      </c>
      <c r="O608" s="27" t="s">
        <v>33</v>
      </c>
      <c r="P608" s="27" t="s">
        <v>33</v>
      </c>
      <c r="Q608" s="41"/>
      <c r="R608" s="40"/>
    </row>
    <row r="609" spans="1:18" ht="30" customHeight="1" x14ac:dyDescent="0.3">
      <c r="A609" s="26" t="str">
        <f t="shared" si="18"/>
        <v>2025인하대</v>
      </c>
      <c r="B609" s="26">
        <f>COUNTIFS($A$4:A609,A609)</f>
        <v>3</v>
      </c>
      <c r="C609" s="26" t="str">
        <f t="shared" si="19"/>
        <v>2025인하대3</v>
      </c>
      <c r="E609" s="39" t="s">
        <v>148</v>
      </c>
      <c r="F609" s="26" t="s">
        <v>17</v>
      </c>
      <c r="H609" s="27" t="s">
        <v>281</v>
      </c>
      <c r="I609" s="27">
        <v>2025</v>
      </c>
      <c r="J609" s="27" t="s">
        <v>38</v>
      </c>
      <c r="K609" s="27" t="s">
        <v>20</v>
      </c>
      <c r="L609" s="27" t="s">
        <v>24</v>
      </c>
      <c r="M609" s="27" t="s">
        <v>42</v>
      </c>
      <c r="N609" s="29" t="s">
        <v>282</v>
      </c>
      <c r="O609" s="27" t="s">
        <v>33</v>
      </c>
      <c r="P609" s="27" t="s">
        <v>33</v>
      </c>
      <c r="Q609" s="41"/>
      <c r="R609" s="40"/>
    </row>
    <row r="610" spans="1:18" ht="30" customHeight="1" x14ac:dyDescent="0.3">
      <c r="A610" s="26" t="str">
        <f t="shared" si="18"/>
        <v>2025인하대</v>
      </c>
      <c r="B610" s="26">
        <f>COUNTIFS($A$4:A610,A610)</f>
        <v>4</v>
      </c>
      <c r="C610" s="26" t="str">
        <f t="shared" si="19"/>
        <v>2025인하대4</v>
      </c>
      <c r="E610" s="39" t="s">
        <v>148</v>
      </c>
      <c r="F610" s="26" t="s">
        <v>17</v>
      </c>
      <c r="H610" s="27" t="s">
        <v>281</v>
      </c>
      <c r="I610" s="27">
        <v>2025</v>
      </c>
      <c r="J610" s="27" t="s">
        <v>19</v>
      </c>
      <c r="K610" s="27" t="s">
        <v>283</v>
      </c>
      <c r="L610" s="27" t="s">
        <v>21</v>
      </c>
      <c r="M610" s="27" t="s">
        <v>22</v>
      </c>
      <c r="N610" s="40" t="s">
        <v>33</v>
      </c>
      <c r="O610" s="27" t="s">
        <v>33</v>
      </c>
      <c r="P610" s="27" t="s">
        <v>33</v>
      </c>
      <c r="Q610" s="41"/>
      <c r="R610" s="40"/>
    </row>
    <row r="611" spans="1:18" ht="30" customHeight="1" x14ac:dyDescent="0.3">
      <c r="A611" s="26" t="str">
        <f t="shared" si="18"/>
        <v>2025인하대</v>
      </c>
      <c r="B611" s="26">
        <f>COUNTIFS($A$4:A611,A611)</f>
        <v>5</v>
      </c>
      <c r="C611" s="26" t="str">
        <f t="shared" si="19"/>
        <v>2025인하대5</v>
      </c>
      <c r="E611" s="39" t="s">
        <v>148</v>
      </c>
      <c r="F611" s="26" t="s">
        <v>17</v>
      </c>
      <c r="H611" s="27" t="s">
        <v>281</v>
      </c>
      <c r="I611" s="27">
        <v>2025</v>
      </c>
      <c r="J611" s="27" t="s">
        <v>19</v>
      </c>
      <c r="K611" s="27" t="s">
        <v>283</v>
      </c>
      <c r="L611" s="27" t="s">
        <v>24</v>
      </c>
      <c r="M611" s="27" t="s">
        <v>22</v>
      </c>
      <c r="N611" s="40" t="s">
        <v>33</v>
      </c>
      <c r="O611" s="27" t="s">
        <v>33</v>
      </c>
      <c r="P611" s="27" t="s">
        <v>33</v>
      </c>
      <c r="Q611" s="41"/>
      <c r="R611" s="40"/>
    </row>
    <row r="612" spans="1:18" ht="30" customHeight="1" x14ac:dyDescent="0.3">
      <c r="A612" s="26" t="str">
        <f t="shared" si="18"/>
        <v>2025인하대</v>
      </c>
      <c r="B612" s="26">
        <f>COUNTIFS($A$4:A612,A612)</f>
        <v>6</v>
      </c>
      <c r="C612" s="26" t="str">
        <f t="shared" si="19"/>
        <v>2025인하대6</v>
      </c>
      <c r="E612" s="39" t="s">
        <v>148</v>
      </c>
      <c r="F612" s="26" t="s">
        <v>17</v>
      </c>
      <c r="H612" s="27" t="s">
        <v>281</v>
      </c>
      <c r="I612" s="27">
        <v>2025</v>
      </c>
      <c r="J612" s="27" t="s">
        <v>50</v>
      </c>
      <c r="K612" s="27" t="s">
        <v>156</v>
      </c>
      <c r="L612" s="27" t="s">
        <v>21</v>
      </c>
      <c r="M612" s="27" t="s">
        <v>22</v>
      </c>
      <c r="N612" s="40" t="s">
        <v>33</v>
      </c>
      <c r="O612" s="27" t="s">
        <v>33</v>
      </c>
      <c r="P612" s="27" t="s">
        <v>33</v>
      </c>
      <c r="Q612" s="41"/>
      <c r="R612" s="40"/>
    </row>
    <row r="613" spans="1:18" ht="30" customHeight="1" x14ac:dyDescent="0.3">
      <c r="A613" s="26" t="str">
        <f t="shared" si="18"/>
        <v>2025인하대</v>
      </c>
      <c r="B613" s="26">
        <f>COUNTIFS($A$4:A613,A613)</f>
        <v>7</v>
      </c>
      <c r="C613" s="26" t="str">
        <f t="shared" si="19"/>
        <v>2025인하대7</v>
      </c>
      <c r="E613" s="39" t="s">
        <v>148</v>
      </c>
      <c r="F613" s="26" t="s">
        <v>17</v>
      </c>
      <c r="H613" s="27" t="s">
        <v>281</v>
      </c>
      <c r="I613" s="27">
        <v>2025</v>
      </c>
      <c r="J613" s="27" t="s">
        <v>50</v>
      </c>
      <c r="K613" s="27" t="s">
        <v>156</v>
      </c>
      <c r="L613" s="27" t="s">
        <v>24</v>
      </c>
      <c r="M613" s="27" t="s">
        <v>22</v>
      </c>
      <c r="N613" s="40" t="s">
        <v>33</v>
      </c>
      <c r="O613" s="27" t="s">
        <v>33</v>
      </c>
      <c r="P613" s="27" t="s">
        <v>33</v>
      </c>
      <c r="Q613" s="41"/>
      <c r="R613" s="40"/>
    </row>
    <row r="614" spans="1:18" ht="30" customHeight="1" x14ac:dyDescent="0.3">
      <c r="A614" s="26" t="str">
        <f t="shared" si="18"/>
        <v>2025인하대</v>
      </c>
      <c r="B614" s="26">
        <f>COUNTIFS($A$4:A614,A614)</f>
        <v>8</v>
      </c>
      <c r="C614" s="26" t="str">
        <f t="shared" si="19"/>
        <v>2025인하대8</v>
      </c>
      <c r="E614" s="39" t="s">
        <v>148</v>
      </c>
      <c r="F614" s="26" t="s">
        <v>17</v>
      </c>
      <c r="H614" s="27" t="s">
        <v>281</v>
      </c>
      <c r="I614" s="27">
        <v>2025</v>
      </c>
      <c r="J614" s="27" t="s">
        <v>50</v>
      </c>
      <c r="K614" s="27" t="s">
        <v>156</v>
      </c>
      <c r="L614" s="27" t="s">
        <v>24</v>
      </c>
      <c r="M614" s="27" t="s">
        <v>42</v>
      </c>
      <c r="N614" s="29" t="s">
        <v>282</v>
      </c>
      <c r="O614" s="27" t="s">
        <v>33</v>
      </c>
      <c r="P614" s="27" t="s">
        <v>33</v>
      </c>
      <c r="Q614" s="41"/>
      <c r="R614" s="40"/>
    </row>
    <row r="615" spans="1:18" ht="30" customHeight="1" x14ac:dyDescent="0.3">
      <c r="A615" s="26" t="str">
        <f t="shared" si="18"/>
        <v>2026인하대</v>
      </c>
      <c r="B615" s="26">
        <f>COUNTIFS($A$4:A615,A615)</f>
        <v>1</v>
      </c>
      <c r="C615" s="26" t="str">
        <f t="shared" si="19"/>
        <v>2026인하대1</v>
      </c>
      <c r="E615" s="39" t="s">
        <v>148</v>
      </c>
      <c r="F615" s="26" t="s">
        <v>17</v>
      </c>
      <c r="H615" s="27" t="s">
        <v>281</v>
      </c>
      <c r="I615" s="27">
        <v>2026</v>
      </c>
      <c r="J615" s="27" t="s">
        <v>38</v>
      </c>
      <c r="K615" s="27" t="s">
        <v>20</v>
      </c>
      <c r="L615" s="27" t="s">
        <v>21</v>
      </c>
      <c r="M615" s="27" t="s">
        <v>22</v>
      </c>
      <c r="N615" s="40" t="s">
        <v>169</v>
      </c>
      <c r="O615" s="27" t="s">
        <v>22</v>
      </c>
      <c r="P615" s="27" t="s">
        <v>22</v>
      </c>
      <c r="Q615" s="41"/>
      <c r="R615" s="40"/>
    </row>
    <row r="616" spans="1:18" ht="30" customHeight="1" x14ac:dyDescent="0.3">
      <c r="A616" s="26" t="str">
        <f t="shared" si="18"/>
        <v>2026인하대</v>
      </c>
      <c r="B616" s="26">
        <f>COUNTIFS($A$4:A616,A616)</f>
        <v>2</v>
      </c>
      <c r="C616" s="26" t="str">
        <f t="shared" si="19"/>
        <v>2026인하대2</v>
      </c>
      <c r="E616" s="39" t="s">
        <v>148</v>
      </c>
      <c r="F616" s="26" t="s">
        <v>17</v>
      </c>
      <c r="H616" s="27" t="s">
        <v>281</v>
      </c>
      <c r="I616" s="27">
        <v>2026</v>
      </c>
      <c r="J616" s="27" t="s">
        <v>38</v>
      </c>
      <c r="K616" s="27" t="s">
        <v>20</v>
      </c>
      <c r="L616" s="27" t="s">
        <v>24</v>
      </c>
      <c r="M616" s="27" t="s">
        <v>22</v>
      </c>
      <c r="N616" s="40" t="s">
        <v>193</v>
      </c>
      <c r="O616" s="27" t="s">
        <v>22</v>
      </c>
      <c r="P616" s="27" t="s">
        <v>22</v>
      </c>
      <c r="Q616" s="41"/>
      <c r="R616" s="40"/>
    </row>
    <row r="617" spans="1:18" ht="30" customHeight="1" x14ac:dyDescent="0.3">
      <c r="A617" s="26" t="str">
        <f t="shared" si="18"/>
        <v>2026인하대</v>
      </c>
      <c r="B617" s="26">
        <f>COUNTIFS($A$4:A617,A617)</f>
        <v>3</v>
      </c>
      <c r="C617" s="26" t="str">
        <f t="shared" si="19"/>
        <v>2026인하대3</v>
      </c>
      <c r="E617" s="39" t="s">
        <v>148</v>
      </c>
      <c r="F617" s="26" t="s">
        <v>17</v>
      </c>
      <c r="H617" s="27" t="s">
        <v>281</v>
      </c>
      <c r="I617" s="27">
        <v>2026</v>
      </c>
      <c r="J617" s="27" t="s">
        <v>38</v>
      </c>
      <c r="K617" s="27" t="s">
        <v>20</v>
      </c>
      <c r="L617" s="27" t="s">
        <v>24</v>
      </c>
      <c r="M617" s="27" t="s">
        <v>42</v>
      </c>
      <c r="N617" s="29" t="s">
        <v>284</v>
      </c>
      <c r="O617" s="27" t="s">
        <v>22</v>
      </c>
      <c r="P617" s="27" t="s">
        <v>55</v>
      </c>
      <c r="Q617" s="32" t="s">
        <v>285</v>
      </c>
      <c r="R617" s="40"/>
    </row>
    <row r="618" spans="1:18" ht="30" customHeight="1" x14ac:dyDescent="0.3">
      <c r="A618" s="26" t="str">
        <f t="shared" si="18"/>
        <v>2026인하대</v>
      </c>
      <c r="B618" s="26">
        <f>COUNTIFS($A$4:A618,A618)</f>
        <v>4</v>
      </c>
      <c r="C618" s="26" t="str">
        <f t="shared" si="19"/>
        <v>2026인하대4</v>
      </c>
      <c r="E618" s="39" t="s">
        <v>148</v>
      </c>
      <c r="F618" s="26" t="s">
        <v>17</v>
      </c>
      <c r="H618" s="27" t="s">
        <v>281</v>
      </c>
      <c r="I618" s="27">
        <v>2026</v>
      </c>
      <c r="J618" s="27" t="s">
        <v>19</v>
      </c>
      <c r="K618" s="27" t="s">
        <v>286</v>
      </c>
      <c r="L618" s="27" t="s">
        <v>21</v>
      </c>
      <c r="M618" s="27" t="s">
        <v>22</v>
      </c>
      <c r="N618" s="40" t="s">
        <v>33</v>
      </c>
      <c r="O618" s="27" t="s">
        <v>22</v>
      </c>
      <c r="P618" s="27" t="s">
        <v>22</v>
      </c>
      <c r="Q618" s="41"/>
      <c r="R618" s="40"/>
    </row>
    <row r="619" spans="1:18" ht="30" customHeight="1" x14ac:dyDescent="0.3">
      <c r="A619" s="26" t="str">
        <f t="shared" si="18"/>
        <v>2026인하대</v>
      </c>
      <c r="B619" s="26">
        <f>COUNTIFS($A$4:A619,A619)</f>
        <v>5</v>
      </c>
      <c r="C619" s="26" t="str">
        <f t="shared" si="19"/>
        <v>2026인하대5</v>
      </c>
      <c r="E619" s="39" t="s">
        <v>148</v>
      </c>
      <c r="F619" s="26" t="s">
        <v>17</v>
      </c>
      <c r="H619" s="27" t="s">
        <v>281</v>
      </c>
      <c r="I619" s="27">
        <v>2026</v>
      </c>
      <c r="J619" s="27" t="s">
        <v>19</v>
      </c>
      <c r="K619" s="27" t="s">
        <v>286</v>
      </c>
      <c r="L619" s="27" t="s">
        <v>24</v>
      </c>
      <c r="M619" s="27" t="s">
        <v>22</v>
      </c>
      <c r="N619" s="40" t="s">
        <v>33</v>
      </c>
      <c r="O619" s="27" t="s">
        <v>22</v>
      </c>
      <c r="P619" s="27" t="s">
        <v>22</v>
      </c>
      <c r="Q619" s="41"/>
      <c r="R619" s="40"/>
    </row>
    <row r="620" spans="1:18" ht="30" customHeight="1" x14ac:dyDescent="0.3">
      <c r="A620" s="26" t="str">
        <f t="shared" si="18"/>
        <v>2026인하대</v>
      </c>
      <c r="B620" s="26">
        <f>COUNTIFS($A$4:A620,A620)</f>
        <v>6</v>
      </c>
      <c r="C620" s="26" t="str">
        <f t="shared" si="19"/>
        <v>2026인하대6</v>
      </c>
      <c r="E620" s="39" t="s">
        <v>148</v>
      </c>
      <c r="F620" s="26" t="s">
        <v>17</v>
      </c>
      <c r="H620" s="27" t="s">
        <v>281</v>
      </c>
      <c r="I620" s="27">
        <v>2026</v>
      </c>
      <c r="J620" s="27" t="s">
        <v>19</v>
      </c>
      <c r="K620" s="27" t="s">
        <v>287</v>
      </c>
      <c r="L620" s="27" t="s">
        <v>21</v>
      </c>
      <c r="M620" s="27" t="s">
        <v>22</v>
      </c>
      <c r="N620" s="40" t="s">
        <v>33</v>
      </c>
      <c r="O620" s="27" t="s">
        <v>22</v>
      </c>
      <c r="P620" s="27" t="s">
        <v>22</v>
      </c>
      <c r="Q620" s="32" t="s">
        <v>199</v>
      </c>
      <c r="R620" s="40"/>
    </row>
    <row r="621" spans="1:18" ht="30" customHeight="1" x14ac:dyDescent="0.3">
      <c r="A621" s="26" t="str">
        <f t="shared" si="18"/>
        <v>2026인하대</v>
      </c>
      <c r="B621" s="26">
        <f>COUNTIFS($A$4:A621,A621)</f>
        <v>7</v>
      </c>
      <c r="C621" s="26" t="str">
        <f t="shared" si="19"/>
        <v>2026인하대7</v>
      </c>
      <c r="E621" s="39" t="s">
        <v>148</v>
      </c>
      <c r="F621" s="26" t="s">
        <v>17</v>
      </c>
      <c r="H621" s="27" t="s">
        <v>281</v>
      </c>
      <c r="I621" s="27">
        <v>2026</v>
      </c>
      <c r="J621" s="27" t="s">
        <v>19</v>
      </c>
      <c r="K621" s="27" t="s">
        <v>287</v>
      </c>
      <c r="L621" s="27" t="s">
        <v>24</v>
      </c>
      <c r="M621" s="27" t="s">
        <v>22</v>
      </c>
      <c r="N621" s="40" t="s">
        <v>33</v>
      </c>
      <c r="O621" s="27" t="s">
        <v>22</v>
      </c>
      <c r="P621" s="27" t="s">
        <v>22</v>
      </c>
      <c r="Q621" s="32" t="s">
        <v>199</v>
      </c>
      <c r="R621" s="40"/>
    </row>
    <row r="622" spans="1:18" ht="30" customHeight="1" x14ac:dyDescent="0.3">
      <c r="A622" s="26" t="str">
        <f t="shared" si="18"/>
        <v>2026인하대</v>
      </c>
      <c r="B622" s="26">
        <f>COUNTIFS($A$4:A622,A622)</f>
        <v>8</v>
      </c>
      <c r="C622" s="26" t="str">
        <f t="shared" si="19"/>
        <v>2026인하대8</v>
      </c>
      <c r="E622" s="39" t="s">
        <v>148</v>
      </c>
      <c r="F622" s="26" t="s">
        <v>17</v>
      </c>
      <c r="H622" s="27" t="s">
        <v>281</v>
      </c>
      <c r="I622" s="27">
        <v>2026</v>
      </c>
      <c r="J622" s="27" t="s">
        <v>50</v>
      </c>
      <c r="K622" s="27" t="s">
        <v>156</v>
      </c>
      <c r="L622" s="27" t="s">
        <v>21</v>
      </c>
      <c r="M622" s="27" t="s">
        <v>22</v>
      </c>
      <c r="N622" s="40" t="s">
        <v>33</v>
      </c>
      <c r="O622" s="27" t="s">
        <v>22</v>
      </c>
      <c r="P622" s="27" t="s">
        <v>22</v>
      </c>
      <c r="Q622" s="41"/>
      <c r="R622" s="40"/>
    </row>
    <row r="623" spans="1:18" ht="30" customHeight="1" x14ac:dyDescent="0.3">
      <c r="A623" s="26" t="str">
        <f t="shared" si="18"/>
        <v>2026인하대</v>
      </c>
      <c r="B623" s="26">
        <f>COUNTIFS($A$4:A623,A623)</f>
        <v>9</v>
      </c>
      <c r="C623" s="26" t="str">
        <f t="shared" si="19"/>
        <v>2026인하대9</v>
      </c>
      <c r="E623" s="39" t="s">
        <v>148</v>
      </c>
      <c r="F623" s="26" t="s">
        <v>17</v>
      </c>
      <c r="H623" s="27" t="s">
        <v>281</v>
      </c>
      <c r="I623" s="27">
        <v>2026</v>
      </c>
      <c r="J623" s="27" t="s">
        <v>50</v>
      </c>
      <c r="K623" s="27" t="s">
        <v>156</v>
      </c>
      <c r="L623" s="27" t="s">
        <v>24</v>
      </c>
      <c r="M623" s="27" t="s">
        <v>22</v>
      </c>
      <c r="N623" s="40" t="s">
        <v>33</v>
      </c>
      <c r="O623" s="27" t="s">
        <v>22</v>
      </c>
      <c r="P623" s="27" t="s">
        <v>22</v>
      </c>
      <c r="Q623" s="41"/>
      <c r="R623" s="40"/>
    </row>
    <row r="624" spans="1:18" ht="30" customHeight="1" x14ac:dyDescent="0.3">
      <c r="A624" s="26" t="str">
        <f t="shared" si="18"/>
        <v>2026인하대</v>
      </c>
      <c r="B624" s="26">
        <f>COUNTIFS($A$4:A624,A624)</f>
        <v>10</v>
      </c>
      <c r="C624" s="26" t="str">
        <f t="shared" si="19"/>
        <v>2026인하대10</v>
      </c>
      <c r="E624" s="39" t="s">
        <v>148</v>
      </c>
      <c r="F624" s="26" t="s">
        <v>17</v>
      </c>
      <c r="H624" s="27" t="s">
        <v>281</v>
      </c>
      <c r="I624" s="27">
        <v>2026</v>
      </c>
      <c r="J624" s="27" t="s">
        <v>50</v>
      </c>
      <c r="K624" s="27" t="s">
        <v>156</v>
      </c>
      <c r="L624" s="27" t="s">
        <v>24</v>
      </c>
      <c r="M624" s="27" t="s">
        <v>42</v>
      </c>
      <c r="N624" s="29" t="s">
        <v>288</v>
      </c>
      <c r="O624" s="27" t="s">
        <v>22</v>
      </c>
      <c r="P624" s="27" t="s">
        <v>55</v>
      </c>
      <c r="Q624" s="32" t="s">
        <v>289</v>
      </c>
      <c r="R624" s="40"/>
    </row>
    <row r="625" spans="1:18" ht="30" customHeight="1" x14ac:dyDescent="0.3">
      <c r="A625" s="26" t="str">
        <f t="shared" si="18"/>
        <v>2027인하대</v>
      </c>
      <c r="B625" s="26">
        <f>COUNTIFS($A$4:A625,A625)</f>
        <v>1</v>
      </c>
      <c r="C625" s="26" t="str">
        <f t="shared" si="19"/>
        <v>2027인하대1</v>
      </c>
      <c r="E625" s="39" t="s">
        <v>148</v>
      </c>
      <c r="F625" s="26" t="s">
        <v>17</v>
      </c>
      <c r="H625" s="27" t="s">
        <v>281</v>
      </c>
      <c r="I625" s="27">
        <v>2027</v>
      </c>
      <c r="J625" s="27" t="s">
        <v>290</v>
      </c>
      <c r="K625" s="27" t="s">
        <v>20</v>
      </c>
      <c r="L625" s="27" t="s">
        <v>21</v>
      </c>
      <c r="M625" s="27" t="s">
        <v>22</v>
      </c>
      <c r="N625" s="40" t="s">
        <v>169</v>
      </c>
      <c r="O625" s="27" t="s">
        <v>22</v>
      </c>
      <c r="P625" s="27" t="s">
        <v>22</v>
      </c>
      <c r="Q625" s="41"/>
      <c r="R625" s="40"/>
    </row>
    <row r="626" spans="1:18" ht="30" customHeight="1" x14ac:dyDescent="0.3">
      <c r="A626" s="26" t="str">
        <f t="shared" si="18"/>
        <v>2027인하대</v>
      </c>
      <c r="B626" s="26">
        <f>COUNTIFS($A$4:A626,A626)</f>
        <v>2</v>
      </c>
      <c r="C626" s="26" t="str">
        <f t="shared" si="19"/>
        <v>2027인하대2</v>
      </c>
      <c r="E626" s="39" t="s">
        <v>148</v>
      </c>
      <c r="F626" s="26" t="s">
        <v>17</v>
      </c>
      <c r="H626" s="27" t="s">
        <v>281</v>
      </c>
      <c r="I626" s="27">
        <v>2027</v>
      </c>
      <c r="J626" s="27" t="s">
        <v>290</v>
      </c>
      <c r="K626" s="27" t="s">
        <v>20</v>
      </c>
      <c r="L626" s="27" t="s">
        <v>24</v>
      </c>
      <c r="M626" s="27" t="s">
        <v>22</v>
      </c>
      <c r="N626" s="40" t="s">
        <v>193</v>
      </c>
      <c r="O626" s="27" t="s">
        <v>22</v>
      </c>
      <c r="P626" s="27" t="s">
        <v>22</v>
      </c>
      <c r="Q626" s="41"/>
      <c r="R626" s="40"/>
    </row>
    <row r="627" spans="1:18" ht="30" customHeight="1" x14ac:dyDescent="0.3">
      <c r="A627" s="26" t="str">
        <f t="shared" si="18"/>
        <v>2027인하대</v>
      </c>
      <c r="B627" s="26">
        <f>COUNTIFS($A$4:A627,A627)</f>
        <v>3</v>
      </c>
      <c r="C627" s="26" t="str">
        <f t="shared" si="19"/>
        <v>2027인하대3</v>
      </c>
      <c r="E627" s="39" t="s">
        <v>148</v>
      </c>
      <c r="F627" s="26" t="s">
        <v>17</v>
      </c>
      <c r="H627" s="27" t="s">
        <v>281</v>
      </c>
      <c r="I627" s="27">
        <v>2027</v>
      </c>
      <c r="J627" s="27" t="s">
        <v>290</v>
      </c>
      <c r="K627" s="27" t="s">
        <v>20</v>
      </c>
      <c r="L627" s="27" t="s">
        <v>24</v>
      </c>
      <c r="M627" s="27" t="s">
        <v>42</v>
      </c>
      <c r="N627" s="29" t="s">
        <v>284</v>
      </c>
      <c r="O627" s="27" t="s">
        <v>22</v>
      </c>
      <c r="P627" s="27" t="s">
        <v>55</v>
      </c>
      <c r="Q627" s="41"/>
      <c r="R627" s="40"/>
    </row>
    <row r="628" spans="1:18" ht="30" customHeight="1" x14ac:dyDescent="0.3">
      <c r="A628" s="26" t="str">
        <f t="shared" si="18"/>
        <v>2027인하대</v>
      </c>
      <c r="B628" s="26">
        <f>COUNTIFS($A$4:A628,A628)</f>
        <v>4</v>
      </c>
      <c r="C628" s="26" t="str">
        <f t="shared" si="19"/>
        <v>2027인하대4</v>
      </c>
      <c r="E628" s="39" t="s">
        <v>148</v>
      </c>
      <c r="F628" s="26" t="s">
        <v>17</v>
      </c>
      <c r="H628" s="27" t="s">
        <v>281</v>
      </c>
      <c r="I628" s="27">
        <v>2027</v>
      </c>
      <c r="J628" s="27" t="s">
        <v>273</v>
      </c>
      <c r="K628" s="27" t="s">
        <v>286</v>
      </c>
      <c r="L628" s="27" t="s">
        <v>21</v>
      </c>
      <c r="M628" s="27" t="s">
        <v>22</v>
      </c>
      <c r="N628" s="40" t="s">
        <v>33</v>
      </c>
      <c r="O628" s="27" t="s">
        <v>22</v>
      </c>
      <c r="P628" s="27" t="s">
        <v>22</v>
      </c>
      <c r="Q628" s="41"/>
      <c r="R628" s="40"/>
    </row>
    <row r="629" spans="1:18" ht="30" customHeight="1" x14ac:dyDescent="0.3">
      <c r="A629" s="26" t="str">
        <f t="shared" si="18"/>
        <v>2027인하대</v>
      </c>
      <c r="B629" s="26">
        <f>COUNTIFS($A$4:A629,A629)</f>
        <v>5</v>
      </c>
      <c r="C629" s="26" t="str">
        <f t="shared" si="19"/>
        <v>2027인하대5</v>
      </c>
      <c r="E629" s="39" t="s">
        <v>148</v>
      </c>
      <c r="F629" s="26" t="s">
        <v>17</v>
      </c>
      <c r="H629" s="27" t="s">
        <v>281</v>
      </c>
      <c r="I629" s="27">
        <v>2027</v>
      </c>
      <c r="J629" s="27" t="s">
        <v>273</v>
      </c>
      <c r="K629" s="27" t="s">
        <v>286</v>
      </c>
      <c r="L629" s="27" t="s">
        <v>24</v>
      </c>
      <c r="M629" s="27" t="s">
        <v>22</v>
      </c>
      <c r="N629" s="40" t="s">
        <v>33</v>
      </c>
      <c r="O629" s="27" t="s">
        <v>22</v>
      </c>
      <c r="P629" s="27" t="s">
        <v>22</v>
      </c>
      <c r="Q629" s="41"/>
      <c r="R629" s="40"/>
    </row>
    <row r="630" spans="1:18" ht="30" customHeight="1" x14ac:dyDescent="0.3">
      <c r="A630" s="26" t="str">
        <f t="shared" si="18"/>
        <v>2027인하대</v>
      </c>
      <c r="B630" s="26">
        <f>COUNTIFS($A$4:A630,A630)</f>
        <v>6</v>
      </c>
      <c r="C630" s="26" t="str">
        <f t="shared" si="19"/>
        <v>2027인하대6</v>
      </c>
      <c r="E630" s="39" t="s">
        <v>148</v>
      </c>
      <c r="F630" s="26" t="s">
        <v>17</v>
      </c>
      <c r="H630" s="27" t="s">
        <v>281</v>
      </c>
      <c r="I630" s="27">
        <v>2027</v>
      </c>
      <c r="J630" s="27" t="s">
        <v>273</v>
      </c>
      <c r="K630" s="27" t="s">
        <v>287</v>
      </c>
      <c r="L630" s="27" t="s">
        <v>21</v>
      </c>
      <c r="M630" s="27" t="s">
        <v>22</v>
      </c>
      <c r="N630" s="40" t="s">
        <v>33</v>
      </c>
      <c r="O630" s="27" t="s">
        <v>22</v>
      </c>
      <c r="P630" s="27" t="s">
        <v>22</v>
      </c>
      <c r="Q630" s="41"/>
      <c r="R630" s="40"/>
    </row>
    <row r="631" spans="1:18" ht="30" customHeight="1" x14ac:dyDescent="0.3">
      <c r="A631" s="26" t="str">
        <f t="shared" si="18"/>
        <v>2027인하대</v>
      </c>
      <c r="B631" s="26">
        <f>COUNTIFS($A$4:A631,A631)</f>
        <v>7</v>
      </c>
      <c r="C631" s="26" t="str">
        <f t="shared" si="19"/>
        <v>2027인하대7</v>
      </c>
      <c r="E631" s="39" t="s">
        <v>148</v>
      </c>
      <c r="F631" s="26" t="s">
        <v>17</v>
      </c>
      <c r="H631" s="27" t="s">
        <v>281</v>
      </c>
      <c r="I631" s="27">
        <v>2027</v>
      </c>
      <c r="J631" s="27" t="s">
        <v>273</v>
      </c>
      <c r="K631" s="27" t="s">
        <v>287</v>
      </c>
      <c r="L631" s="27" t="s">
        <v>24</v>
      </c>
      <c r="M631" s="27" t="s">
        <v>22</v>
      </c>
      <c r="N631" s="40" t="s">
        <v>33</v>
      </c>
      <c r="O631" s="27" t="s">
        <v>22</v>
      </c>
      <c r="P631" s="27" t="s">
        <v>22</v>
      </c>
      <c r="Q631" s="41"/>
      <c r="R631" s="40"/>
    </row>
    <row r="632" spans="1:18" ht="30" customHeight="1" x14ac:dyDescent="0.3">
      <c r="A632" s="26" t="str">
        <f t="shared" si="18"/>
        <v>2027인하대</v>
      </c>
      <c r="B632" s="26">
        <f>COUNTIFS($A$4:A632,A632)</f>
        <v>8</v>
      </c>
      <c r="C632" s="26" t="str">
        <f t="shared" si="19"/>
        <v>2027인하대8</v>
      </c>
      <c r="E632" s="39" t="s">
        <v>148</v>
      </c>
      <c r="F632" s="26" t="s">
        <v>17</v>
      </c>
      <c r="H632" s="27" t="s">
        <v>281</v>
      </c>
      <c r="I632" s="27">
        <v>2027</v>
      </c>
      <c r="J632" s="27" t="s">
        <v>50</v>
      </c>
      <c r="K632" s="27" t="s">
        <v>156</v>
      </c>
      <c r="L632" s="27" t="s">
        <v>21</v>
      </c>
      <c r="M632" s="27" t="s">
        <v>22</v>
      </c>
      <c r="N632" s="40" t="s">
        <v>33</v>
      </c>
      <c r="O632" s="27" t="s">
        <v>22</v>
      </c>
      <c r="P632" s="27" t="s">
        <v>22</v>
      </c>
      <c r="Q632" s="41"/>
      <c r="R632" s="40"/>
    </row>
    <row r="633" spans="1:18" ht="30" customHeight="1" x14ac:dyDescent="0.3">
      <c r="A633" s="26" t="str">
        <f t="shared" si="18"/>
        <v>2027인하대</v>
      </c>
      <c r="B633" s="26">
        <f>COUNTIFS($A$4:A633,A633)</f>
        <v>9</v>
      </c>
      <c r="C633" s="26" t="str">
        <f t="shared" si="19"/>
        <v>2027인하대9</v>
      </c>
      <c r="E633" s="39" t="s">
        <v>148</v>
      </c>
      <c r="F633" s="26" t="s">
        <v>17</v>
      </c>
      <c r="H633" s="27" t="s">
        <v>281</v>
      </c>
      <c r="I633" s="27">
        <v>2027</v>
      </c>
      <c r="J633" s="27" t="s">
        <v>50</v>
      </c>
      <c r="K633" s="27" t="s">
        <v>156</v>
      </c>
      <c r="L633" s="27" t="s">
        <v>24</v>
      </c>
      <c r="M633" s="27" t="s">
        <v>22</v>
      </c>
      <c r="N633" s="40" t="s">
        <v>33</v>
      </c>
      <c r="O633" s="27" t="s">
        <v>22</v>
      </c>
      <c r="P633" s="27" t="s">
        <v>22</v>
      </c>
      <c r="Q633" s="41"/>
      <c r="R633" s="40"/>
    </row>
    <row r="634" spans="1:18" ht="30" customHeight="1" x14ac:dyDescent="0.3">
      <c r="A634" s="26" t="str">
        <f t="shared" si="18"/>
        <v>2027인하대</v>
      </c>
      <c r="B634" s="26">
        <f>COUNTIFS($A$4:A634,A634)</f>
        <v>10</v>
      </c>
      <c r="C634" s="26" t="str">
        <f t="shared" si="19"/>
        <v>2027인하대10</v>
      </c>
      <c r="E634" s="39" t="s">
        <v>148</v>
      </c>
      <c r="F634" s="26" t="s">
        <v>17</v>
      </c>
      <c r="H634" s="27" t="s">
        <v>281</v>
      </c>
      <c r="I634" s="27">
        <v>2027</v>
      </c>
      <c r="J634" s="27" t="s">
        <v>50</v>
      </c>
      <c r="K634" s="27" t="s">
        <v>156</v>
      </c>
      <c r="L634" s="27" t="s">
        <v>24</v>
      </c>
      <c r="M634" s="27" t="s">
        <v>42</v>
      </c>
      <c r="N634" s="29" t="s">
        <v>288</v>
      </c>
      <c r="O634" s="27" t="s">
        <v>22</v>
      </c>
      <c r="P634" s="27" t="s">
        <v>55</v>
      </c>
      <c r="Q634" s="41"/>
      <c r="R634" s="40"/>
    </row>
    <row r="635" spans="1:18" ht="30" customHeight="1" x14ac:dyDescent="0.3">
      <c r="A635" s="26" t="str">
        <f t="shared" si="18"/>
        <v>2025아주대</v>
      </c>
      <c r="B635" s="26">
        <f>COUNTIFS($A$4:A635,A635)</f>
        <v>1</v>
      </c>
      <c r="C635" s="26" t="str">
        <f t="shared" si="19"/>
        <v>2025아주대1</v>
      </c>
      <c r="E635" s="39" t="s">
        <v>148</v>
      </c>
      <c r="F635" s="26" t="s">
        <v>17</v>
      </c>
      <c r="H635" s="27" t="s">
        <v>291</v>
      </c>
      <c r="I635" s="27">
        <v>2025</v>
      </c>
      <c r="J635" s="27" t="s">
        <v>38</v>
      </c>
      <c r="K635" s="27" t="s">
        <v>52</v>
      </c>
      <c r="L635" s="27" t="s">
        <v>21</v>
      </c>
      <c r="M635" s="27" t="s">
        <v>22</v>
      </c>
      <c r="N635" s="40" t="s">
        <v>193</v>
      </c>
      <c r="O635" s="27" t="s">
        <v>33</v>
      </c>
      <c r="P635" s="27" t="s">
        <v>33</v>
      </c>
      <c r="Q635" s="41"/>
      <c r="R635" s="40"/>
    </row>
    <row r="636" spans="1:18" ht="30" customHeight="1" x14ac:dyDescent="0.3">
      <c r="A636" s="26" t="str">
        <f t="shared" si="18"/>
        <v>2025아주대</v>
      </c>
      <c r="B636" s="26">
        <f>COUNTIFS($A$4:A636,A636)</f>
        <v>2</v>
      </c>
      <c r="C636" s="26" t="str">
        <f t="shared" si="19"/>
        <v>2025아주대2</v>
      </c>
      <c r="E636" s="39" t="s">
        <v>148</v>
      </c>
      <c r="F636" s="26" t="s">
        <v>17</v>
      </c>
      <c r="H636" s="27" t="s">
        <v>291</v>
      </c>
      <c r="I636" s="27">
        <v>2025</v>
      </c>
      <c r="J636" s="27" t="s">
        <v>38</v>
      </c>
      <c r="K636" s="27" t="s">
        <v>52</v>
      </c>
      <c r="L636" s="27" t="s">
        <v>24</v>
      </c>
      <c r="M636" s="27" t="s">
        <v>22</v>
      </c>
      <c r="N636" s="40" t="s">
        <v>193</v>
      </c>
      <c r="O636" s="27" t="s">
        <v>33</v>
      </c>
      <c r="P636" s="27" t="s">
        <v>33</v>
      </c>
      <c r="Q636" s="41"/>
      <c r="R636" s="40"/>
    </row>
    <row r="637" spans="1:18" ht="30" customHeight="1" x14ac:dyDescent="0.3">
      <c r="A637" s="26" t="str">
        <f t="shared" si="18"/>
        <v>2025아주대</v>
      </c>
      <c r="B637" s="26">
        <f>COUNTIFS($A$4:A637,A637)</f>
        <v>3</v>
      </c>
      <c r="C637" s="26" t="str">
        <f t="shared" si="19"/>
        <v>2025아주대3</v>
      </c>
      <c r="E637" s="39" t="s">
        <v>148</v>
      </c>
      <c r="F637" s="26" t="s">
        <v>17</v>
      </c>
      <c r="H637" s="27" t="s">
        <v>291</v>
      </c>
      <c r="I637" s="27">
        <v>2025</v>
      </c>
      <c r="J637" s="27" t="s">
        <v>19</v>
      </c>
      <c r="K637" s="27" t="s">
        <v>292</v>
      </c>
      <c r="L637" s="27" t="s">
        <v>21</v>
      </c>
      <c r="M637" s="27" t="s">
        <v>22</v>
      </c>
      <c r="N637" s="40" t="s">
        <v>33</v>
      </c>
      <c r="O637" s="27" t="s">
        <v>33</v>
      </c>
      <c r="P637" s="27" t="s">
        <v>33</v>
      </c>
      <c r="Q637" s="41"/>
      <c r="R637" s="40"/>
    </row>
    <row r="638" spans="1:18" ht="30" customHeight="1" x14ac:dyDescent="0.3">
      <c r="A638" s="26" t="str">
        <f t="shared" si="18"/>
        <v>2025아주대</v>
      </c>
      <c r="B638" s="26">
        <f>COUNTIFS($A$4:A638,A638)</f>
        <v>4</v>
      </c>
      <c r="C638" s="26" t="str">
        <f t="shared" si="19"/>
        <v>2025아주대4</v>
      </c>
      <c r="E638" s="39" t="s">
        <v>148</v>
      </c>
      <c r="F638" s="26" t="s">
        <v>17</v>
      </c>
      <c r="H638" s="27" t="s">
        <v>291</v>
      </c>
      <c r="I638" s="27">
        <v>2025</v>
      </c>
      <c r="J638" s="27" t="s">
        <v>19</v>
      </c>
      <c r="K638" s="27" t="s">
        <v>292</v>
      </c>
      <c r="L638" s="27" t="s">
        <v>24</v>
      </c>
      <c r="M638" s="27" t="s">
        <v>22</v>
      </c>
      <c r="N638" s="40" t="s">
        <v>33</v>
      </c>
      <c r="O638" s="27" t="s">
        <v>33</v>
      </c>
      <c r="P638" s="27" t="s">
        <v>33</v>
      </c>
      <c r="Q638" s="41"/>
      <c r="R638" s="40"/>
    </row>
    <row r="639" spans="1:18" ht="60" x14ac:dyDescent="0.3">
      <c r="A639" s="26" t="str">
        <f t="shared" si="18"/>
        <v>2025아주대</v>
      </c>
      <c r="B639" s="26">
        <f>COUNTIFS($A$4:A639,A639)</f>
        <v>5</v>
      </c>
      <c r="C639" s="26" t="str">
        <f t="shared" si="19"/>
        <v>2025아주대5</v>
      </c>
      <c r="E639" s="39" t="s">
        <v>148</v>
      </c>
      <c r="F639" s="26" t="s">
        <v>17</v>
      </c>
      <c r="H639" s="27" t="s">
        <v>291</v>
      </c>
      <c r="I639" s="27">
        <v>2025</v>
      </c>
      <c r="J639" s="27" t="s">
        <v>19</v>
      </c>
      <c r="K639" s="27" t="s">
        <v>292</v>
      </c>
      <c r="L639" s="27" t="s">
        <v>24</v>
      </c>
      <c r="M639" s="27" t="s">
        <v>42</v>
      </c>
      <c r="N639" s="29" t="s">
        <v>293</v>
      </c>
      <c r="O639" s="27" t="s">
        <v>33</v>
      </c>
      <c r="P639" s="27" t="s">
        <v>33</v>
      </c>
      <c r="Q639" s="41"/>
      <c r="R639" s="40"/>
    </row>
    <row r="640" spans="1:18" ht="30" customHeight="1" x14ac:dyDescent="0.3">
      <c r="A640" s="26" t="str">
        <f t="shared" si="18"/>
        <v>2025아주대</v>
      </c>
      <c r="B640" s="26">
        <f>COUNTIFS($A$4:A640,A640)</f>
        <v>6</v>
      </c>
      <c r="C640" s="26" t="str">
        <f t="shared" si="19"/>
        <v>2025아주대6</v>
      </c>
      <c r="E640" s="39" t="s">
        <v>148</v>
      </c>
      <c r="F640" s="26" t="s">
        <v>17</v>
      </c>
      <c r="H640" s="27" t="s">
        <v>291</v>
      </c>
      <c r="I640" s="27">
        <v>2025</v>
      </c>
      <c r="J640" s="27" t="s">
        <v>19</v>
      </c>
      <c r="K640" s="27" t="s">
        <v>294</v>
      </c>
      <c r="L640" s="27" t="s">
        <v>94</v>
      </c>
      <c r="M640" s="27" t="s">
        <v>22</v>
      </c>
      <c r="N640" s="40" t="s">
        <v>33</v>
      </c>
      <c r="O640" s="27" t="s">
        <v>33</v>
      </c>
      <c r="P640" s="27" t="s">
        <v>33</v>
      </c>
      <c r="Q640" s="41"/>
      <c r="R640" s="40"/>
    </row>
    <row r="641" spans="1:18" ht="30" customHeight="1" x14ac:dyDescent="0.3">
      <c r="A641" s="26" t="str">
        <f t="shared" si="18"/>
        <v>2025아주대</v>
      </c>
      <c r="B641" s="26">
        <f>COUNTIFS($A$4:A641,A641)</f>
        <v>7</v>
      </c>
      <c r="C641" s="26" t="str">
        <f t="shared" si="19"/>
        <v>2025아주대7</v>
      </c>
      <c r="E641" s="39" t="s">
        <v>148</v>
      </c>
      <c r="F641" s="26" t="s">
        <v>17</v>
      </c>
      <c r="H641" s="27" t="s">
        <v>291</v>
      </c>
      <c r="I641" s="27">
        <v>2025</v>
      </c>
      <c r="J641" s="27" t="s">
        <v>19</v>
      </c>
      <c r="K641" s="27" t="s">
        <v>294</v>
      </c>
      <c r="L641" s="27" t="s">
        <v>24</v>
      </c>
      <c r="M641" s="27" t="s">
        <v>22</v>
      </c>
      <c r="N641" s="40" t="s">
        <v>33</v>
      </c>
      <c r="O641" s="27" t="s">
        <v>33</v>
      </c>
      <c r="P641" s="27" t="s">
        <v>33</v>
      </c>
      <c r="Q641" s="41"/>
      <c r="R641" s="40"/>
    </row>
    <row r="642" spans="1:18" ht="30" customHeight="1" x14ac:dyDescent="0.3">
      <c r="A642" s="26" t="str">
        <f t="shared" si="18"/>
        <v>2025아주대</v>
      </c>
      <c r="B642" s="26">
        <f>COUNTIFS($A$4:A642,A642)</f>
        <v>8</v>
      </c>
      <c r="C642" s="26" t="str">
        <f t="shared" si="19"/>
        <v>2025아주대8</v>
      </c>
      <c r="E642" s="39" t="s">
        <v>148</v>
      </c>
      <c r="F642" s="26" t="s">
        <v>17</v>
      </c>
      <c r="H642" s="27" t="s">
        <v>291</v>
      </c>
      <c r="I642" s="27">
        <v>2025</v>
      </c>
      <c r="J642" s="27" t="s">
        <v>50</v>
      </c>
      <c r="K642" s="27" t="s">
        <v>50</v>
      </c>
      <c r="L642" s="27" t="s">
        <v>21</v>
      </c>
      <c r="M642" s="27" t="s">
        <v>22</v>
      </c>
      <c r="N642" s="40" t="s">
        <v>33</v>
      </c>
      <c r="O642" s="27" t="s">
        <v>33</v>
      </c>
      <c r="P642" s="27" t="s">
        <v>33</v>
      </c>
      <c r="Q642" s="41"/>
      <c r="R642" s="40"/>
    </row>
    <row r="643" spans="1:18" ht="30" customHeight="1" x14ac:dyDescent="0.3">
      <c r="A643" s="26" t="str">
        <f t="shared" si="18"/>
        <v>2025아주대</v>
      </c>
      <c r="B643" s="26">
        <f>COUNTIFS($A$4:A643,A643)</f>
        <v>9</v>
      </c>
      <c r="C643" s="26" t="str">
        <f t="shared" si="19"/>
        <v>2025아주대9</v>
      </c>
      <c r="E643" s="39" t="s">
        <v>148</v>
      </c>
      <c r="F643" s="26" t="s">
        <v>17</v>
      </c>
      <c r="H643" s="27" t="s">
        <v>291</v>
      </c>
      <c r="I643" s="27">
        <v>2025</v>
      </c>
      <c r="J643" s="27" t="s">
        <v>50</v>
      </c>
      <c r="K643" s="27" t="s">
        <v>50</v>
      </c>
      <c r="L643" s="27" t="s">
        <v>24</v>
      </c>
      <c r="M643" s="27" t="s">
        <v>22</v>
      </c>
      <c r="N643" s="40" t="s">
        <v>33</v>
      </c>
      <c r="O643" s="27" t="s">
        <v>33</v>
      </c>
      <c r="P643" s="27" t="s">
        <v>33</v>
      </c>
      <c r="Q643" s="41"/>
      <c r="R643" s="40"/>
    </row>
    <row r="644" spans="1:18" ht="60" x14ac:dyDescent="0.3">
      <c r="A644" s="26" t="str">
        <f t="shared" ref="A644:A710" si="20">I644&amp;H644</f>
        <v>2025아주대</v>
      </c>
      <c r="B644" s="26">
        <f>COUNTIFS($A$4:A644,A644)</f>
        <v>10</v>
      </c>
      <c r="C644" s="26" t="str">
        <f t="shared" ref="C644:C710" si="21">A644&amp;B644</f>
        <v>2025아주대10</v>
      </c>
      <c r="E644" s="39" t="s">
        <v>148</v>
      </c>
      <c r="F644" s="26" t="s">
        <v>17</v>
      </c>
      <c r="H644" s="27" t="s">
        <v>291</v>
      </c>
      <c r="I644" s="27">
        <v>2025</v>
      </c>
      <c r="J644" s="27" t="s">
        <v>50</v>
      </c>
      <c r="K644" s="27" t="s">
        <v>50</v>
      </c>
      <c r="L644" s="27" t="s">
        <v>24</v>
      </c>
      <c r="M644" s="27" t="s">
        <v>42</v>
      </c>
      <c r="N644" s="29" t="s">
        <v>293</v>
      </c>
      <c r="O644" s="27" t="s">
        <v>33</v>
      </c>
      <c r="P644" s="27" t="s">
        <v>33</v>
      </c>
      <c r="Q644" s="41"/>
      <c r="R644" s="40"/>
    </row>
    <row r="645" spans="1:18" ht="30" customHeight="1" x14ac:dyDescent="0.3">
      <c r="A645" s="26" t="str">
        <f t="shared" si="20"/>
        <v>2026아주대</v>
      </c>
      <c r="B645" s="26">
        <f>COUNTIFS($A$4:A645,A645)</f>
        <v>1</v>
      </c>
      <c r="C645" s="26" t="str">
        <f t="shared" si="21"/>
        <v>2026아주대1</v>
      </c>
      <c r="E645" s="39" t="s">
        <v>148</v>
      </c>
      <c r="F645" s="26" t="s">
        <v>17</v>
      </c>
      <c r="H645" s="27" t="s">
        <v>291</v>
      </c>
      <c r="I645" s="27">
        <v>2026</v>
      </c>
      <c r="J645" s="27" t="s">
        <v>38</v>
      </c>
      <c r="K645" s="27" t="s">
        <v>52</v>
      </c>
      <c r="L645" s="27" t="s">
        <v>21</v>
      </c>
      <c r="M645" s="27" t="s">
        <v>22</v>
      </c>
      <c r="N645" s="40" t="s">
        <v>193</v>
      </c>
      <c r="O645" s="27" t="s">
        <v>22</v>
      </c>
      <c r="P645" s="27" t="s">
        <v>22</v>
      </c>
      <c r="Q645" s="41"/>
      <c r="R645" s="40"/>
    </row>
    <row r="646" spans="1:18" ht="30" customHeight="1" x14ac:dyDescent="0.3">
      <c r="A646" s="26" t="str">
        <f t="shared" si="20"/>
        <v>2026아주대</v>
      </c>
      <c r="B646" s="26">
        <f>COUNTIFS($A$4:A646,A646)</f>
        <v>2</v>
      </c>
      <c r="C646" s="26" t="str">
        <f t="shared" si="21"/>
        <v>2026아주대2</v>
      </c>
      <c r="E646" s="39" t="s">
        <v>148</v>
      </c>
      <c r="F646" s="26" t="s">
        <v>17</v>
      </c>
      <c r="H646" s="27" t="s">
        <v>291</v>
      </c>
      <c r="I646" s="27">
        <v>2026</v>
      </c>
      <c r="J646" s="27" t="s">
        <v>38</v>
      </c>
      <c r="K646" s="27" t="s">
        <v>52</v>
      </c>
      <c r="L646" s="27" t="s">
        <v>24</v>
      </c>
      <c r="M646" s="27" t="s">
        <v>22</v>
      </c>
      <c r="N646" s="40" t="s">
        <v>193</v>
      </c>
      <c r="O646" s="27" t="s">
        <v>22</v>
      </c>
      <c r="P646" s="27" t="s">
        <v>22</v>
      </c>
      <c r="Q646" s="41"/>
      <c r="R646" s="40"/>
    </row>
    <row r="647" spans="1:18" ht="30" customHeight="1" x14ac:dyDescent="0.3">
      <c r="A647" s="26" t="str">
        <f t="shared" si="20"/>
        <v>2026아주대</v>
      </c>
      <c r="B647" s="26">
        <f>COUNTIFS($A$4:A647,A647)</f>
        <v>3</v>
      </c>
      <c r="C647" s="26" t="str">
        <f t="shared" si="21"/>
        <v>2026아주대3</v>
      </c>
      <c r="E647" s="39" t="s">
        <v>148</v>
      </c>
      <c r="F647" s="26" t="s">
        <v>17</v>
      </c>
      <c r="H647" s="27" t="s">
        <v>291</v>
      </c>
      <c r="I647" s="27">
        <v>2026</v>
      </c>
      <c r="J647" s="27" t="s">
        <v>38</v>
      </c>
      <c r="K647" s="27" t="s">
        <v>52</v>
      </c>
      <c r="L647" s="27" t="s">
        <v>24</v>
      </c>
      <c r="M647" s="27" t="s">
        <v>42</v>
      </c>
      <c r="N647" s="29" t="s">
        <v>295</v>
      </c>
      <c r="O647" s="27" t="s">
        <v>22</v>
      </c>
      <c r="P647" s="27" t="s">
        <v>22</v>
      </c>
      <c r="Q647" s="32" t="s">
        <v>296</v>
      </c>
      <c r="R647" s="40"/>
    </row>
    <row r="648" spans="1:18" ht="30" customHeight="1" x14ac:dyDescent="0.3">
      <c r="A648" s="26" t="str">
        <f t="shared" si="20"/>
        <v>2026아주대</v>
      </c>
      <c r="B648" s="26">
        <f>COUNTIFS($A$4:A648,A648)</f>
        <v>4</v>
      </c>
      <c r="C648" s="26" t="str">
        <f t="shared" si="21"/>
        <v>2026아주대4</v>
      </c>
      <c r="E648" s="39" t="s">
        <v>148</v>
      </c>
      <c r="F648" s="26" t="s">
        <v>17</v>
      </c>
      <c r="H648" s="27" t="s">
        <v>291</v>
      </c>
      <c r="I648" s="27">
        <v>2026</v>
      </c>
      <c r="J648" s="27" t="s">
        <v>19</v>
      </c>
      <c r="K648" s="27" t="s">
        <v>292</v>
      </c>
      <c r="L648" s="27" t="s">
        <v>21</v>
      </c>
      <c r="M648" s="27" t="s">
        <v>22</v>
      </c>
      <c r="N648" s="40" t="s">
        <v>33</v>
      </c>
      <c r="O648" s="27" t="s">
        <v>22</v>
      </c>
      <c r="P648" s="27" t="s">
        <v>22</v>
      </c>
      <c r="Q648" s="41"/>
      <c r="R648" s="40"/>
    </row>
    <row r="649" spans="1:18" ht="30" customHeight="1" x14ac:dyDescent="0.3">
      <c r="A649" s="26" t="str">
        <f t="shared" si="20"/>
        <v>2026아주대</v>
      </c>
      <c r="B649" s="26">
        <f>COUNTIFS($A$4:A649,A649)</f>
        <v>5</v>
      </c>
      <c r="C649" s="26" t="str">
        <f t="shared" si="21"/>
        <v>2026아주대5</v>
      </c>
      <c r="E649" s="39" t="s">
        <v>148</v>
      </c>
      <c r="F649" s="26" t="s">
        <v>17</v>
      </c>
      <c r="H649" s="27" t="s">
        <v>291</v>
      </c>
      <c r="I649" s="27">
        <v>2026</v>
      </c>
      <c r="J649" s="27" t="s">
        <v>19</v>
      </c>
      <c r="K649" s="27" t="s">
        <v>292</v>
      </c>
      <c r="L649" s="27" t="s">
        <v>24</v>
      </c>
      <c r="M649" s="27" t="s">
        <v>22</v>
      </c>
      <c r="N649" s="40" t="s">
        <v>33</v>
      </c>
      <c r="O649" s="27" t="s">
        <v>22</v>
      </c>
      <c r="P649" s="27" t="s">
        <v>22</v>
      </c>
      <c r="Q649" s="41"/>
      <c r="R649" s="40"/>
    </row>
    <row r="650" spans="1:18" ht="60" x14ac:dyDescent="0.3">
      <c r="A650" s="26" t="str">
        <f t="shared" si="20"/>
        <v>2026아주대</v>
      </c>
      <c r="B650" s="26">
        <f>COUNTIFS($A$4:A650,A650)</f>
        <v>6</v>
      </c>
      <c r="C650" s="26" t="str">
        <f t="shared" si="21"/>
        <v>2026아주대6</v>
      </c>
      <c r="E650" s="39" t="s">
        <v>148</v>
      </c>
      <c r="F650" s="26" t="s">
        <v>17</v>
      </c>
      <c r="H650" s="27" t="s">
        <v>291</v>
      </c>
      <c r="I650" s="27">
        <v>2026</v>
      </c>
      <c r="J650" s="27" t="s">
        <v>19</v>
      </c>
      <c r="K650" s="27" t="s">
        <v>292</v>
      </c>
      <c r="L650" s="27" t="s">
        <v>24</v>
      </c>
      <c r="M650" s="27" t="s">
        <v>42</v>
      </c>
      <c r="N650" s="29" t="s">
        <v>293</v>
      </c>
      <c r="O650" s="27" t="s">
        <v>22</v>
      </c>
      <c r="P650" s="27" t="s">
        <v>22</v>
      </c>
      <c r="Q650" s="41"/>
      <c r="R650" s="40"/>
    </row>
    <row r="651" spans="1:18" ht="30" customHeight="1" x14ac:dyDescent="0.3">
      <c r="A651" s="26" t="str">
        <f t="shared" si="20"/>
        <v>2026아주대</v>
      </c>
      <c r="B651" s="26">
        <f>COUNTIFS($A$4:A651,A651)</f>
        <v>7</v>
      </c>
      <c r="C651" s="26" t="str">
        <f t="shared" si="21"/>
        <v>2026아주대7</v>
      </c>
      <c r="E651" s="39" t="s">
        <v>148</v>
      </c>
      <c r="F651" s="26" t="s">
        <v>17</v>
      </c>
      <c r="H651" s="27" t="s">
        <v>291</v>
      </c>
      <c r="I651" s="27">
        <v>2026</v>
      </c>
      <c r="J651" s="27" t="s">
        <v>19</v>
      </c>
      <c r="K651" s="27" t="s">
        <v>294</v>
      </c>
      <c r="L651" s="27" t="s">
        <v>94</v>
      </c>
      <c r="M651" s="27" t="s">
        <v>22</v>
      </c>
      <c r="N651" s="40" t="s">
        <v>33</v>
      </c>
      <c r="O651" s="27" t="s">
        <v>22</v>
      </c>
      <c r="P651" s="27" t="s">
        <v>22</v>
      </c>
      <c r="Q651" s="41"/>
      <c r="R651" s="40"/>
    </row>
    <row r="652" spans="1:18" ht="30" customHeight="1" x14ac:dyDescent="0.3">
      <c r="A652" s="26" t="str">
        <f t="shared" si="20"/>
        <v>2026아주대</v>
      </c>
      <c r="B652" s="26">
        <f>COUNTIFS($A$4:A652,A652)</f>
        <v>8</v>
      </c>
      <c r="C652" s="26" t="str">
        <f t="shared" si="21"/>
        <v>2026아주대8</v>
      </c>
      <c r="E652" s="39" t="s">
        <v>148</v>
      </c>
      <c r="F652" s="26" t="s">
        <v>17</v>
      </c>
      <c r="H652" s="27" t="s">
        <v>291</v>
      </c>
      <c r="I652" s="27">
        <v>2026</v>
      </c>
      <c r="J652" s="27" t="s">
        <v>19</v>
      </c>
      <c r="K652" s="27" t="s">
        <v>294</v>
      </c>
      <c r="L652" s="27" t="s">
        <v>24</v>
      </c>
      <c r="M652" s="27" t="s">
        <v>22</v>
      </c>
      <c r="N652" s="40" t="s">
        <v>33</v>
      </c>
      <c r="O652" s="27" t="s">
        <v>22</v>
      </c>
      <c r="P652" s="27" t="s">
        <v>22</v>
      </c>
      <c r="Q652" s="41"/>
      <c r="R652" s="40"/>
    </row>
    <row r="653" spans="1:18" ht="30" customHeight="1" x14ac:dyDescent="0.3">
      <c r="A653" s="26" t="str">
        <f t="shared" si="20"/>
        <v>2026아주대</v>
      </c>
      <c r="B653" s="26">
        <f>COUNTIFS($A$4:A653,A653)</f>
        <v>9</v>
      </c>
      <c r="C653" s="26" t="str">
        <f t="shared" si="21"/>
        <v>2026아주대9</v>
      </c>
      <c r="E653" s="39" t="s">
        <v>148</v>
      </c>
      <c r="F653" s="26" t="s">
        <v>17</v>
      </c>
      <c r="H653" s="27" t="s">
        <v>291</v>
      </c>
      <c r="I653" s="27">
        <v>2026</v>
      </c>
      <c r="J653" s="27" t="s">
        <v>50</v>
      </c>
      <c r="K653" s="27" t="s">
        <v>50</v>
      </c>
      <c r="L653" s="27" t="s">
        <v>21</v>
      </c>
      <c r="M653" s="27" t="s">
        <v>22</v>
      </c>
      <c r="N653" s="40" t="s">
        <v>33</v>
      </c>
      <c r="O653" s="27" t="s">
        <v>22</v>
      </c>
      <c r="P653" s="27" t="s">
        <v>22</v>
      </c>
      <c r="Q653" s="41"/>
      <c r="R653" s="40"/>
    </row>
    <row r="654" spans="1:18" ht="30" customHeight="1" x14ac:dyDescent="0.3">
      <c r="A654" s="26" t="str">
        <f t="shared" si="20"/>
        <v>2026아주대</v>
      </c>
      <c r="B654" s="26">
        <f>COUNTIFS($A$4:A654,A654)</f>
        <v>10</v>
      </c>
      <c r="C654" s="26" t="str">
        <f t="shared" si="21"/>
        <v>2026아주대10</v>
      </c>
      <c r="E654" s="39" t="s">
        <v>148</v>
      </c>
      <c r="F654" s="26" t="s">
        <v>17</v>
      </c>
      <c r="H654" s="27" t="s">
        <v>291</v>
      </c>
      <c r="I654" s="27">
        <v>2026</v>
      </c>
      <c r="J654" s="27" t="s">
        <v>50</v>
      </c>
      <c r="K654" s="27" t="s">
        <v>50</v>
      </c>
      <c r="L654" s="27" t="s">
        <v>24</v>
      </c>
      <c r="M654" s="27" t="s">
        <v>22</v>
      </c>
      <c r="N654" s="40" t="s">
        <v>33</v>
      </c>
      <c r="O654" s="27" t="s">
        <v>22</v>
      </c>
      <c r="P654" s="27" t="s">
        <v>22</v>
      </c>
      <c r="Q654" s="41"/>
      <c r="R654" s="40"/>
    </row>
    <row r="655" spans="1:18" ht="60" x14ac:dyDescent="0.3">
      <c r="A655" s="26" t="str">
        <f t="shared" si="20"/>
        <v>2026아주대</v>
      </c>
      <c r="B655" s="26">
        <f>COUNTIFS($A$4:A655,A655)</f>
        <v>11</v>
      </c>
      <c r="C655" s="26" t="str">
        <f t="shared" si="21"/>
        <v>2026아주대11</v>
      </c>
      <c r="E655" s="39" t="s">
        <v>148</v>
      </c>
      <c r="F655" s="26" t="s">
        <v>17</v>
      </c>
      <c r="H655" s="27" t="s">
        <v>291</v>
      </c>
      <c r="I655" s="27">
        <v>2026</v>
      </c>
      <c r="J655" s="27" t="s">
        <v>50</v>
      </c>
      <c r="K655" s="27" t="s">
        <v>50</v>
      </c>
      <c r="L655" s="27" t="s">
        <v>24</v>
      </c>
      <c r="M655" s="27" t="s">
        <v>42</v>
      </c>
      <c r="N655" s="29" t="s">
        <v>293</v>
      </c>
      <c r="O655" s="27" t="s">
        <v>22</v>
      </c>
      <c r="P655" s="27" t="s">
        <v>22</v>
      </c>
      <c r="Q655" s="41"/>
      <c r="R655" s="40"/>
    </row>
    <row r="656" spans="1:18" ht="30" customHeight="1" x14ac:dyDescent="0.3">
      <c r="A656" s="26" t="str">
        <f t="shared" si="20"/>
        <v>2027아주대</v>
      </c>
      <c r="B656" s="26">
        <f>COUNTIFS($A$4:A656,A656)</f>
        <v>1</v>
      </c>
      <c r="C656" s="26" t="str">
        <f t="shared" si="21"/>
        <v>2027아주대1</v>
      </c>
      <c r="E656" s="39" t="s">
        <v>148</v>
      </c>
      <c r="F656" s="26" t="s">
        <v>17</v>
      </c>
      <c r="H656" s="27" t="s">
        <v>291</v>
      </c>
      <c r="I656" s="27">
        <v>2027</v>
      </c>
      <c r="J656" s="27" t="s">
        <v>38</v>
      </c>
      <c r="K656" s="27" t="s">
        <v>52</v>
      </c>
      <c r="L656" s="27" t="s">
        <v>21</v>
      </c>
      <c r="M656" s="27" t="s">
        <v>22</v>
      </c>
      <c r="N656" s="40" t="s">
        <v>193</v>
      </c>
      <c r="O656" s="27" t="s">
        <v>22</v>
      </c>
      <c r="P656" s="27" t="s">
        <v>22</v>
      </c>
      <c r="Q656" s="41"/>
      <c r="R656" s="40"/>
    </row>
    <row r="657" spans="1:18" ht="30" customHeight="1" x14ac:dyDescent="0.3">
      <c r="A657" s="26" t="str">
        <f t="shared" si="20"/>
        <v>2027아주대</v>
      </c>
      <c r="B657" s="26">
        <f>COUNTIFS($A$4:A657,A657)</f>
        <v>2</v>
      </c>
      <c r="C657" s="26" t="str">
        <f t="shared" si="21"/>
        <v>2027아주대2</v>
      </c>
      <c r="E657" s="39" t="s">
        <v>148</v>
      </c>
      <c r="F657" s="26" t="s">
        <v>17</v>
      </c>
      <c r="H657" s="27" t="s">
        <v>291</v>
      </c>
      <c r="I657" s="27">
        <v>2027</v>
      </c>
      <c r="J657" s="27" t="s">
        <v>38</v>
      </c>
      <c r="K657" s="27" t="s">
        <v>52</v>
      </c>
      <c r="L657" s="27" t="s">
        <v>24</v>
      </c>
      <c r="M657" s="27" t="s">
        <v>22</v>
      </c>
      <c r="N657" s="40" t="s">
        <v>193</v>
      </c>
      <c r="O657" s="27" t="s">
        <v>22</v>
      </c>
      <c r="P657" s="27" t="s">
        <v>22</v>
      </c>
      <c r="Q657" s="41"/>
      <c r="R657" s="40"/>
    </row>
    <row r="658" spans="1:18" ht="30" customHeight="1" x14ac:dyDescent="0.3">
      <c r="A658" s="26" t="str">
        <f t="shared" si="20"/>
        <v>2027아주대</v>
      </c>
      <c r="B658" s="26">
        <f>COUNTIFS($A$4:A658,A658)</f>
        <v>3</v>
      </c>
      <c r="C658" s="26" t="str">
        <f t="shared" si="21"/>
        <v>2027아주대3</v>
      </c>
      <c r="E658" s="39" t="s">
        <v>148</v>
      </c>
      <c r="F658" s="26" t="s">
        <v>17</v>
      </c>
      <c r="H658" s="27" t="s">
        <v>291</v>
      </c>
      <c r="I658" s="27">
        <v>2027</v>
      </c>
      <c r="J658" s="27" t="s">
        <v>38</v>
      </c>
      <c r="K658" s="27" t="s">
        <v>52</v>
      </c>
      <c r="L658" s="27" t="s">
        <v>24</v>
      </c>
      <c r="M658" s="27" t="s">
        <v>42</v>
      </c>
      <c r="N658" s="29" t="s">
        <v>295</v>
      </c>
      <c r="O658" s="27" t="s">
        <v>22</v>
      </c>
      <c r="P658" s="27" t="s">
        <v>22</v>
      </c>
      <c r="Q658" s="41"/>
      <c r="R658" s="40"/>
    </row>
    <row r="659" spans="1:18" ht="30" customHeight="1" x14ac:dyDescent="0.3">
      <c r="A659" s="26" t="str">
        <f t="shared" si="20"/>
        <v>2027아주대</v>
      </c>
      <c r="B659" s="26">
        <f>COUNTIFS($A$4:A659,A659)</f>
        <v>4</v>
      </c>
      <c r="C659" s="26" t="str">
        <f t="shared" si="21"/>
        <v>2027아주대4</v>
      </c>
      <c r="E659" s="39" t="s">
        <v>148</v>
      </c>
      <c r="F659" s="26" t="s">
        <v>17</v>
      </c>
      <c r="H659" s="27" t="s">
        <v>291</v>
      </c>
      <c r="I659" s="27">
        <v>2027</v>
      </c>
      <c r="J659" s="27" t="s">
        <v>19</v>
      </c>
      <c r="K659" s="27" t="s">
        <v>292</v>
      </c>
      <c r="L659" s="27" t="s">
        <v>21</v>
      </c>
      <c r="M659" s="27" t="s">
        <v>22</v>
      </c>
      <c r="N659" s="40" t="s">
        <v>22</v>
      </c>
      <c r="O659" s="27" t="s">
        <v>22</v>
      </c>
      <c r="P659" s="27" t="s">
        <v>22</v>
      </c>
      <c r="Q659" s="41"/>
      <c r="R659" s="40"/>
    </row>
    <row r="660" spans="1:18" ht="30" customHeight="1" x14ac:dyDescent="0.3">
      <c r="A660" s="26" t="str">
        <f t="shared" si="20"/>
        <v>2027아주대</v>
      </c>
      <c r="B660" s="26">
        <f>COUNTIFS($A$4:A660,A660)</f>
        <v>5</v>
      </c>
      <c r="C660" s="26" t="str">
        <f t="shared" si="21"/>
        <v>2027아주대5</v>
      </c>
      <c r="E660" s="39" t="s">
        <v>148</v>
      </c>
      <c r="F660" s="26" t="s">
        <v>17</v>
      </c>
      <c r="H660" s="27" t="s">
        <v>291</v>
      </c>
      <c r="I660" s="27">
        <v>2027</v>
      </c>
      <c r="J660" s="27" t="s">
        <v>19</v>
      </c>
      <c r="K660" s="27" t="s">
        <v>292</v>
      </c>
      <c r="L660" s="27" t="s">
        <v>24</v>
      </c>
      <c r="M660" s="27" t="s">
        <v>22</v>
      </c>
      <c r="N660" s="40" t="s">
        <v>22</v>
      </c>
      <c r="O660" s="27" t="s">
        <v>22</v>
      </c>
      <c r="P660" s="27" t="s">
        <v>22</v>
      </c>
      <c r="Q660" s="41"/>
      <c r="R660" s="40"/>
    </row>
    <row r="661" spans="1:18" ht="60" x14ac:dyDescent="0.3">
      <c r="A661" s="26" t="str">
        <f t="shared" si="20"/>
        <v>2027아주대</v>
      </c>
      <c r="B661" s="26">
        <f>COUNTIFS($A$4:A661,A661)</f>
        <v>6</v>
      </c>
      <c r="C661" s="26" t="str">
        <f t="shared" si="21"/>
        <v>2027아주대6</v>
      </c>
      <c r="E661" s="39" t="s">
        <v>148</v>
      </c>
      <c r="F661" s="26" t="s">
        <v>17</v>
      </c>
      <c r="H661" s="27" t="s">
        <v>291</v>
      </c>
      <c r="I661" s="27">
        <v>2027</v>
      </c>
      <c r="J661" s="27" t="s">
        <v>19</v>
      </c>
      <c r="K661" s="27" t="s">
        <v>292</v>
      </c>
      <c r="L661" s="27" t="s">
        <v>24</v>
      </c>
      <c r="M661" s="27" t="s">
        <v>42</v>
      </c>
      <c r="N661" s="29" t="s">
        <v>293</v>
      </c>
      <c r="O661" s="27" t="s">
        <v>22</v>
      </c>
      <c r="P661" s="27" t="s">
        <v>22</v>
      </c>
      <c r="Q661" s="41"/>
      <c r="R661" s="40"/>
    </row>
    <row r="662" spans="1:18" ht="30" customHeight="1" x14ac:dyDescent="0.3">
      <c r="A662" s="26" t="str">
        <f t="shared" si="20"/>
        <v>2027아주대</v>
      </c>
      <c r="B662" s="26">
        <f>COUNTIFS($A$4:A662,A662)</f>
        <v>7</v>
      </c>
      <c r="C662" s="26" t="str">
        <f t="shared" si="21"/>
        <v>2027아주대7</v>
      </c>
      <c r="E662" s="39" t="s">
        <v>148</v>
      </c>
      <c r="F662" s="26" t="s">
        <v>17</v>
      </c>
      <c r="H662" s="27" t="s">
        <v>291</v>
      </c>
      <c r="I662" s="27">
        <v>2027</v>
      </c>
      <c r="J662" s="27" t="s">
        <v>19</v>
      </c>
      <c r="K662" s="27" t="s">
        <v>294</v>
      </c>
      <c r="L662" s="27" t="s">
        <v>94</v>
      </c>
      <c r="M662" s="27" t="s">
        <v>22</v>
      </c>
      <c r="N662" s="40" t="s">
        <v>33</v>
      </c>
      <c r="O662" s="27" t="s">
        <v>22</v>
      </c>
      <c r="P662" s="27" t="s">
        <v>22</v>
      </c>
      <c r="Q662" s="41"/>
      <c r="R662" s="40"/>
    </row>
    <row r="663" spans="1:18" ht="30" customHeight="1" x14ac:dyDescent="0.3">
      <c r="A663" s="26" t="str">
        <f t="shared" si="20"/>
        <v>2027아주대</v>
      </c>
      <c r="B663" s="26">
        <f>COUNTIFS($A$4:A663,A663)</f>
        <v>8</v>
      </c>
      <c r="C663" s="26" t="str">
        <f t="shared" si="21"/>
        <v>2027아주대8</v>
      </c>
      <c r="E663" s="39" t="s">
        <v>148</v>
      </c>
      <c r="F663" s="26" t="s">
        <v>17</v>
      </c>
      <c r="H663" s="27" t="s">
        <v>291</v>
      </c>
      <c r="I663" s="27">
        <v>2027</v>
      </c>
      <c r="J663" s="27" t="s">
        <v>19</v>
      </c>
      <c r="K663" s="27" t="s">
        <v>294</v>
      </c>
      <c r="L663" s="27" t="s">
        <v>24</v>
      </c>
      <c r="M663" s="27" t="s">
        <v>22</v>
      </c>
      <c r="N663" s="40" t="s">
        <v>33</v>
      </c>
      <c r="O663" s="27" t="s">
        <v>22</v>
      </c>
      <c r="P663" s="27" t="s">
        <v>22</v>
      </c>
      <c r="Q663" s="41"/>
      <c r="R663" s="40"/>
    </row>
    <row r="664" spans="1:18" ht="30" customHeight="1" x14ac:dyDescent="0.3">
      <c r="A664" s="26" t="str">
        <f t="shared" si="20"/>
        <v>2027아주대</v>
      </c>
      <c r="B664" s="26">
        <f>COUNTIFS($A$4:A664,A664)</f>
        <v>9</v>
      </c>
      <c r="C664" s="26" t="str">
        <f t="shared" si="21"/>
        <v>2027아주대9</v>
      </c>
      <c r="E664" s="39" t="s">
        <v>148</v>
      </c>
      <c r="F664" s="26" t="s">
        <v>17</v>
      </c>
      <c r="H664" s="27" t="s">
        <v>291</v>
      </c>
      <c r="I664" s="27">
        <v>2027</v>
      </c>
      <c r="J664" s="27" t="s">
        <v>50</v>
      </c>
      <c r="K664" s="27" t="s">
        <v>50</v>
      </c>
      <c r="L664" s="27" t="s">
        <v>21</v>
      </c>
      <c r="M664" s="27" t="s">
        <v>22</v>
      </c>
      <c r="N664" s="40" t="s">
        <v>22</v>
      </c>
      <c r="O664" s="27" t="s">
        <v>22</v>
      </c>
      <c r="P664" s="27" t="s">
        <v>22</v>
      </c>
      <c r="Q664" s="41"/>
      <c r="R664" s="40"/>
    </row>
    <row r="665" spans="1:18" ht="30" customHeight="1" x14ac:dyDescent="0.3">
      <c r="A665" s="26" t="str">
        <f t="shared" si="20"/>
        <v>2027아주대</v>
      </c>
      <c r="B665" s="26">
        <f>COUNTIFS($A$4:A665,A665)</f>
        <v>10</v>
      </c>
      <c r="C665" s="26" t="str">
        <f t="shared" si="21"/>
        <v>2027아주대10</v>
      </c>
      <c r="E665" s="39" t="s">
        <v>148</v>
      </c>
      <c r="F665" s="26" t="s">
        <v>17</v>
      </c>
      <c r="H665" s="27" t="s">
        <v>291</v>
      </c>
      <c r="I665" s="27">
        <v>2027</v>
      </c>
      <c r="J665" s="27" t="s">
        <v>50</v>
      </c>
      <c r="K665" s="27" t="s">
        <v>50</v>
      </c>
      <c r="L665" s="27" t="s">
        <v>24</v>
      </c>
      <c r="M665" s="27" t="s">
        <v>22</v>
      </c>
      <c r="N665" s="40" t="s">
        <v>22</v>
      </c>
      <c r="O665" s="27" t="s">
        <v>22</v>
      </c>
      <c r="P665" s="27" t="s">
        <v>22</v>
      </c>
      <c r="Q665" s="41"/>
      <c r="R665" s="40"/>
    </row>
    <row r="666" spans="1:18" ht="60" x14ac:dyDescent="0.3">
      <c r="A666" s="26" t="str">
        <f t="shared" si="20"/>
        <v>2027아주대</v>
      </c>
      <c r="B666" s="26">
        <f>COUNTIFS($A$4:A666,A666)</f>
        <v>11</v>
      </c>
      <c r="C666" s="26" t="str">
        <f t="shared" si="21"/>
        <v>2027아주대11</v>
      </c>
      <c r="E666" s="39" t="s">
        <v>148</v>
      </c>
      <c r="F666" s="26" t="s">
        <v>17</v>
      </c>
      <c r="H666" s="27" t="s">
        <v>291</v>
      </c>
      <c r="I666" s="27">
        <v>2027</v>
      </c>
      <c r="J666" s="27" t="s">
        <v>50</v>
      </c>
      <c r="K666" s="27" t="s">
        <v>50</v>
      </c>
      <c r="L666" s="27" t="s">
        <v>24</v>
      </c>
      <c r="M666" s="27" t="s">
        <v>42</v>
      </c>
      <c r="N666" s="29" t="s">
        <v>293</v>
      </c>
      <c r="O666" s="27" t="s">
        <v>22</v>
      </c>
      <c r="P666" s="27" t="s">
        <v>22</v>
      </c>
      <c r="Q666" s="41"/>
      <c r="R666" s="40"/>
    </row>
    <row r="667" spans="1:18" ht="30" customHeight="1" x14ac:dyDescent="0.3">
      <c r="A667" s="26" t="str">
        <f t="shared" si="20"/>
        <v>2025광운대</v>
      </c>
      <c r="B667" s="26">
        <f>COUNTIFS($A$4:A667,A667)</f>
        <v>1</v>
      </c>
      <c r="C667" s="26" t="str">
        <f t="shared" si="21"/>
        <v>2025광운대1</v>
      </c>
      <c r="E667" s="39" t="s">
        <v>148</v>
      </c>
      <c r="F667" s="26" t="s">
        <v>17</v>
      </c>
      <c r="H667" s="27" t="s">
        <v>297</v>
      </c>
      <c r="I667" s="27">
        <v>2025</v>
      </c>
      <c r="J667" s="27" t="s">
        <v>38</v>
      </c>
      <c r="K667" s="27" t="s">
        <v>20</v>
      </c>
      <c r="L667" s="27" t="s">
        <v>21</v>
      </c>
      <c r="M667" s="27" t="s">
        <v>22</v>
      </c>
      <c r="N667" s="40" t="s">
        <v>33</v>
      </c>
      <c r="O667" s="27" t="s">
        <v>33</v>
      </c>
      <c r="P667" s="27" t="s">
        <v>33</v>
      </c>
      <c r="Q667" s="41"/>
      <c r="R667" s="40"/>
    </row>
    <row r="668" spans="1:18" ht="30" customHeight="1" x14ac:dyDescent="0.3">
      <c r="A668" s="26" t="str">
        <f t="shared" si="20"/>
        <v>2025광운대</v>
      </c>
      <c r="B668" s="26">
        <f>COUNTIFS($A$4:A668,A668)</f>
        <v>2</v>
      </c>
      <c r="C668" s="26" t="str">
        <f t="shared" si="21"/>
        <v>2025광운대2</v>
      </c>
      <c r="E668" s="39" t="s">
        <v>148</v>
      </c>
      <c r="F668" s="26" t="s">
        <v>17</v>
      </c>
      <c r="H668" s="27" t="s">
        <v>297</v>
      </c>
      <c r="I668" s="27">
        <v>2025</v>
      </c>
      <c r="J668" s="27" t="s">
        <v>38</v>
      </c>
      <c r="K668" s="27" t="s">
        <v>20</v>
      </c>
      <c r="L668" s="27" t="s">
        <v>24</v>
      </c>
      <c r="M668" s="27" t="s">
        <v>22</v>
      </c>
      <c r="N668" s="40" t="s">
        <v>33</v>
      </c>
      <c r="O668" s="27" t="s">
        <v>33</v>
      </c>
      <c r="P668" s="27" t="s">
        <v>33</v>
      </c>
      <c r="Q668" s="41"/>
      <c r="R668" s="40"/>
    </row>
    <row r="669" spans="1:18" ht="30" customHeight="1" x14ac:dyDescent="0.3">
      <c r="A669" s="26" t="str">
        <f t="shared" si="20"/>
        <v>2025광운대</v>
      </c>
      <c r="B669" s="26">
        <f>COUNTIFS($A$4:A669,A669)</f>
        <v>3</v>
      </c>
      <c r="C669" s="26" t="str">
        <f t="shared" si="21"/>
        <v>2025광운대3</v>
      </c>
      <c r="E669" s="39" t="s">
        <v>148</v>
      </c>
      <c r="F669" s="26" t="s">
        <v>17</v>
      </c>
      <c r="H669" s="27" t="s">
        <v>297</v>
      </c>
      <c r="I669" s="27">
        <v>2025</v>
      </c>
      <c r="J669" s="27" t="s">
        <v>19</v>
      </c>
      <c r="K669" s="27" t="s">
        <v>298</v>
      </c>
      <c r="L669" s="27" t="s">
        <v>21</v>
      </c>
      <c r="M669" s="27" t="s">
        <v>22</v>
      </c>
      <c r="N669" s="40" t="s">
        <v>33</v>
      </c>
      <c r="O669" s="27" t="s">
        <v>33</v>
      </c>
      <c r="P669" s="27" t="s">
        <v>33</v>
      </c>
      <c r="Q669" s="41"/>
      <c r="R669" s="40"/>
    </row>
    <row r="670" spans="1:18" ht="30" customHeight="1" x14ac:dyDescent="0.3">
      <c r="A670" s="26" t="str">
        <f t="shared" si="20"/>
        <v>2025광운대</v>
      </c>
      <c r="B670" s="26">
        <f>COUNTIFS($A$4:A670,A670)</f>
        <v>4</v>
      </c>
      <c r="C670" s="26" t="str">
        <f t="shared" si="21"/>
        <v>2025광운대4</v>
      </c>
      <c r="E670" s="39" t="s">
        <v>148</v>
      </c>
      <c r="F670" s="26" t="s">
        <v>17</v>
      </c>
      <c r="H670" s="27" t="s">
        <v>297</v>
      </c>
      <c r="I670" s="27">
        <v>2025</v>
      </c>
      <c r="J670" s="27" t="s">
        <v>19</v>
      </c>
      <c r="K670" s="27" t="s">
        <v>298</v>
      </c>
      <c r="L670" s="27" t="s">
        <v>24</v>
      </c>
      <c r="M670" s="27" t="s">
        <v>22</v>
      </c>
      <c r="N670" s="40" t="s">
        <v>33</v>
      </c>
      <c r="O670" s="27" t="s">
        <v>33</v>
      </c>
      <c r="P670" s="27" t="s">
        <v>33</v>
      </c>
      <c r="Q670" s="41"/>
      <c r="R670" s="40"/>
    </row>
    <row r="671" spans="1:18" ht="30" customHeight="1" x14ac:dyDescent="0.3">
      <c r="A671" s="26" t="str">
        <f t="shared" si="20"/>
        <v>2025광운대</v>
      </c>
      <c r="B671" s="26">
        <f>COUNTIFS($A$4:A671,A671)</f>
        <v>5</v>
      </c>
      <c r="C671" s="26" t="str">
        <f t="shared" si="21"/>
        <v>2025광운대5</v>
      </c>
      <c r="E671" s="39" t="s">
        <v>148</v>
      </c>
      <c r="F671" s="26" t="s">
        <v>17</v>
      </c>
      <c r="H671" s="27" t="s">
        <v>297</v>
      </c>
      <c r="I671" s="27">
        <v>2025</v>
      </c>
      <c r="J671" s="27" t="s">
        <v>19</v>
      </c>
      <c r="K671" s="27" t="s">
        <v>299</v>
      </c>
      <c r="L671" s="27" t="s">
        <v>21</v>
      </c>
      <c r="M671" s="27" t="s">
        <v>22</v>
      </c>
      <c r="N671" s="40" t="s">
        <v>33</v>
      </c>
      <c r="O671" s="27" t="s">
        <v>33</v>
      </c>
      <c r="P671" s="27" t="s">
        <v>33</v>
      </c>
      <c r="Q671" s="41"/>
      <c r="R671" s="40"/>
    </row>
    <row r="672" spans="1:18" ht="30" customHeight="1" x14ac:dyDescent="0.3">
      <c r="A672" s="26" t="str">
        <f t="shared" si="20"/>
        <v>2025광운대</v>
      </c>
      <c r="B672" s="26">
        <f>COUNTIFS($A$4:A672,A672)</f>
        <v>6</v>
      </c>
      <c r="C672" s="26" t="str">
        <f t="shared" si="21"/>
        <v>2025광운대6</v>
      </c>
      <c r="E672" s="39" t="s">
        <v>148</v>
      </c>
      <c r="F672" s="26" t="s">
        <v>17</v>
      </c>
      <c r="H672" s="27" t="s">
        <v>297</v>
      </c>
      <c r="I672" s="27">
        <v>2025</v>
      </c>
      <c r="J672" s="27" t="s">
        <v>19</v>
      </c>
      <c r="K672" s="27" t="s">
        <v>299</v>
      </c>
      <c r="L672" s="27" t="s">
        <v>24</v>
      </c>
      <c r="M672" s="27" t="s">
        <v>22</v>
      </c>
      <c r="N672" s="40" t="s">
        <v>33</v>
      </c>
      <c r="O672" s="27" t="s">
        <v>33</v>
      </c>
      <c r="P672" s="27" t="s">
        <v>33</v>
      </c>
      <c r="Q672" s="41"/>
      <c r="R672" s="40"/>
    </row>
    <row r="673" spans="1:18" ht="30" customHeight="1" x14ac:dyDescent="0.3">
      <c r="A673" s="26" t="str">
        <f t="shared" si="20"/>
        <v>2025광운대</v>
      </c>
      <c r="B673" s="26">
        <f>COUNTIFS($A$4:A673,A673)</f>
        <v>7</v>
      </c>
      <c r="C673" s="26" t="str">
        <f t="shared" si="21"/>
        <v>2025광운대7</v>
      </c>
      <c r="E673" s="39" t="s">
        <v>148</v>
      </c>
      <c r="F673" s="26" t="s">
        <v>17</v>
      </c>
      <c r="H673" s="27" t="s">
        <v>297</v>
      </c>
      <c r="I673" s="27">
        <v>2025</v>
      </c>
      <c r="J673" s="27" t="s">
        <v>19</v>
      </c>
      <c r="K673" s="27" t="s">
        <v>300</v>
      </c>
      <c r="L673" s="27" t="s">
        <v>24</v>
      </c>
      <c r="M673" s="27" t="s">
        <v>22</v>
      </c>
      <c r="N673" s="40" t="s">
        <v>33</v>
      </c>
      <c r="O673" s="27" t="s">
        <v>33</v>
      </c>
      <c r="P673" s="27" t="s">
        <v>33</v>
      </c>
      <c r="Q673" s="41"/>
      <c r="R673" s="40"/>
    </row>
    <row r="674" spans="1:18" ht="30" customHeight="1" x14ac:dyDescent="0.3">
      <c r="A674" s="26" t="str">
        <f t="shared" si="20"/>
        <v>2025광운대</v>
      </c>
      <c r="B674" s="26">
        <f>COUNTIFS($A$4:A674,A674)</f>
        <v>8</v>
      </c>
      <c r="C674" s="26" t="str">
        <f t="shared" si="21"/>
        <v>2025광운대8</v>
      </c>
      <c r="E674" s="39" t="s">
        <v>148</v>
      </c>
      <c r="F674" s="26" t="s">
        <v>17</v>
      </c>
      <c r="H674" s="27" t="s">
        <v>297</v>
      </c>
      <c r="I674" s="27">
        <v>2025</v>
      </c>
      <c r="J674" s="27" t="s">
        <v>50</v>
      </c>
      <c r="K674" s="27" t="s">
        <v>156</v>
      </c>
      <c r="L674" s="27" t="s">
        <v>21</v>
      </c>
      <c r="M674" s="27" t="s">
        <v>22</v>
      </c>
      <c r="N674" s="40" t="s">
        <v>33</v>
      </c>
      <c r="O674" s="27" t="s">
        <v>33</v>
      </c>
      <c r="P674" s="27" t="s">
        <v>33</v>
      </c>
      <c r="Q674" s="41"/>
      <c r="R674" s="40"/>
    </row>
    <row r="675" spans="1:18" ht="30" customHeight="1" x14ac:dyDescent="0.3">
      <c r="A675" s="26" t="str">
        <f t="shared" si="20"/>
        <v>2025광운대</v>
      </c>
      <c r="B675" s="26">
        <f>COUNTIFS($A$4:A675,A675)</f>
        <v>9</v>
      </c>
      <c r="C675" s="26" t="str">
        <f t="shared" si="21"/>
        <v>2025광운대9</v>
      </c>
      <c r="E675" s="39" t="s">
        <v>148</v>
      </c>
      <c r="F675" s="26" t="s">
        <v>17</v>
      </c>
      <c r="H675" s="27" t="s">
        <v>297</v>
      </c>
      <c r="I675" s="27">
        <v>2025</v>
      </c>
      <c r="J675" s="27" t="s">
        <v>50</v>
      </c>
      <c r="K675" s="27" t="s">
        <v>156</v>
      </c>
      <c r="L675" s="27" t="s">
        <v>24</v>
      </c>
      <c r="M675" s="27" t="s">
        <v>22</v>
      </c>
      <c r="N675" s="40" t="s">
        <v>33</v>
      </c>
      <c r="O675" s="27" t="s">
        <v>33</v>
      </c>
      <c r="P675" s="27" t="s">
        <v>33</v>
      </c>
      <c r="Q675" s="41"/>
      <c r="R675" s="40"/>
    </row>
    <row r="676" spans="1:18" ht="30" customHeight="1" x14ac:dyDescent="0.3">
      <c r="A676" s="26" t="str">
        <f t="shared" si="20"/>
        <v>2026광운대</v>
      </c>
      <c r="B676" s="26">
        <f>COUNTIFS($A$4:A676,A676)</f>
        <v>1</v>
      </c>
      <c r="C676" s="26" t="str">
        <f t="shared" si="21"/>
        <v>2026광운대1</v>
      </c>
      <c r="E676" s="39" t="s">
        <v>148</v>
      </c>
      <c r="F676" s="26" t="s">
        <v>17</v>
      </c>
      <c r="H676" s="27" t="s">
        <v>297</v>
      </c>
      <c r="I676" s="27">
        <v>2026</v>
      </c>
      <c r="J676" s="27" t="s">
        <v>38</v>
      </c>
      <c r="K676" s="27" t="s">
        <v>20</v>
      </c>
      <c r="L676" s="27" t="s">
        <v>21</v>
      </c>
      <c r="M676" s="27" t="s">
        <v>22</v>
      </c>
      <c r="N676" s="40" t="s">
        <v>33</v>
      </c>
      <c r="O676" s="27" t="s">
        <v>33</v>
      </c>
      <c r="P676" s="27" t="s">
        <v>33</v>
      </c>
      <c r="Q676" s="41"/>
      <c r="R676" s="40"/>
    </row>
    <row r="677" spans="1:18" ht="30" customHeight="1" x14ac:dyDescent="0.3">
      <c r="A677" s="26" t="str">
        <f t="shared" si="20"/>
        <v>2026광운대</v>
      </c>
      <c r="B677" s="26">
        <f>COUNTIFS($A$4:A677,A677)</f>
        <v>2</v>
      </c>
      <c r="C677" s="26" t="str">
        <f t="shared" si="21"/>
        <v>2026광운대2</v>
      </c>
      <c r="E677" s="39" t="s">
        <v>148</v>
      </c>
      <c r="F677" s="26" t="s">
        <v>17</v>
      </c>
      <c r="H677" s="27" t="s">
        <v>297</v>
      </c>
      <c r="I677" s="27">
        <v>2026</v>
      </c>
      <c r="J677" s="27" t="s">
        <v>38</v>
      </c>
      <c r="K677" s="27" t="s">
        <v>20</v>
      </c>
      <c r="L677" s="27" t="s">
        <v>24</v>
      </c>
      <c r="M677" s="27" t="s">
        <v>22</v>
      </c>
      <c r="N677" s="40" t="s">
        <v>33</v>
      </c>
      <c r="O677" s="27" t="s">
        <v>33</v>
      </c>
      <c r="P677" s="27" t="s">
        <v>33</v>
      </c>
      <c r="Q677" s="41"/>
      <c r="R677" s="40"/>
    </row>
    <row r="678" spans="1:18" ht="30" customHeight="1" x14ac:dyDescent="0.3">
      <c r="A678" s="26" t="str">
        <f t="shared" si="20"/>
        <v>2026광운대</v>
      </c>
      <c r="B678" s="26">
        <f>COUNTIFS($A$4:A678,A678)</f>
        <v>3</v>
      </c>
      <c r="C678" s="26" t="str">
        <f t="shared" si="21"/>
        <v>2026광운대3</v>
      </c>
      <c r="E678" s="39" t="s">
        <v>148</v>
      </c>
      <c r="F678" s="26" t="s">
        <v>17</v>
      </c>
      <c r="H678" s="27" t="s">
        <v>297</v>
      </c>
      <c r="I678" s="27">
        <v>2026</v>
      </c>
      <c r="J678" s="27" t="s">
        <v>19</v>
      </c>
      <c r="K678" s="27" t="s">
        <v>298</v>
      </c>
      <c r="L678" s="27" t="s">
        <v>21</v>
      </c>
      <c r="M678" s="27" t="s">
        <v>22</v>
      </c>
      <c r="N678" s="40" t="s">
        <v>33</v>
      </c>
      <c r="O678" s="27" t="s">
        <v>33</v>
      </c>
      <c r="P678" s="27" t="s">
        <v>33</v>
      </c>
      <c r="Q678" s="41"/>
      <c r="R678" s="40"/>
    </row>
    <row r="679" spans="1:18" ht="30" customHeight="1" x14ac:dyDescent="0.3">
      <c r="A679" s="26" t="str">
        <f t="shared" si="20"/>
        <v>2026광운대</v>
      </c>
      <c r="B679" s="26">
        <f>COUNTIFS($A$4:A679,A679)</f>
        <v>4</v>
      </c>
      <c r="C679" s="26" t="str">
        <f t="shared" si="21"/>
        <v>2026광운대4</v>
      </c>
      <c r="E679" s="39" t="s">
        <v>148</v>
      </c>
      <c r="F679" s="26" t="s">
        <v>17</v>
      </c>
      <c r="H679" s="27" t="s">
        <v>297</v>
      </c>
      <c r="I679" s="27">
        <v>2026</v>
      </c>
      <c r="J679" s="27" t="s">
        <v>19</v>
      </c>
      <c r="K679" s="27" t="s">
        <v>298</v>
      </c>
      <c r="L679" s="27" t="s">
        <v>24</v>
      </c>
      <c r="M679" s="27" t="s">
        <v>22</v>
      </c>
      <c r="N679" s="40" t="s">
        <v>33</v>
      </c>
      <c r="O679" s="27" t="s">
        <v>33</v>
      </c>
      <c r="P679" s="27" t="s">
        <v>33</v>
      </c>
      <c r="Q679" s="41"/>
      <c r="R679" s="40"/>
    </row>
    <row r="680" spans="1:18" ht="30" customHeight="1" x14ac:dyDescent="0.3">
      <c r="A680" s="26" t="str">
        <f t="shared" si="20"/>
        <v>2026광운대</v>
      </c>
      <c r="B680" s="26">
        <f>COUNTIFS($A$4:A680,A680)</f>
        <v>5</v>
      </c>
      <c r="C680" s="26" t="str">
        <f t="shared" si="21"/>
        <v>2026광운대5</v>
      </c>
      <c r="E680" s="39" t="s">
        <v>148</v>
      </c>
      <c r="F680" s="26" t="s">
        <v>17</v>
      </c>
      <c r="H680" s="27" t="s">
        <v>297</v>
      </c>
      <c r="I680" s="27">
        <v>2026</v>
      </c>
      <c r="J680" s="27" t="s">
        <v>19</v>
      </c>
      <c r="K680" s="27" t="s">
        <v>299</v>
      </c>
      <c r="L680" s="27" t="s">
        <v>21</v>
      </c>
      <c r="M680" s="27" t="s">
        <v>22</v>
      </c>
      <c r="N680" s="40" t="s">
        <v>33</v>
      </c>
      <c r="O680" s="27" t="s">
        <v>33</v>
      </c>
      <c r="P680" s="27" t="s">
        <v>33</v>
      </c>
      <c r="Q680" s="41"/>
      <c r="R680" s="40"/>
    </row>
    <row r="681" spans="1:18" ht="30" customHeight="1" x14ac:dyDescent="0.3">
      <c r="A681" s="26" t="str">
        <f t="shared" si="20"/>
        <v>2026광운대</v>
      </c>
      <c r="B681" s="26">
        <f>COUNTIFS($A$4:A681,A681)</f>
        <v>6</v>
      </c>
      <c r="C681" s="26" t="str">
        <f t="shared" si="21"/>
        <v>2026광운대6</v>
      </c>
      <c r="E681" s="39" t="s">
        <v>148</v>
      </c>
      <c r="F681" s="26" t="s">
        <v>17</v>
      </c>
      <c r="H681" s="27" t="s">
        <v>297</v>
      </c>
      <c r="I681" s="27">
        <v>2026</v>
      </c>
      <c r="J681" s="27" t="s">
        <v>19</v>
      </c>
      <c r="K681" s="27" t="s">
        <v>299</v>
      </c>
      <c r="L681" s="27" t="s">
        <v>24</v>
      </c>
      <c r="M681" s="27" t="s">
        <v>22</v>
      </c>
      <c r="N681" s="40" t="s">
        <v>33</v>
      </c>
      <c r="O681" s="27" t="s">
        <v>33</v>
      </c>
      <c r="P681" s="27" t="s">
        <v>33</v>
      </c>
      <c r="Q681" s="41"/>
      <c r="R681" s="40"/>
    </row>
    <row r="682" spans="1:18" ht="30" customHeight="1" x14ac:dyDescent="0.3">
      <c r="A682" s="26" t="str">
        <f t="shared" si="20"/>
        <v>2026광운대</v>
      </c>
      <c r="B682" s="26">
        <f>COUNTIFS($A$4:A682,A682)</f>
        <v>7</v>
      </c>
      <c r="C682" s="26" t="str">
        <f t="shared" si="21"/>
        <v>2026광운대7</v>
      </c>
      <c r="E682" s="39" t="s">
        <v>148</v>
      </c>
      <c r="F682" s="26" t="s">
        <v>17</v>
      </c>
      <c r="H682" s="27" t="s">
        <v>297</v>
      </c>
      <c r="I682" s="27">
        <v>2026</v>
      </c>
      <c r="J682" s="27" t="s">
        <v>19</v>
      </c>
      <c r="K682" s="27" t="s">
        <v>300</v>
      </c>
      <c r="L682" s="27" t="s">
        <v>24</v>
      </c>
      <c r="M682" s="27" t="s">
        <v>22</v>
      </c>
      <c r="N682" s="40" t="s">
        <v>33</v>
      </c>
      <c r="O682" s="27" t="s">
        <v>33</v>
      </c>
      <c r="P682" s="27" t="s">
        <v>33</v>
      </c>
      <c r="Q682" s="41"/>
      <c r="R682" s="40"/>
    </row>
    <row r="683" spans="1:18" ht="30" customHeight="1" x14ac:dyDescent="0.3">
      <c r="A683" s="26" t="str">
        <f t="shared" si="20"/>
        <v>2026광운대</v>
      </c>
      <c r="B683" s="26">
        <f>COUNTIFS($A$4:A683,A683)</f>
        <v>8</v>
      </c>
      <c r="C683" s="26" t="str">
        <f t="shared" si="21"/>
        <v>2026광운대8</v>
      </c>
      <c r="E683" s="39" t="s">
        <v>148</v>
      </c>
      <c r="F683" s="26" t="s">
        <v>17</v>
      </c>
      <c r="H683" s="27" t="s">
        <v>297</v>
      </c>
      <c r="I683" s="27">
        <v>2026</v>
      </c>
      <c r="J683" s="27" t="s">
        <v>50</v>
      </c>
      <c r="K683" s="27" t="s">
        <v>156</v>
      </c>
      <c r="L683" s="27" t="s">
        <v>21</v>
      </c>
      <c r="M683" s="27" t="s">
        <v>22</v>
      </c>
      <c r="N683" s="40" t="s">
        <v>33</v>
      </c>
      <c r="O683" s="27" t="s">
        <v>33</v>
      </c>
      <c r="P683" s="27" t="s">
        <v>33</v>
      </c>
      <c r="Q683" s="41"/>
      <c r="R683" s="40"/>
    </row>
    <row r="684" spans="1:18" ht="30" customHeight="1" x14ac:dyDescent="0.3">
      <c r="A684" s="26" t="str">
        <f t="shared" si="20"/>
        <v>2026광운대</v>
      </c>
      <c r="B684" s="26">
        <f>COUNTIFS($A$4:A684,A684)</f>
        <v>9</v>
      </c>
      <c r="C684" s="26" t="str">
        <f t="shared" si="21"/>
        <v>2026광운대9</v>
      </c>
      <c r="E684" s="39" t="s">
        <v>148</v>
      </c>
      <c r="F684" s="26" t="s">
        <v>17</v>
      </c>
      <c r="H684" s="27" t="s">
        <v>297</v>
      </c>
      <c r="I684" s="27">
        <v>2026</v>
      </c>
      <c r="J684" s="27" t="s">
        <v>50</v>
      </c>
      <c r="K684" s="27" t="s">
        <v>156</v>
      </c>
      <c r="L684" s="27" t="s">
        <v>24</v>
      </c>
      <c r="M684" s="27" t="s">
        <v>22</v>
      </c>
      <c r="N684" s="40" t="s">
        <v>33</v>
      </c>
      <c r="O684" s="27" t="s">
        <v>33</v>
      </c>
      <c r="P684" s="27" t="s">
        <v>33</v>
      </c>
      <c r="Q684" s="41"/>
      <c r="R684" s="40"/>
    </row>
    <row r="685" spans="1:18" ht="30" customHeight="1" x14ac:dyDescent="0.3">
      <c r="A685" s="26" t="str">
        <f t="shared" si="20"/>
        <v>2027광운대</v>
      </c>
      <c r="B685" s="26">
        <f>COUNTIFS($A$4:A685,A685)</f>
        <v>1</v>
      </c>
      <c r="C685" s="26" t="str">
        <f t="shared" si="21"/>
        <v>2027광운대1</v>
      </c>
      <c r="E685" s="39" t="s">
        <v>148</v>
      </c>
      <c r="F685" s="26" t="s">
        <v>17</v>
      </c>
      <c r="H685" s="27" t="s">
        <v>297</v>
      </c>
      <c r="I685" s="27">
        <v>2027</v>
      </c>
      <c r="J685" s="27" t="s">
        <v>38</v>
      </c>
      <c r="K685" s="27" t="s">
        <v>20</v>
      </c>
      <c r="L685" s="27" t="s">
        <v>21</v>
      </c>
      <c r="M685" s="27" t="s">
        <v>22</v>
      </c>
      <c r="N685" s="40" t="s">
        <v>33</v>
      </c>
      <c r="O685" s="27" t="s">
        <v>33</v>
      </c>
      <c r="P685" s="27" t="s">
        <v>33</v>
      </c>
      <c r="Q685" s="41"/>
      <c r="R685" s="40"/>
    </row>
    <row r="686" spans="1:18" ht="30" customHeight="1" x14ac:dyDescent="0.3">
      <c r="A686" s="26" t="str">
        <f t="shared" si="20"/>
        <v>2027광운대</v>
      </c>
      <c r="B686" s="26">
        <f>COUNTIFS($A$4:A686,A686)</f>
        <v>2</v>
      </c>
      <c r="C686" s="26" t="str">
        <f t="shared" si="21"/>
        <v>2027광운대2</v>
      </c>
      <c r="E686" s="39" t="s">
        <v>148</v>
      </c>
      <c r="F686" s="26" t="s">
        <v>17</v>
      </c>
      <c r="H686" s="27" t="s">
        <v>297</v>
      </c>
      <c r="I686" s="27">
        <v>2027</v>
      </c>
      <c r="J686" s="27" t="s">
        <v>38</v>
      </c>
      <c r="K686" s="27" t="s">
        <v>20</v>
      </c>
      <c r="L686" s="27" t="s">
        <v>24</v>
      </c>
      <c r="M686" s="27" t="s">
        <v>22</v>
      </c>
      <c r="N686" s="40" t="s">
        <v>33</v>
      </c>
      <c r="O686" s="27" t="s">
        <v>33</v>
      </c>
      <c r="P686" s="27" t="s">
        <v>33</v>
      </c>
      <c r="Q686" s="41"/>
      <c r="R686" s="40"/>
    </row>
    <row r="687" spans="1:18" ht="30" customHeight="1" x14ac:dyDescent="0.3">
      <c r="A687" s="26" t="str">
        <f t="shared" si="20"/>
        <v>2027광운대</v>
      </c>
      <c r="B687" s="26">
        <f>COUNTIFS($A$4:A687,A687)</f>
        <v>3</v>
      </c>
      <c r="C687" s="26" t="str">
        <f t="shared" si="21"/>
        <v>2027광운대3</v>
      </c>
      <c r="E687" s="39" t="s">
        <v>148</v>
      </c>
      <c r="F687" s="26" t="s">
        <v>17</v>
      </c>
      <c r="H687" s="27" t="s">
        <v>297</v>
      </c>
      <c r="I687" s="27">
        <v>2027</v>
      </c>
      <c r="J687" s="27" t="s">
        <v>19</v>
      </c>
      <c r="K687" s="27" t="s">
        <v>298</v>
      </c>
      <c r="L687" s="27" t="s">
        <v>21</v>
      </c>
      <c r="M687" s="27" t="s">
        <v>22</v>
      </c>
      <c r="N687" s="40" t="s">
        <v>33</v>
      </c>
      <c r="O687" s="27" t="s">
        <v>33</v>
      </c>
      <c r="P687" s="27" t="s">
        <v>33</v>
      </c>
      <c r="Q687" s="41"/>
      <c r="R687" s="40"/>
    </row>
    <row r="688" spans="1:18" ht="30" customHeight="1" x14ac:dyDescent="0.3">
      <c r="A688" s="26" t="str">
        <f t="shared" si="20"/>
        <v>2027광운대</v>
      </c>
      <c r="B688" s="26">
        <f>COUNTIFS($A$4:A688,A688)</f>
        <v>4</v>
      </c>
      <c r="C688" s="26" t="str">
        <f t="shared" si="21"/>
        <v>2027광운대4</v>
      </c>
      <c r="E688" s="39" t="s">
        <v>148</v>
      </c>
      <c r="F688" s="26" t="s">
        <v>17</v>
      </c>
      <c r="H688" s="27" t="s">
        <v>297</v>
      </c>
      <c r="I688" s="27">
        <v>2027</v>
      </c>
      <c r="J688" s="27" t="s">
        <v>19</v>
      </c>
      <c r="K688" s="27" t="s">
        <v>298</v>
      </c>
      <c r="L688" s="27" t="s">
        <v>24</v>
      </c>
      <c r="M688" s="27" t="s">
        <v>22</v>
      </c>
      <c r="N688" s="40" t="s">
        <v>33</v>
      </c>
      <c r="O688" s="27" t="s">
        <v>33</v>
      </c>
      <c r="P688" s="27" t="s">
        <v>33</v>
      </c>
      <c r="Q688" s="41"/>
      <c r="R688" s="40"/>
    </row>
    <row r="689" spans="1:18" ht="30" customHeight="1" x14ac:dyDescent="0.3">
      <c r="A689" s="26" t="str">
        <f t="shared" si="20"/>
        <v>2027광운대</v>
      </c>
      <c r="B689" s="26">
        <f>COUNTIFS($A$4:A689,A689)</f>
        <v>5</v>
      </c>
      <c r="C689" s="26" t="str">
        <f t="shared" si="21"/>
        <v>2027광운대5</v>
      </c>
      <c r="E689" s="39" t="s">
        <v>148</v>
      </c>
      <c r="F689" s="26" t="s">
        <v>17</v>
      </c>
      <c r="H689" s="27" t="s">
        <v>297</v>
      </c>
      <c r="I689" s="27">
        <v>2027</v>
      </c>
      <c r="J689" s="27" t="s">
        <v>19</v>
      </c>
      <c r="K689" s="27" t="s">
        <v>299</v>
      </c>
      <c r="L689" s="27" t="s">
        <v>21</v>
      </c>
      <c r="M689" s="27" t="s">
        <v>22</v>
      </c>
      <c r="N689" s="40" t="s">
        <v>33</v>
      </c>
      <c r="O689" s="27" t="s">
        <v>33</v>
      </c>
      <c r="P689" s="27" t="s">
        <v>33</v>
      </c>
      <c r="Q689" s="41"/>
      <c r="R689" s="40"/>
    </row>
    <row r="690" spans="1:18" ht="30" customHeight="1" x14ac:dyDescent="0.3">
      <c r="A690" s="26" t="str">
        <f t="shared" si="20"/>
        <v>2027광운대</v>
      </c>
      <c r="B690" s="26">
        <f>COUNTIFS($A$4:A690,A690)</f>
        <v>6</v>
      </c>
      <c r="C690" s="26" t="str">
        <f t="shared" si="21"/>
        <v>2027광운대6</v>
      </c>
      <c r="E690" s="39" t="s">
        <v>148</v>
      </c>
      <c r="F690" s="26" t="s">
        <v>17</v>
      </c>
      <c r="H690" s="27" t="s">
        <v>297</v>
      </c>
      <c r="I690" s="27">
        <v>2027</v>
      </c>
      <c r="J690" s="27" t="s">
        <v>19</v>
      </c>
      <c r="K690" s="27" t="s">
        <v>299</v>
      </c>
      <c r="L690" s="27" t="s">
        <v>24</v>
      </c>
      <c r="M690" s="27" t="s">
        <v>22</v>
      </c>
      <c r="N690" s="40" t="s">
        <v>33</v>
      </c>
      <c r="O690" s="27" t="s">
        <v>33</v>
      </c>
      <c r="P690" s="27" t="s">
        <v>33</v>
      </c>
      <c r="Q690" s="41"/>
      <c r="R690" s="40"/>
    </row>
    <row r="691" spans="1:18" ht="30" customHeight="1" x14ac:dyDescent="0.3">
      <c r="A691" s="26" t="str">
        <f t="shared" si="20"/>
        <v>2027광운대</v>
      </c>
      <c r="B691" s="26">
        <f>COUNTIFS($A$4:A691,A691)</f>
        <v>7</v>
      </c>
      <c r="C691" s="26" t="str">
        <f t="shared" si="21"/>
        <v>2027광운대7</v>
      </c>
      <c r="E691" s="39" t="s">
        <v>148</v>
      </c>
      <c r="F691" s="26" t="s">
        <v>17</v>
      </c>
      <c r="H691" s="27" t="s">
        <v>297</v>
      </c>
      <c r="I691" s="27">
        <v>2027</v>
      </c>
      <c r="J691" s="27" t="s">
        <v>19</v>
      </c>
      <c r="K691" s="27" t="s">
        <v>300</v>
      </c>
      <c r="L691" s="27" t="s">
        <v>24</v>
      </c>
      <c r="M691" s="27" t="s">
        <v>22</v>
      </c>
      <c r="N691" s="40" t="s">
        <v>33</v>
      </c>
      <c r="O691" s="27" t="s">
        <v>33</v>
      </c>
      <c r="P691" s="27" t="s">
        <v>33</v>
      </c>
      <c r="Q691" s="41"/>
      <c r="R691" s="40"/>
    </row>
    <row r="692" spans="1:18" ht="30" customHeight="1" x14ac:dyDescent="0.3">
      <c r="A692" s="26" t="str">
        <f t="shared" si="20"/>
        <v>2027광운대</v>
      </c>
      <c r="B692" s="26">
        <f>COUNTIFS($A$4:A692,A692)</f>
        <v>8</v>
      </c>
      <c r="C692" s="26" t="str">
        <f t="shared" si="21"/>
        <v>2027광운대8</v>
      </c>
      <c r="E692" s="39" t="s">
        <v>148</v>
      </c>
      <c r="F692" s="26" t="s">
        <v>17</v>
      </c>
      <c r="H692" s="27" t="s">
        <v>297</v>
      </c>
      <c r="I692" s="27">
        <v>2027</v>
      </c>
      <c r="J692" s="27" t="s">
        <v>50</v>
      </c>
      <c r="K692" s="27" t="s">
        <v>156</v>
      </c>
      <c r="L692" s="27" t="s">
        <v>21</v>
      </c>
      <c r="M692" s="27" t="s">
        <v>22</v>
      </c>
      <c r="N692" s="40" t="s">
        <v>33</v>
      </c>
      <c r="O692" s="27" t="s">
        <v>33</v>
      </c>
      <c r="P692" s="27" t="s">
        <v>33</v>
      </c>
      <c r="Q692" s="41"/>
      <c r="R692" s="40"/>
    </row>
    <row r="693" spans="1:18" ht="30" customHeight="1" x14ac:dyDescent="0.3">
      <c r="A693" s="26" t="str">
        <f t="shared" si="20"/>
        <v>2027광운대</v>
      </c>
      <c r="B693" s="26">
        <f>COUNTIFS($A$4:A693,A693)</f>
        <v>9</v>
      </c>
      <c r="C693" s="26" t="str">
        <f t="shared" si="21"/>
        <v>2027광운대9</v>
      </c>
      <c r="E693" s="39" t="s">
        <v>148</v>
      </c>
      <c r="F693" s="26" t="s">
        <v>17</v>
      </c>
      <c r="H693" s="27" t="s">
        <v>297</v>
      </c>
      <c r="I693" s="27">
        <v>2027</v>
      </c>
      <c r="J693" s="27" t="s">
        <v>50</v>
      </c>
      <c r="K693" s="27" t="s">
        <v>156</v>
      </c>
      <c r="L693" s="27" t="s">
        <v>24</v>
      </c>
      <c r="M693" s="27" t="s">
        <v>22</v>
      </c>
      <c r="N693" s="40" t="s">
        <v>33</v>
      </c>
      <c r="O693" s="27" t="s">
        <v>33</v>
      </c>
      <c r="P693" s="27" t="s">
        <v>33</v>
      </c>
      <c r="Q693" s="41"/>
      <c r="R693" s="40"/>
    </row>
    <row r="694" spans="1:18" ht="30" customHeight="1" x14ac:dyDescent="0.3">
      <c r="A694" s="26" t="str">
        <f t="shared" si="20"/>
        <v>2025명지대</v>
      </c>
      <c r="B694" s="26">
        <f>COUNTIFS($A$4:A694,A694)</f>
        <v>1</v>
      </c>
      <c r="C694" s="26" t="str">
        <f t="shared" si="21"/>
        <v>2025명지대1</v>
      </c>
      <c r="E694" s="39" t="s">
        <v>148</v>
      </c>
      <c r="F694" s="26" t="s">
        <v>17</v>
      </c>
      <c r="H694" s="27" t="s">
        <v>301</v>
      </c>
      <c r="I694" s="27">
        <v>2025</v>
      </c>
      <c r="J694" s="27" t="s">
        <v>38</v>
      </c>
      <c r="K694" s="27" t="s">
        <v>80</v>
      </c>
      <c r="L694" s="27" t="s">
        <v>21</v>
      </c>
      <c r="M694" s="27" t="s">
        <v>22</v>
      </c>
      <c r="N694" s="40" t="s">
        <v>33</v>
      </c>
      <c r="O694" s="27" t="s">
        <v>33</v>
      </c>
      <c r="P694" s="27" t="s">
        <v>33</v>
      </c>
      <c r="Q694" s="41"/>
      <c r="R694" s="40"/>
    </row>
    <row r="695" spans="1:18" ht="30" customHeight="1" x14ac:dyDescent="0.3">
      <c r="A695" s="26" t="str">
        <f t="shared" si="20"/>
        <v>2025명지대</v>
      </c>
      <c r="B695" s="26">
        <f>COUNTIFS($A$4:A695,A695)</f>
        <v>2</v>
      </c>
      <c r="C695" s="26" t="str">
        <f t="shared" si="21"/>
        <v>2025명지대2</v>
      </c>
      <c r="E695" s="39" t="s">
        <v>148</v>
      </c>
      <c r="F695" s="26" t="s">
        <v>17</v>
      </c>
      <c r="H695" s="27" t="s">
        <v>301</v>
      </c>
      <c r="I695" s="27">
        <v>2025</v>
      </c>
      <c r="J695" s="27" t="s">
        <v>38</v>
      </c>
      <c r="K695" s="27" t="s">
        <v>80</v>
      </c>
      <c r="L695" s="27" t="s">
        <v>24</v>
      </c>
      <c r="M695" s="27" t="s">
        <v>22</v>
      </c>
      <c r="N695" s="40" t="s">
        <v>33</v>
      </c>
      <c r="O695" s="27" t="s">
        <v>33</v>
      </c>
      <c r="P695" s="27" t="s">
        <v>33</v>
      </c>
      <c r="Q695" s="41"/>
      <c r="R695" s="40"/>
    </row>
    <row r="696" spans="1:18" ht="30" customHeight="1" x14ac:dyDescent="0.3">
      <c r="A696" s="26" t="str">
        <f t="shared" si="20"/>
        <v>2025명지대</v>
      </c>
      <c r="B696" s="26">
        <f>COUNTIFS($A$4:A696,A696)</f>
        <v>3</v>
      </c>
      <c r="C696" s="26" t="str">
        <f t="shared" si="21"/>
        <v>2025명지대3</v>
      </c>
      <c r="E696" s="39" t="s">
        <v>148</v>
      </c>
      <c r="F696" s="26" t="s">
        <v>17</v>
      </c>
      <c r="H696" s="27" t="s">
        <v>301</v>
      </c>
      <c r="I696" s="27">
        <v>2025</v>
      </c>
      <c r="J696" s="27" t="s">
        <v>38</v>
      </c>
      <c r="K696" s="27" t="s">
        <v>302</v>
      </c>
      <c r="L696" s="27" t="s">
        <v>21</v>
      </c>
      <c r="M696" s="27" t="s">
        <v>22</v>
      </c>
      <c r="N696" s="40" t="s">
        <v>33</v>
      </c>
      <c r="O696" s="27" t="s">
        <v>33</v>
      </c>
      <c r="P696" s="27" t="s">
        <v>33</v>
      </c>
      <c r="Q696" s="41"/>
      <c r="R696" s="40"/>
    </row>
    <row r="697" spans="1:18" ht="30" customHeight="1" x14ac:dyDescent="0.3">
      <c r="A697" s="26" t="str">
        <f t="shared" si="20"/>
        <v>2025명지대</v>
      </c>
      <c r="B697" s="26">
        <f>COUNTIFS($A$4:A697,A697)</f>
        <v>4</v>
      </c>
      <c r="C697" s="26" t="str">
        <f t="shared" si="21"/>
        <v>2025명지대4</v>
      </c>
      <c r="E697" s="39" t="s">
        <v>148</v>
      </c>
      <c r="F697" s="26" t="s">
        <v>17</v>
      </c>
      <c r="H697" s="27" t="s">
        <v>301</v>
      </c>
      <c r="I697" s="27">
        <v>2025</v>
      </c>
      <c r="J697" s="27" t="s">
        <v>38</v>
      </c>
      <c r="K697" s="27" t="s">
        <v>302</v>
      </c>
      <c r="L697" s="27" t="s">
        <v>24</v>
      </c>
      <c r="M697" s="27" t="s">
        <v>22</v>
      </c>
      <c r="N697" s="40" t="s">
        <v>33</v>
      </c>
      <c r="O697" s="27" t="s">
        <v>33</v>
      </c>
      <c r="P697" s="27" t="s">
        <v>33</v>
      </c>
      <c r="Q697" s="41"/>
      <c r="R697" s="40"/>
    </row>
    <row r="698" spans="1:18" ht="30" customHeight="1" x14ac:dyDescent="0.3">
      <c r="A698" s="26" t="str">
        <f t="shared" si="20"/>
        <v>2025명지대</v>
      </c>
      <c r="B698" s="26">
        <f>COUNTIFS($A$4:A698,A698)</f>
        <v>5</v>
      </c>
      <c r="C698" s="26" t="str">
        <f t="shared" si="21"/>
        <v>2025명지대5</v>
      </c>
      <c r="E698" s="39" t="s">
        <v>148</v>
      </c>
      <c r="F698" s="26" t="s">
        <v>17</v>
      </c>
      <c r="H698" s="27" t="s">
        <v>301</v>
      </c>
      <c r="I698" s="27">
        <v>2025</v>
      </c>
      <c r="J698" s="27" t="s">
        <v>19</v>
      </c>
      <c r="K698" s="27" t="s">
        <v>303</v>
      </c>
      <c r="L698" s="27" t="s">
        <v>21</v>
      </c>
      <c r="M698" s="27" t="s">
        <v>22</v>
      </c>
      <c r="N698" s="40" t="s">
        <v>33</v>
      </c>
      <c r="O698" s="27" t="s">
        <v>33</v>
      </c>
      <c r="P698" s="27" t="s">
        <v>33</v>
      </c>
      <c r="Q698" s="41"/>
      <c r="R698" s="40"/>
    </row>
    <row r="699" spans="1:18" ht="30" customHeight="1" x14ac:dyDescent="0.3">
      <c r="A699" s="26" t="str">
        <f t="shared" si="20"/>
        <v>2025명지대</v>
      </c>
      <c r="B699" s="26">
        <f>COUNTIFS($A$4:A699,A699)</f>
        <v>6</v>
      </c>
      <c r="C699" s="26" t="str">
        <f t="shared" si="21"/>
        <v>2025명지대6</v>
      </c>
      <c r="E699" s="39" t="s">
        <v>148</v>
      </c>
      <c r="F699" s="26" t="s">
        <v>17</v>
      </c>
      <c r="H699" s="27" t="s">
        <v>301</v>
      </c>
      <c r="I699" s="27">
        <v>2025</v>
      </c>
      <c r="J699" s="27" t="s">
        <v>19</v>
      </c>
      <c r="K699" s="27" t="s">
        <v>303</v>
      </c>
      <c r="L699" s="27" t="s">
        <v>24</v>
      </c>
      <c r="M699" s="27" t="s">
        <v>22</v>
      </c>
      <c r="N699" s="40" t="s">
        <v>33</v>
      </c>
      <c r="O699" s="27" t="s">
        <v>33</v>
      </c>
      <c r="P699" s="27" t="s">
        <v>33</v>
      </c>
      <c r="Q699" s="41"/>
      <c r="R699" s="40"/>
    </row>
    <row r="700" spans="1:18" ht="30" customHeight="1" x14ac:dyDescent="0.3">
      <c r="A700" s="26" t="str">
        <f t="shared" si="20"/>
        <v>2025명지대</v>
      </c>
      <c r="B700" s="26">
        <f>COUNTIFS($A$4:A700,A700)</f>
        <v>7</v>
      </c>
      <c r="C700" s="26" t="str">
        <f t="shared" si="21"/>
        <v>2025명지대7</v>
      </c>
      <c r="E700" s="39" t="s">
        <v>148</v>
      </c>
      <c r="F700" s="26" t="s">
        <v>17</v>
      </c>
      <c r="H700" s="27" t="s">
        <v>301</v>
      </c>
      <c r="I700" s="27">
        <v>2025</v>
      </c>
      <c r="J700" s="27" t="s">
        <v>19</v>
      </c>
      <c r="K700" s="27" t="s">
        <v>304</v>
      </c>
      <c r="L700" s="27" t="s">
        <v>21</v>
      </c>
      <c r="M700" s="27" t="s">
        <v>22</v>
      </c>
      <c r="N700" s="40" t="s">
        <v>33</v>
      </c>
      <c r="O700" s="27" t="s">
        <v>33</v>
      </c>
      <c r="P700" s="27" t="s">
        <v>33</v>
      </c>
      <c r="Q700" s="41"/>
      <c r="R700" s="40"/>
    </row>
    <row r="701" spans="1:18" ht="30" customHeight="1" x14ac:dyDescent="0.3">
      <c r="A701" s="26" t="str">
        <f t="shared" si="20"/>
        <v>2025명지대</v>
      </c>
      <c r="B701" s="26">
        <f>COUNTIFS($A$4:A701,A701)</f>
        <v>8</v>
      </c>
      <c r="C701" s="26" t="str">
        <f t="shared" si="21"/>
        <v>2025명지대8</v>
      </c>
      <c r="E701" s="39" t="s">
        <v>148</v>
      </c>
      <c r="F701" s="26" t="s">
        <v>17</v>
      </c>
      <c r="H701" s="27" t="s">
        <v>301</v>
      </c>
      <c r="I701" s="27">
        <v>2025</v>
      </c>
      <c r="J701" s="27" t="s">
        <v>19</v>
      </c>
      <c r="K701" s="27" t="s">
        <v>304</v>
      </c>
      <c r="L701" s="27" t="s">
        <v>24</v>
      </c>
      <c r="M701" s="27" t="s">
        <v>22</v>
      </c>
      <c r="N701" s="40" t="s">
        <v>33</v>
      </c>
      <c r="O701" s="27" t="s">
        <v>33</v>
      </c>
      <c r="P701" s="27" t="s">
        <v>33</v>
      </c>
      <c r="Q701" s="41"/>
      <c r="R701" s="40"/>
    </row>
    <row r="702" spans="1:18" ht="30" customHeight="1" x14ac:dyDescent="0.3">
      <c r="A702" s="26" t="str">
        <f t="shared" si="20"/>
        <v>2026명지대</v>
      </c>
      <c r="B702" s="26">
        <f>COUNTIFS($A$4:A702,A702)</f>
        <v>1</v>
      </c>
      <c r="C702" s="26" t="str">
        <f t="shared" si="21"/>
        <v>2026명지대1</v>
      </c>
      <c r="E702" s="39" t="s">
        <v>148</v>
      </c>
      <c r="F702" s="26" t="s">
        <v>17</v>
      </c>
      <c r="H702" s="27" t="s">
        <v>301</v>
      </c>
      <c r="I702" s="27">
        <v>2026</v>
      </c>
      <c r="J702" s="27" t="s">
        <v>38</v>
      </c>
      <c r="K702" s="27" t="s">
        <v>80</v>
      </c>
      <c r="L702" s="27" t="s">
        <v>21</v>
      </c>
      <c r="M702" s="27" t="s">
        <v>22</v>
      </c>
      <c r="N702" s="40" t="s">
        <v>33</v>
      </c>
      <c r="O702" s="27" t="s">
        <v>33</v>
      </c>
      <c r="P702" s="27" t="s">
        <v>33</v>
      </c>
      <c r="Q702" s="41"/>
      <c r="R702" s="40"/>
    </row>
    <row r="703" spans="1:18" ht="30" customHeight="1" x14ac:dyDescent="0.3">
      <c r="A703" s="26" t="str">
        <f t="shared" si="20"/>
        <v>2026명지대</v>
      </c>
      <c r="B703" s="26">
        <f>COUNTIFS($A$4:A703,A703)</f>
        <v>2</v>
      </c>
      <c r="C703" s="26" t="str">
        <f t="shared" si="21"/>
        <v>2026명지대2</v>
      </c>
      <c r="E703" s="39" t="s">
        <v>148</v>
      </c>
      <c r="F703" s="26" t="s">
        <v>17</v>
      </c>
      <c r="H703" s="27" t="s">
        <v>301</v>
      </c>
      <c r="I703" s="27">
        <v>2026</v>
      </c>
      <c r="J703" s="27" t="s">
        <v>38</v>
      </c>
      <c r="K703" s="27" t="s">
        <v>80</v>
      </c>
      <c r="L703" s="27" t="s">
        <v>24</v>
      </c>
      <c r="M703" s="27" t="s">
        <v>22</v>
      </c>
      <c r="N703" s="40" t="s">
        <v>33</v>
      </c>
      <c r="O703" s="27" t="s">
        <v>33</v>
      </c>
      <c r="P703" s="27" t="s">
        <v>33</v>
      </c>
      <c r="Q703" s="41"/>
      <c r="R703" s="40"/>
    </row>
    <row r="704" spans="1:18" ht="30" customHeight="1" x14ac:dyDescent="0.3">
      <c r="A704" s="26" t="str">
        <f t="shared" si="20"/>
        <v>2026명지대</v>
      </c>
      <c r="B704" s="26">
        <f>COUNTIFS($A$4:A704,A704)</f>
        <v>3</v>
      </c>
      <c r="C704" s="26" t="str">
        <f t="shared" si="21"/>
        <v>2026명지대3</v>
      </c>
      <c r="E704" s="39" t="s">
        <v>148</v>
      </c>
      <c r="F704" s="26" t="s">
        <v>17</v>
      </c>
      <c r="H704" s="27" t="s">
        <v>301</v>
      </c>
      <c r="I704" s="27">
        <v>2026</v>
      </c>
      <c r="J704" s="27" t="s">
        <v>38</v>
      </c>
      <c r="K704" s="27" t="s">
        <v>302</v>
      </c>
      <c r="L704" s="27" t="s">
        <v>21</v>
      </c>
      <c r="M704" s="27" t="s">
        <v>22</v>
      </c>
      <c r="N704" s="40" t="s">
        <v>33</v>
      </c>
      <c r="O704" s="27" t="s">
        <v>33</v>
      </c>
      <c r="P704" s="27" t="s">
        <v>33</v>
      </c>
      <c r="Q704" s="41"/>
      <c r="R704" s="40"/>
    </row>
    <row r="705" spans="1:18" ht="30" customHeight="1" x14ac:dyDescent="0.3">
      <c r="A705" s="26" t="str">
        <f t="shared" si="20"/>
        <v>2026명지대</v>
      </c>
      <c r="B705" s="26">
        <f>COUNTIFS($A$4:A705,A705)</f>
        <v>4</v>
      </c>
      <c r="C705" s="26" t="str">
        <f t="shared" si="21"/>
        <v>2026명지대4</v>
      </c>
      <c r="E705" s="39" t="s">
        <v>148</v>
      </c>
      <c r="F705" s="26" t="s">
        <v>17</v>
      </c>
      <c r="H705" s="27" t="s">
        <v>301</v>
      </c>
      <c r="I705" s="27">
        <v>2026</v>
      </c>
      <c r="J705" s="27" t="s">
        <v>38</v>
      </c>
      <c r="K705" s="27" t="s">
        <v>302</v>
      </c>
      <c r="L705" s="27" t="s">
        <v>24</v>
      </c>
      <c r="M705" s="27" t="s">
        <v>22</v>
      </c>
      <c r="N705" s="40" t="s">
        <v>33</v>
      </c>
      <c r="O705" s="27" t="s">
        <v>33</v>
      </c>
      <c r="P705" s="27" t="s">
        <v>33</v>
      </c>
      <c r="Q705" s="41"/>
      <c r="R705" s="40"/>
    </row>
    <row r="706" spans="1:18" ht="30" customHeight="1" x14ac:dyDescent="0.3">
      <c r="A706" s="26" t="str">
        <f t="shared" si="20"/>
        <v>2026명지대</v>
      </c>
      <c r="B706" s="26">
        <f>COUNTIFS($A$4:A706,A706)</f>
        <v>5</v>
      </c>
      <c r="C706" s="26" t="str">
        <f t="shared" si="21"/>
        <v>2026명지대5</v>
      </c>
      <c r="E706" s="39" t="s">
        <v>148</v>
      </c>
      <c r="F706" s="26" t="s">
        <v>17</v>
      </c>
      <c r="H706" s="27" t="s">
        <v>301</v>
      </c>
      <c r="I706" s="27">
        <v>2026</v>
      </c>
      <c r="J706" s="27" t="s">
        <v>19</v>
      </c>
      <c r="K706" s="27" t="s">
        <v>303</v>
      </c>
      <c r="L706" s="27" t="s">
        <v>21</v>
      </c>
      <c r="M706" s="27" t="s">
        <v>22</v>
      </c>
      <c r="N706" s="40" t="s">
        <v>33</v>
      </c>
      <c r="O706" s="27" t="s">
        <v>33</v>
      </c>
      <c r="P706" s="27" t="s">
        <v>33</v>
      </c>
      <c r="Q706" s="41"/>
      <c r="R706" s="40"/>
    </row>
    <row r="707" spans="1:18" ht="30" customHeight="1" x14ac:dyDescent="0.3">
      <c r="A707" s="26" t="str">
        <f t="shared" si="20"/>
        <v>2026명지대</v>
      </c>
      <c r="B707" s="26">
        <f>COUNTIFS($A$4:A707,A707)</f>
        <v>6</v>
      </c>
      <c r="C707" s="26" t="str">
        <f t="shared" si="21"/>
        <v>2026명지대6</v>
      </c>
      <c r="E707" s="39" t="s">
        <v>148</v>
      </c>
      <c r="F707" s="26" t="s">
        <v>17</v>
      </c>
      <c r="H707" s="27" t="s">
        <v>301</v>
      </c>
      <c r="I707" s="27">
        <v>2026</v>
      </c>
      <c r="J707" s="27" t="s">
        <v>19</v>
      </c>
      <c r="K707" s="27" t="s">
        <v>303</v>
      </c>
      <c r="L707" s="27" t="s">
        <v>24</v>
      </c>
      <c r="M707" s="27" t="s">
        <v>22</v>
      </c>
      <c r="N707" s="40" t="s">
        <v>33</v>
      </c>
      <c r="O707" s="27" t="s">
        <v>33</v>
      </c>
      <c r="P707" s="27" t="s">
        <v>33</v>
      </c>
      <c r="Q707" s="41"/>
      <c r="R707" s="40"/>
    </row>
    <row r="708" spans="1:18" ht="30" customHeight="1" x14ac:dyDescent="0.3">
      <c r="A708" s="26" t="str">
        <f t="shared" si="20"/>
        <v>2026명지대</v>
      </c>
      <c r="B708" s="26">
        <f>COUNTIFS($A$4:A708,A708)</f>
        <v>7</v>
      </c>
      <c r="C708" s="26" t="str">
        <f t="shared" si="21"/>
        <v>2026명지대7</v>
      </c>
      <c r="E708" s="39" t="s">
        <v>148</v>
      </c>
      <c r="F708" s="26" t="s">
        <v>17</v>
      </c>
      <c r="H708" s="27" t="s">
        <v>301</v>
      </c>
      <c r="I708" s="27">
        <v>2026</v>
      </c>
      <c r="J708" s="27" t="s">
        <v>19</v>
      </c>
      <c r="K708" s="27" t="s">
        <v>304</v>
      </c>
      <c r="L708" s="27" t="s">
        <v>21</v>
      </c>
      <c r="M708" s="27" t="s">
        <v>22</v>
      </c>
      <c r="N708" s="40" t="s">
        <v>33</v>
      </c>
      <c r="O708" s="27" t="s">
        <v>33</v>
      </c>
      <c r="P708" s="27" t="s">
        <v>33</v>
      </c>
      <c r="Q708" s="41"/>
      <c r="R708" s="40"/>
    </row>
    <row r="709" spans="1:18" ht="30" customHeight="1" x14ac:dyDescent="0.3">
      <c r="A709" s="26" t="str">
        <f t="shared" si="20"/>
        <v>2026명지대</v>
      </c>
      <c r="B709" s="26">
        <f>COUNTIFS($A$4:A709,A709)</f>
        <v>8</v>
      </c>
      <c r="C709" s="26" t="str">
        <f t="shared" si="21"/>
        <v>2026명지대8</v>
      </c>
      <c r="E709" s="39" t="s">
        <v>148</v>
      </c>
      <c r="F709" s="26" t="s">
        <v>17</v>
      </c>
      <c r="H709" s="27" t="s">
        <v>301</v>
      </c>
      <c r="I709" s="27">
        <v>2026</v>
      </c>
      <c r="J709" s="27" t="s">
        <v>19</v>
      </c>
      <c r="K709" s="27" t="s">
        <v>304</v>
      </c>
      <c r="L709" s="27" t="s">
        <v>24</v>
      </c>
      <c r="M709" s="27" t="s">
        <v>22</v>
      </c>
      <c r="N709" s="40" t="s">
        <v>33</v>
      </c>
      <c r="O709" s="27" t="s">
        <v>33</v>
      </c>
      <c r="P709" s="27" t="s">
        <v>33</v>
      </c>
      <c r="Q709" s="41"/>
      <c r="R709" s="40"/>
    </row>
    <row r="710" spans="1:18" ht="30" customHeight="1" x14ac:dyDescent="0.3">
      <c r="A710" s="26" t="str">
        <f t="shared" si="20"/>
        <v>2027명지대</v>
      </c>
      <c r="B710" s="26">
        <f>COUNTIFS($A$4:A710,A710)</f>
        <v>1</v>
      </c>
      <c r="C710" s="26" t="str">
        <f t="shared" si="21"/>
        <v>2027명지대1</v>
      </c>
      <c r="E710" s="39" t="s">
        <v>148</v>
      </c>
      <c r="F710" s="26" t="s">
        <v>17</v>
      </c>
      <c r="H710" s="27" t="s">
        <v>301</v>
      </c>
      <c r="I710" s="27">
        <v>2027</v>
      </c>
      <c r="J710" s="27" t="s">
        <v>38</v>
      </c>
      <c r="K710" s="27" t="s">
        <v>80</v>
      </c>
      <c r="L710" s="27" t="s">
        <v>21</v>
      </c>
      <c r="M710" s="27" t="s">
        <v>22</v>
      </c>
      <c r="N710" s="40" t="s">
        <v>33</v>
      </c>
      <c r="O710" s="27" t="s">
        <v>33</v>
      </c>
      <c r="P710" s="27" t="s">
        <v>33</v>
      </c>
      <c r="Q710" s="41"/>
      <c r="R710" s="40"/>
    </row>
    <row r="711" spans="1:18" ht="30" customHeight="1" x14ac:dyDescent="0.3">
      <c r="A711" s="26" t="str">
        <f t="shared" ref="A711:A774" si="22">I711&amp;H711</f>
        <v>2027명지대</v>
      </c>
      <c r="B711" s="26">
        <f>COUNTIFS($A$4:A711,A711)</f>
        <v>2</v>
      </c>
      <c r="C711" s="26" t="str">
        <f t="shared" ref="C711:C774" si="23">A711&amp;B711</f>
        <v>2027명지대2</v>
      </c>
      <c r="E711" s="39" t="s">
        <v>148</v>
      </c>
      <c r="F711" s="26" t="s">
        <v>17</v>
      </c>
      <c r="H711" s="27" t="s">
        <v>301</v>
      </c>
      <c r="I711" s="27">
        <v>2027</v>
      </c>
      <c r="J711" s="27" t="s">
        <v>38</v>
      </c>
      <c r="K711" s="27" t="s">
        <v>80</v>
      </c>
      <c r="L711" s="27" t="s">
        <v>24</v>
      </c>
      <c r="M711" s="27" t="s">
        <v>22</v>
      </c>
      <c r="N711" s="40" t="s">
        <v>33</v>
      </c>
      <c r="O711" s="27" t="s">
        <v>33</v>
      </c>
      <c r="P711" s="27" t="s">
        <v>33</v>
      </c>
      <c r="Q711" s="41"/>
      <c r="R711" s="40"/>
    </row>
    <row r="712" spans="1:18" ht="30" customHeight="1" x14ac:dyDescent="0.3">
      <c r="A712" s="26" t="str">
        <f t="shared" si="22"/>
        <v>2027명지대</v>
      </c>
      <c r="B712" s="26">
        <f>COUNTIFS($A$4:A712,A712)</f>
        <v>3</v>
      </c>
      <c r="C712" s="26" t="str">
        <f t="shared" si="23"/>
        <v>2027명지대3</v>
      </c>
      <c r="E712" s="39" t="s">
        <v>148</v>
      </c>
      <c r="F712" s="26" t="s">
        <v>17</v>
      </c>
      <c r="H712" s="27" t="s">
        <v>301</v>
      </c>
      <c r="I712" s="27">
        <v>2027</v>
      </c>
      <c r="J712" s="27" t="s">
        <v>38</v>
      </c>
      <c r="K712" s="27" t="s">
        <v>302</v>
      </c>
      <c r="L712" s="27" t="s">
        <v>21</v>
      </c>
      <c r="M712" s="27" t="s">
        <v>22</v>
      </c>
      <c r="N712" s="40" t="s">
        <v>33</v>
      </c>
      <c r="O712" s="27" t="s">
        <v>33</v>
      </c>
      <c r="P712" s="27" t="s">
        <v>33</v>
      </c>
      <c r="Q712" s="41"/>
      <c r="R712" s="40"/>
    </row>
    <row r="713" spans="1:18" ht="30" customHeight="1" x14ac:dyDescent="0.3">
      <c r="A713" s="26" t="str">
        <f t="shared" si="22"/>
        <v>2027명지대</v>
      </c>
      <c r="B713" s="26">
        <f>COUNTIFS($A$4:A713,A713)</f>
        <v>4</v>
      </c>
      <c r="C713" s="26" t="str">
        <f t="shared" si="23"/>
        <v>2027명지대4</v>
      </c>
      <c r="E713" s="39" t="s">
        <v>148</v>
      </c>
      <c r="F713" s="26" t="s">
        <v>17</v>
      </c>
      <c r="H713" s="27" t="s">
        <v>301</v>
      </c>
      <c r="I713" s="27">
        <v>2027</v>
      </c>
      <c r="J713" s="27" t="s">
        <v>38</v>
      </c>
      <c r="K713" s="27" t="s">
        <v>302</v>
      </c>
      <c r="L713" s="27" t="s">
        <v>24</v>
      </c>
      <c r="M713" s="27" t="s">
        <v>22</v>
      </c>
      <c r="N713" s="40" t="s">
        <v>33</v>
      </c>
      <c r="O713" s="27" t="s">
        <v>33</v>
      </c>
      <c r="P713" s="27" t="s">
        <v>33</v>
      </c>
      <c r="Q713" s="41"/>
      <c r="R713" s="40"/>
    </row>
    <row r="714" spans="1:18" ht="30" customHeight="1" x14ac:dyDescent="0.3">
      <c r="A714" s="26" t="str">
        <f t="shared" si="22"/>
        <v>2027명지대</v>
      </c>
      <c r="B714" s="26">
        <f>COUNTIFS($A$4:A714,A714)</f>
        <v>5</v>
      </c>
      <c r="C714" s="26" t="str">
        <f t="shared" si="23"/>
        <v>2027명지대5</v>
      </c>
      <c r="E714" s="39" t="s">
        <v>148</v>
      </c>
      <c r="F714" s="26" t="s">
        <v>17</v>
      </c>
      <c r="H714" s="27" t="s">
        <v>301</v>
      </c>
      <c r="I714" s="27">
        <v>2027</v>
      </c>
      <c r="J714" s="27" t="s">
        <v>19</v>
      </c>
      <c r="K714" s="27" t="s">
        <v>303</v>
      </c>
      <c r="L714" s="27" t="s">
        <v>21</v>
      </c>
      <c r="M714" s="27" t="s">
        <v>22</v>
      </c>
      <c r="N714" s="40" t="s">
        <v>33</v>
      </c>
      <c r="O714" s="27" t="s">
        <v>33</v>
      </c>
      <c r="P714" s="27" t="s">
        <v>33</v>
      </c>
      <c r="Q714" s="41"/>
      <c r="R714" s="40"/>
    </row>
    <row r="715" spans="1:18" ht="30" customHeight="1" x14ac:dyDescent="0.3">
      <c r="A715" s="26" t="str">
        <f t="shared" si="22"/>
        <v>2027명지대</v>
      </c>
      <c r="B715" s="26">
        <f>COUNTIFS($A$4:A715,A715)</f>
        <v>6</v>
      </c>
      <c r="C715" s="26" t="str">
        <f t="shared" si="23"/>
        <v>2027명지대6</v>
      </c>
      <c r="E715" s="39" t="s">
        <v>148</v>
      </c>
      <c r="F715" s="26" t="s">
        <v>17</v>
      </c>
      <c r="H715" s="27" t="s">
        <v>301</v>
      </c>
      <c r="I715" s="27">
        <v>2027</v>
      </c>
      <c r="J715" s="27" t="s">
        <v>19</v>
      </c>
      <c r="K715" s="27" t="s">
        <v>303</v>
      </c>
      <c r="L715" s="27" t="s">
        <v>24</v>
      </c>
      <c r="M715" s="27" t="s">
        <v>22</v>
      </c>
      <c r="N715" s="40" t="s">
        <v>33</v>
      </c>
      <c r="O715" s="27" t="s">
        <v>33</v>
      </c>
      <c r="P715" s="27" t="s">
        <v>33</v>
      </c>
      <c r="Q715" s="41"/>
      <c r="R715" s="40"/>
    </row>
    <row r="716" spans="1:18" ht="30" customHeight="1" x14ac:dyDescent="0.3">
      <c r="A716" s="26" t="str">
        <f t="shared" si="22"/>
        <v>2027명지대</v>
      </c>
      <c r="B716" s="26">
        <f>COUNTIFS($A$4:A716,A716)</f>
        <v>7</v>
      </c>
      <c r="C716" s="26" t="str">
        <f t="shared" si="23"/>
        <v>2027명지대7</v>
      </c>
      <c r="E716" s="39" t="s">
        <v>148</v>
      </c>
      <c r="F716" s="26" t="s">
        <v>17</v>
      </c>
      <c r="H716" s="27" t="s">
        <v>301</v>
      </c>
      <c r="I716" s="27">
        <v>2027</v>
      </c>
      <c r="J716" s="27" t="s">
        <v>19</v>
      </c>
      <c r="K716" s="27" t="s">
        <v>304</v>
      </c>
      <c r="L716" s="27" t="s">
        <v>21</v>
      </c>
      <c r="M716" s="27" t="s">
        <v>22</v>
      </c>
      <c r="N716" s="40" t="s">
        <v>33</v>
      </c>
      <c r="O716" s="27" t="s">
        <v>33</v>
      </c>
      <c r="P716" s="27" t="s">
        <v>33</v>
      </c>
      <c r="Q716" s="41"/>
      <c r="R716" s="40"/>
    </row>
    <row r="717" spans="1:18" ht="30" customHeight="1" x14ac:dyDescent="0.3">
      <c r="A717" s="26" t="str">
        <f t="shared" si="22"/>
        <v>2027명지대</v>
      </c>
      <c r="B717" s="26">
        <f>COUNTIFS($A$4:A717,A717)</f>
        <v>8</v>
      </c>
      <c r="C717" s="26" t="str">
        <f t="shared" si="23"/>
        <v>2027명지대8</v>
      </c>
      <c r="E717" s="39" t="s">
        <v>148</v>
      </c>
      <c r="F717" s="26" t="s">
        <v>17</v>
      </c>
      <c r="H717" s="27" t="s">
        <v>301</v>
      </c>
      <c r="I717" s="27">
        <v>2027</v>
      </c>
      <c r="J717" s="27" t="s">
        <v>19</v>
      </c>
      <c r="K717" s="27" t="s">
        <v>304</v>
      </c>
      <c r="L717" s="27" t="s">
        <v>24</v>
      </c>
      <c r="M717" s="27" t="s">
        <v>22</v>
      </c>
      <c r="N717" s="40" t="s">
        <v>33</v>
      </c>
      <c r="O717" s="27" t="s">
        <v>33</v>
      </c>
      <c r="P717" s="27" t="s">
        <v>33</v>
      </c>
      <c r="Q717" s="41"/>
      <c r="R717" s="40"/>
    </row>
    <row r="718" spans="1:18" ht="30" customHeight="1" x14ac:dyDescent="0.3">
      <c r="A718" s="26" t="str">
        <f t="shared" si="22"/>
        <v>2025상명대(서울)</v>
      </c>
      <c r="B718" s="26">
        <f>COUNTIFS($A$4:A718,A718)</f>
        <v>1</v>
      </c>
      <c r="C718" s="26" t="str">
        <f t="shared" si="23"/>
        <v>2025상명대(서울)1</v>
      </c>
      <c r="E718" s="39" t="s">
        <v>148</v>
      </c>
      <c r="F718" s="26" t="s">
        <v>17</v>
      </c>
      <c r="H718" s="27" t="s">
        <v>305</v>
      </c>
      <c r="I718" s="27">
        <v>2025</v>
      </c>
      <c r="J718" s="27" t="s">
        <v>38</v>
      </c>
      <c r="K718" s="27" t="s">
        <v>183</v>
      </c>
      <c r="L718" s="27" t="s">
        <v>21</v>
      </c>
      <c r="M718" s="27" t="s">
        <v>22</v>
      </c>
      <c r="N718" s="29" t="s">
        <v>306</v>
      </c>
      <c r="O718" s="27" t="s">
        <v>33</v>
      </c>
      <c r="P718" s="27" t="s">
        <v>22</v>
      </c>
      <c r="Q718" s="41"/>
      <c r="R718" s="40"/>
    </row>
    <row r="719" spans="1:18" ht="30" customHeight="1" x14ac:dyDescent="0.3">
      <c r="A719" s="26" t="str">
        <f t="shared" si="22"/>
        <v>2025상명대(서울)</v>
      </c>
      <c r="B719" s="26">
        <f>COUNTIFS($A$4:A719,A719)</f>
        <v>2</v>
      </c>
      <c r="C719" s="26" t="str">
        <f t="shared" si="23"/>
        <v>2025상명대(서울)2</v>
      </c>
      <c r="E719" s="39" t="s">
        <v>148</v>
      </c>
      <c r="F719" s="26" t="s">
        <v>17</v>
      </c>
      <c r="H719" s="27" t="s">
        <v>305</v>
      </c>
      <c r="I719" s="27">
        <v>2025</v>
      </c>
      <c r="J719" s="27" t="s">
        <v>38</v>
      </c>
      <c r="K719" s="27" t="s">
        <v>183</v>
      </c>
      <c r="L719" s="27" t="s">
        <v>24</v>
      </c>
      <c r="M719" s="27" t="s">
        <v>22</v>
      </c>
      <c r="N719" s="40" t="s">
        <v>307</v>
      </c>
      <c r="O719" s="27" t="s">
        <v>33</v>
      </c>
      <c r="P719" s="27" t="s">
        <v>22</v>
      </c>
      <c r="Q719" s="41"/>
      <c r="R719" s="40"/>
    </row>
    <row r="720" spans="1:18" ht="30" customHeight="1" x14ac:dyDescent="0.3">
      <c r="A720" s="26" t="str">
        <f t="shared" si="22"/>
        <v>2025상명대(서울)</v>
      </c>
      <c r="B720" s="26">
        <f>COUNTIFS($A$4:A720,A720)</f>
        <v>3</v>
      </c>
      <c r="C720" s="26" t="str">
        <f t="shared" si="23"/>
        <v>2025상명대(서울)3</v>
      </c>
      <c r="E720" s="39" t="s">
        <v>148</v>
      </c>
      <c r="F720" s="26" t="s">
        <v>17</v>
      </c>
      <c r="H720" s="27" t="s">
        <v>305</v>
      </c>
      <c r="I720" s="27">
        <v>2025</v>
      </c>
      <c r="J720" s="27" t="s">
        <v>19</v>
      </c>
      <c r="K720" s="27" t="s">
        <v>308</v>
      </c>
      <c r="L720" s="27" t="s">
        <v>21</v>
      </c>
      <c r="M720" s="27" t="s">
        <v>33</v>
      </c>
      <c r="N720" s="40" t="s">
        <v>33</v>
      </c>
      <c r="O720" s="27" t="s">
        <v>33</v>
      </c>
      <c r="P720" s="27" t="s">
        <v>22</v>
      </c>
      <c r="Q720" s="41"/>
      <c r="R720" s="40"/>
    </row>
    <row r="721" spans="1:18" ht="30" customHeight="1" x14ac:dyDescent="0.3">
      <c r="A721" s="26" t="str">
        <f t="shared" si="22"/>
        <v>2025상명대(서울)</v>
      </c>
      <c r="B721" s="26">
        <f>COUNTIFS($A$4:A721,A721)</f>
        <v>4</v>
      </c>
      <c r="C721" s="26" t="str">
        <f t="shared" si="23"/>
        <v>2025상명대(서울)4</v>
      </c>
      <c r="E721" s="39" t="s">
        <v>148</v>
      </c>
      <c r="F721" s="26" t="s">
        <v>17</v>
      </c>
      <c r="H721" s="27" t="s">
        <v>305</v>
      </c>
      <c r="I721" s="27">
        <v>2025</v>
      </c>
      <c r="J721" s="27" t="s">
        <v>19</v>
      </c>
      <c r="K721" s="27" t="s">
        <v>308</v>
      </c>
      <c r="L721" s="27" t="s">
        <v>24</v>
      </c>
      <c r="M721" s="27" t="s">
        <v>33</v>
      </c>
      <c r="N721" s="40" t="s">
        <v>33</v>
      </c>
      <c r="O721" s="27" t="s">
        <v>33</v>
      </c>
      <c r="P721" s="27" t="s">
        <v>22</v>
      </c>
      <c r="Q721" s="41"/>
      <c r="R721" s="40"/>
    </row>
    <row r="722" spans="1:18" ht="30" customHeight="1" x14ac:dyDescent="0.3">
      <c r="A722" s="26" t="str">
        <f t="shared" si="22"/>
        <v>2026상명대(서울)</v>
      </c>
      <c r="B722" s="26">
        <f>COUNTIFS($A$4:A722,A722)</f>
        <v>1</v>
      </c>
      <c r="C722" s="26" t="str">
        <f t="shared" si="23"/>
        <v>2026상명대(서울)1</v>
      </c>
      <c r="E722" s="39" t="s">
        <v>148</v>
      </c>
      <c r="F722" s="26" t="s">
        <v>17</v>
      </c>
      <c r="H722" s="27" t="s">
        <v>305</v>
      </c>
      <c r="I722" s="27">
        <v>2026</v>
      </c>
      <c r="J722" s="27" t="s">
        <v>38</v>
      </c>
      <c r="K722" s="27" t="s">
        <v>183</v>
      </c>
      <c r="L722" s="27" t="s">
        <v>21</v>
      </c>
      <c r="M722" s="27" t="s">
        <v>33</v>
      </c>
      <c r="N722" s="40" t="s">
        <v>22</v>
      </c>
      <c r="O722" s="27" t="s">
        <v>33</v>
      </c>
      <c r="P722" s="27" t="s">
        <v>22</v>
      </c>
      <c r="Q722" s="32" t="s">
        <v>72</v>
      </c>
      <c r="R722" s="40"/>
    </row>
    <row r="723" spans="1:18" ht="30" customHeight="1" x14ac:dyDescent="0.3">
      <c r="A723" s="26" t="str">
        <f t="shared" si="22"/>
        <v>2026상명대(서울)</v>
      </c>
      <c r="B723" s="26">
        <f>COUNTIFS($A$4:A723,A723)</f>
        <v>2</v>
      </c>
      <c r="C723" s="26" t="str">
        <f t="shared" si="23"/>
        <v>2026상명대(서울)2</v>
      </c>
      <c r="E723" s="39" t="s">
        <v>148</v>
      </c>
      <c r="F723" s="26" t="s">
        <v>17</v>
      </c>
      <c r="H723" s="27" t="s">
        <v>305</v>
      </c>
      <c r="I723" s="27">
        <v>2026</v>
      </c>
      <c r="J723" s="27" t="s">
        <v>38</v>
      </c>
      <c r="K723" s="27" t="s">
        <v>183</v>
      </c>
      <c r="L723" s="27" t="s">
        <v>24</v>
      </c>
      <c r="M723" s="27" t="s">
        <v>33</v>
      </c>
      <c r="N723" s="40" t="s">
        <v>22</v>
      </c>
      <c r="O723" s="27" t="s">
        <v>33</v>
      </c>
      <c r="P723" s="27" t="s">
        <v>22</v>
      </c>
      <c r="Q723" s="32" t="s">
        <v>72</v>
      </c>
      <c r="R723" s="40"/>
    </row>
    <row r="724" spans="1:18" ht="30" customHeight="1" x14ac:dyDescent="0.3">
      <c r="A724" s="26" t="str">
        <f t="shared" si="22"/>
        <v>2026상명대(서울)</v>
      </c>
      <c r="B724" s="26">
        <f>COUNTIFS($A$4:A724,A724)</f>
        <v>3</v>
      </c>
      <c r="C724" s="26" t="str">
        <f t="shared" si="23"/>
        <v>2026상명대(서울)3</v>
      </c>
      <c r="E724" s="39" t="s">
        <v>148</v>
      </c>
      <c r="F724" s="26" t="s">
        <v>17</v>
      </c>
      <c r="H724" s="27" t="s">
        <v>305</v>
      </c>
      <c r="I724" s="27">
        <v>2026</v>
      </c>
      <c r="J724" s="27" t="s">
        <v>19</v>
      </c>
      <c r="K724" s="27" t="s">
        <v>308</v>
      </c>
      <c r="L724" s="27" t="s">
        <v>21</v>
      </c>
      <c r="M724" s="27" t="s">
        <v>33</v>
      </c>
      <c r="N724" s="40" t="s">
        <v>22</v>
      </c>
      <c r="O724" s="27" t="s">
        <v>22</v>
      </c>
      <c r="P724" s="27" t="s">
        <v>22</v>
      </c>
      <c r="Q724" s="41"/>
      <c r="R724" s="40"/>
    </row>
    <row r="725" spans="1:18" ht="30" customHeight="1" x14ac:dyDescent="0.3">
      <c r="A725" s="26" t="str">
        <f t="shared" si="22"/>
        <v>2026상명대(서울)</v>
      </c>
      <c r="B725" s="26">
        <f>COUNTIFS($A$4:A725,A725)</f>
        <v>4</v>
      </c>
      <c r="C725" s="26" t="str">
        <f t="shared" si="23"/>
        <v>2026상명대(서울)4</v>
      </c>
      <c r="E725" s="39" t="s">
        <v>148</v>
      </c>
      <c r="F725" s="26" t="s">
        <v>17</v>
      </c>
      <c r="H725" s="27" t="s">
        <v>305</v>
      </c>
      <c r="I725" s="27">
        <v>2026</v>
      </c>
      <c r="J725" s="27" t="s">
        <v>19</v>
      </c>
      <c r="K725" s="27" t="s">
        <v>308</v>
      </c>
      <c r="L725" s="27" t="s">
        <v>24</v>
      </c>
      <c r="M725" s="27" t="s">
        <v>33</v>
      </c>
      <c r="N725" s="40" t="s">
        <v>22</v>
      </c>
      <c r="O725" s="27" t="s">
        <v>22</v>
      </c>
      <c r="P725" s="27" t="s">
        <v>22</v>
      </c>
      <c r="Q725" s="41"/>
      <c r="R725" s="40"/>
    </row>
    <row r="726" spans="1:18" ht="30" customHeight="1" x14ac:dyDescent="0.3">
      <c r="A726" s="26" t="str">
        <f t="shared" si="22"/>
        <v>2026상명대(서울)</v>
      </c>
      <c r="B726" s="26">
        <f>COUNTIFS($A$4:A726,A726)</f>
        <v>5</v>
      </c>
      <c r="C726" s="26" t="str">
        <f t="shared" si="23"/>
        <v>2026상명대(서울)5</v>
      </c>
      <c r="E726" s="39" t="s">
        <v>148</v>
      </c>
      <c r="F726" s="26" t="s">
        <v>17</v>
      </c>
      <c r="H726" s="27" t="s">
        <v>305</v>
      </c>
      <c r="I726" s="27">
        <v>2026</v>
      </c>
      <c r="J726" s="27" t="s">
        <v>50</v>
      </c>
      <c r="K726" s="27" t="s">
        <v>50</v>
      </c>
      <c r="L726" s="27" t="s">
        <v>21</v>
      </c>
      <c r="M726" s="27" t="s">
        <v>33</v>
      </c>
      <c r="N726" s="40" t="s">
        <v>22</v>
      </c>
      <c r="O726" s="27" t="s">
        <v>22</v>
      </c>
      <c r="P726" s="27" t="s">
        <v>22</v>
      </c>
      <c r="Q726" s="41"/>
      <c r="R726" s="40"/>
    </row>
    <row r="727" spans="1:18" ht="30" customHeight="1" x14ac:dyDescent="0.3">
      <c r="A727" s="26" t="str">
        <f t="shared" si="22"/>
        <v>2026상명대(서울)</v>
      </c>
      <c r="B727" s="26">
        <f>COUNTIFS($A$4:A727,A727)</f>
        <v>6</v>
      </c>
      <c r="C727" s="26" t="str">
        <f t="shared" si="23"/>
        <v>2026상명대(서울)6</v>
      </c>
      <c r="E727" s="39" t="s">
        <v>148</v>
      </c>
      <c r="F727" s="26" t="s">
        <v>17</v>
      </c>
      <c r="H727" s="27" t="s">
        <v>305</v>
      </c>
      <c r="I727" s="27">
        <v>2026</v>
      </c>
      <c r="J727" s="27" t="s">
        <v>50</v>
      </c>
      <c r="K727" s="27" t="s">
        <v>50</v>
      </c>
      <c r="L727" s="27" t="s">
        <v>24</v>
      </c>
      <c r="M727" s="27" t="s">
        <v>33</v>
      </c>
      <c r="N727" s="40" t="s">
        <v>22</v>
      </c>
      <c r="O727" s="27" t="s">
        <v>22</v>
      </c>
      <c r="P727" s="27" t="s">
        <v>22</v>
      </c>
      <c r="Q727" s="41"/>
      <c r="R727" s="40"/>
    </row>
    <row r="728" spans="1:18" ht="30" customHeight="1" x14ac:dyDescent="0.3">
      <c r="A728" s="26" t="str">
        <f t="shared" si="22"/>
        <v>2027상명대(서울)</v>
      </c>
      <c r="B728" s="26">
        <f>COUNTIFS($A$4:A728,A728)</f>
        <v>1</v>
      </c>
      <c r="C728" s="26" t="str">
        <f t="shared" si="23"/>
        <v>2027상명대(서울)1</v>
      </c>
      <c r="E728" s="39" t="s">
        <v>148</v>
      </c>
      <c r="F728" s="26" t="s">
        <v>17</v>
      </c>
      <c r="H728" s="27" t="s">
        <v>305</v>
      </c>
      <c r="I728" s="27">
        <v>2027</v>
      </c>
      <c r="J728" s="27" t="s">
        <v>38</v>
      </c>
      <c r="K728" s="27" t="s">
        <v>183</v>
      </c>
      <c r="L728" s="27" t="s">
        <v>21</v>
      </c>
      <c r="M728" s="27" t="s">
        <v>33</v>
      </c>
      <c r="N728" s="40" t="s">
        <v>22</v>
      </c>
      <c r="O728" s="27" t="s">
        <v>33</v>
      </c>
      <c r="P728" s="27" t="s">
        <v>22</v>
      </c>
      <c r="Q728" s="41"/>
      <c r="R728" s="40"/>
    </row>
    <row r="729" spans="1:18" ht="30" customHeight="1" x14ac:dyDescent="0.3">
      <c r="A729" s="26" t="str">
        <f t="shared" si="22"/>
        <v>2027상명대(서울)</v>
      </c>
      <c r="B729" s="26">
        <f>COUNTIFS($A$4:A729,A729)</f>
        <v>2</v>
      </c>
      <c r="C729" s="26" t="str">
        <f t="shared" si="23"/>
        <v>2027상명대(서울)2</v>
      </c>
      <c r="E729" s="39" t="s">
        <v>148</v>
      </c>
      <c r="F729" s="26" t="s">
        <v>17</v>
      </c>
      <c r="H729" s="27" t="s">
        <v>305</v>
      </c>
      <c r="I729" s="27">
        <v>2027</v>
      </c>
      <c r="J729" s="27" t="s">
        <v>38</v>
      </c>
      <c r="K729" s="27" t="s">
        <v>183</v>
      </c>
      <c r="L729" s="27" t="s">
        <v>21</v>
      </c>
      <c r="M729" s="27" t="s">
        <v>33</v>
      </c>
      <c r="N729" s="40" t="s">
        <v>22</v>
      </c>
      <c r="O729" s="27" t="s">
        <v>33</v>
      </c>
      <c r="P729" s="27" t="s">
        <v>22</v>
      </c>
      <c r="Q729" s="41"/>
      <c r="R729" s="40"/>
    </row>
    <row r="730" spans="1:18" ht="30" customHeight="1" x14ac:dyDescent="0.3">
      <c r="A730" s="26" t="str">
        <f t="shared" si="22"/>
        <v>2027상명대(서울)</v>
      </c>
      <c r="B730" s="26">
        <f>COUNTIFS($A$4:A730,A730)</f>
        <v>3</v>
      </c>
      <c r="C730" s="26" t="str">
        <f t="shared" si="23"/>
        <v>2027상명대(서울)3</v>
      </c>
      <c r="E730" s="39" t="s">
        <v>148</v>
      </c>
      <c r="F730" s="26" t="s">
        <v>17</v>
      </c>
      <c r="H730" s="27" t="s">
        <v>305</v>
      </c>
      <c r="I730" s="27">
        <v>2027</v>
      </c>
      <c r="J730" s="27" t="s">
        <v>50</v>
      </c>
      <c r="K730" s="27" t="s">
        <v>50</v>
      </c>
      <c r="L730" s="27" t="s">
        <v>21</v>
      </c>
      <c r="M730" s="27" t="s">
        <v>33</v>
      </c>
      <c r="N730" s="40" t="s">
        <v>22</v>
      </c>
      <c r="O730" s="27" t="s">
        <v>22</v>
      </c>
      <c r="P730" s="27" t="s">
        <v>22</v>
      </c>
      <c r="Q730" s="41"/>
      <c r="R730" s="40"/>
    </row>
    <row r="731" spans="1:18" ht="30" customHeight="1" x14ac:dyDescent="0.3">
      <c r="A731" s="26" t="str">
        <f t="shared" si="22"/>
        <v>2027상명대(서울)</v>
      </c>
      <c r="B731" s="26">
        <f>COUNTIFS($A$4:A731,A731)</f>
        <v>4</v>
      </c>
      <c r="C731" s="26" t="str">
        <f t="shared" si="23"/>
        <v>2027상명대(서울)4</v>
      </c>
      <c r="E731" s="39" t="s">
        <v>148</v>
      </c>
      <c r="F731" s="26" t="s">
        <v>17</v>
      </c>
      <c r="H731" s="27" t="s">
        <v>305</v>
      </c>
      <c r="I731" s="27">
        <v>2027</v>
      </c>
      <c r="J731" s="27" t="s">
        <v>50</v>
      </c>
      <c r="K731" s="27" t="s">
        <v>50</v>
      </c>
      <c r="L731" s="27" t="s">
        <v>24</v>
      </c>
      <c r="M731" s="27" t="s">
        <v>33</v>
      </c>
      <c r="N731" s="40" t="s">
        <v>22</v>
      </c>
      <c r="O731" s="27" t="s">
        <v>22</v>
      </c>
      <c r="P731" s="27" t="s">
        <v>22</v>
      </c>
      <c r="Q731" s="41"/>
      <c r="R731" s="40"/>
    </row>
    <row r="732" spans="1:18" ht="30" customHeight="1" x14ac:dyDescent="0.3">
      <c r="A732" s="26" t="str">
        <f t="shared" si="22"/>
        <v>2027상명대(서울)</v>
      </c>
      <c r="B732" s="26">
        <f>COUNTIFS($A$4:A732,A732)</f>
        <v>5</v>
      </c>
      <c r="C732" s="26" t="str">
        <f t="shared" si="23"/>
        <v>2027상명대(서울)5</v>
      </c>
      <c r="E732" s="39" t="s">
        <v>148</v>
      </c>
      <c r="F732" s="26" t="s">
        <v>17</v>
      </c>
      <c r="H732" s="27" t="s">
        <v>305</v>
      </c>
      <c r="I732" s="27">
        <v>2027</v>
      </c>
      <c r="J732" s="27" t="s">
        <v>19</v>
      </c>
      <c r="K732" s="27" t="s">
        <v>308</v>
      </c>
      <c r="L732" s="27" t="s">
        <v>21</v>
      </c>
      <c r="M732" s="27" t="s">
        <v>33</v>
      </c>
      <c r="N732" s="40" t="s">
        <v>22</v>
      </c>
      <c r="O732" s="27" t="s">
        <v>22</v>
      </c>
      <c r="P732" s="27" t="s">
        <v>22</v>
      </c>
      <c r="Q732" s="41"/>
      <c r="R732" s="40"/>
    </row>
    <row r="733" spans="1:18" ht="30" customHeight="1" x14ac:dyDescent="0.3">
      <c r="A733" s="26" t="str">
        <f t="shared" si="22"/>
        <v>2027상명대(서울)</v>
      </c>
      <c r="B733" s="26">
        <f>COUNTIFS($A$4:A733,A733)</f>
        <v>6</v>
      </c>
      <c r="C733" s="26" t="str">
        <f t="shared" si="23"/>
        <v>2027상명대(서울)6</v>
      </c>
      <c r="E733" s="39" t="s">
        <v>148</v>
      </c>
      <c r="F733" s="26" t="s">
        <v>17</v>
      </c>
      <c r="H733" s="27" t="s">
        <v>305</v>
      </c>
      <c r="I733" s="27">
        <v>2027</v>
      </c>
      <c r="J733" s="27" t="s">
        <v>19</v>
      </c>
      <c r="K733" s="27" t="s">
        <v>308</v>
      </c>
      <c r="L733" s="27" t="s">
        <v>24</v>
      </c>
      <c r="M733" s="27" t="s">
        <v>33</v>
      </c>
      <c r="N733" s="40" t="s">
        <v>22</v>
      </c>
      <c r="O733" s="27" t="s">
        <v>22</v>
      </c>
      <c r="P733" s="27" t="s">
        <v>22</v>
      </c>
      <c r="Q733" s="41"/>
      <c r="R733" s="40"/>
    </row>
    <row r="734" spans="1:18" ht="30" customHeight="1" x14ac:dyDescent="0.3">
      <c r="A734" s="26" t="str">
        <f t="shared" si="22"/>
        <v>2025가톨릭대</v>
      </c>
      <c r="B734" s="26">
        <f>COUNTIFS($A$4:A734,A734)</f>
        <v>1</v>
      </c>
      <c r="C734" s="26" t="str">
        <f t="shared" si="23"/>
        <v>2025가톨릭대1</v>
      </c>
      <c r="E734" s="39" t="s">
        <v>148</v>
      </c>
      <c r="F734" s="26" t="s">
        <v>17</v>
      </c>
      <c r="H734" s="27" t="s">
        <v>309</v>
      </c>
      <c r="I734" s="27">
        <v>2025</v>
      </c>
      <c r="J734" s="27" t="s">
        <v>38</v>
      </c>
      <c r="K734" s="27" t="s">
        <v>20</v>
      </c>
      <c r="L734" s="27" t="s">
        <v>21</v>
      </c>
      <c r="M734" s="27" t="s">
        <v>22</v>
      </c>
      <c r="N734" s="40" t="s">
        <v>307</v>
      </c>
      <c r="O734" s="27" t="s">
        <v>33</v>
      </c>
      <c r="P734" s="27" t="s">
        <v>33</v>
      </c>
      <c r="Q734" s="41"/>
      <c r="R734" s="40"/>
    </row>
    <row r="735" spans="1:18" ht="60" x14ac:dyDescent="0.3">
      <c r="A735" s="26" t="str">
        <f t="shared" si="22"/>
        <v>2025가톨릭대</v>
      </c>
      <c r="B735" s="26">
        <f>COUNTIFS($A$4:A735,A735)</f>
        <v>2</v>
      </c>
      <c r="C735" s="26" t="str">
        <f t="shared" si="23"/>
        <v>2025가톨릭대2</v>
      </c>
      <c r="E735" s="39" t="s">
        <v>148</v>
      </c>
      <c r="F735" s="26" t="s">
        <v>17</v>
      </c>
      <c r="H735" s="27" t="s">
        <v>309</v>
      </c>
      <c r="I735" s="27">
        <v>2025</v>
      </c>
      <c r="J735" s="27" t="s">
        <v>38</v>
      </c>
      <c r="K735" s="27" t="s">
        <v>20</v>
      </c>
      <c r="L735" s="27" t="s">
        <v>24</v>
      </c>
      <c r="M735" s="27" t="s">
        <v>22</v>
      </c>
      <c r="N735" s="29" t="s">
        <v>310</v>
      </c>
      <c r="O735" s="27" t="s">
        <v>33</v>
      </c>
      <c r="P735" s="27" t="s">
        <v>33</v>
      </c>
      <c r="Q735" s="41"/>
      <c r="R735" s="40"/>
    </row>
    <row r="736" spans="1:18" ht="72" x14ac:dyDescent="0.3">
      <c r="A736" s="26" t="str">
        <f t="shared" si="22"/>
        <v>2025가톨릭대</v>
      </c>
      <c r="B736" s="26">
        <f>COUNTIFS($A$4:A736,A736)</f>
        <v>3</v>
      </c>
      <c r="C736" s="26" t="str">
        <f t="shared" si="23"/>
        <v>2025가톨릭대3</v>
      </c>
      <c r="E736" s="39" t="s">
        <v>148</v>
      </c>
      <c r="F736" s="26" t="s">
        <v>17</v>
      </c>
      <c r="H736" s="27" t="s">
        <v>309</v>
      </c>
      <c r="I736" s="27">
        <v>2025</v>
      </c>
      <c r="J736" s="27" t="s">
        <v>38</v>
      </c>
      <c r="K736" s="27" t="s">
        <v>20</v>
      </c>
      <c r="L736" s="27" t="s">
        <v>24</v>
      </c>
      <c r="M736" s="27" t="s">
        <v>42</v>
      </c>
      <c r="N736" s="29" t="s">
        <v>311</v>
      </c>
      <c r="O736" s="27" t="s">
        <v>217</v>
      </c>
      <c r="P736" s="27" t="s">
        <v>55</v>
      </c>
      <c r="Q736" s="41"/>
      <c r="R736" s="40"/>
    </row>
    <row r="737" spans="1:18" ht="30" customHeight="1" x14ac:dyDescent="0.3">
      <c r="A737" s="26" t="str">
        <f t="shared" si="22"/>
        <v>2025가톨릭대</v>
      </c>
      <c r="B737" s="26">
        <f>COUNTIFS($A$4:A737,A737)</f>
        <v>4</v>
      </c>
      <c r="C737" s="26" t="str">
        <f t="shared" si="23"/>
        <v>2025가톨릭대4</v>
      </c>
      <c r="E737" s="39" t="s">
        <v>148</v>
      </c>
      <c r="F737" s="26" t="s">
        <v>17</v>
      </c>
      <c r="H737" s="27" t="s">
        <v>309</v>
      </c>
      <c r="I737" s="27">
        <v>2025</v>
      </c>
      <c r="J737" s="27" t="s">
        <v>19</v>
      </c>
      <c r="K737" s="27" t="s">
        <v>312</v>
      </c>
      <c r="L737" s="27" t="s">
        <v>21</v>
      </c>
      <c r="M737" s="27" t="s">
        <v>22</v>
      </c>
      <c r="N737" s="40" t="s">
        <v>33</v>
      </c>
      <c r="O737" s="27" t="s">
        <v>33</v>
      </c>
      <c r="P737" s="27" t="s">
        <v>33</v>
      </c>
      <c r="Q737" s="41"/>
      <c r="R737" s="40"/>
    </row>
    <row r="738" spans="1:18" ht="30" customHeight="1" x14ac:dyDescent="0.3">
      <c r="A738" s="26" t="str">
        <f t="shared" si="22"/>
        <v>2025가톨릭대</v>
      </c>
      <c r="B738" s="26">
        <f>COUNTIFS($A$4:A738,A738)</f>
        <v>5</v>
      </c>
      <c r="C738" s="26" t="str">
        <f t="shared" si="23"/>
        <v>2025가톨릭대5</v>
      </c>
      <c r="E738" s="39" t="s">
        <v>148</v>
      </c>
      <c r="F738" s="26" t="s">
        <v>17</v>
      </c>
      <c r="H738" s="27" t="s">
        <v>309</v>
      </c>
      <c r="I738" s="27">
        <v>2025</v>
      </c>
      <c r="J738" s="27" t="s">
        <v>19</v>
      </c>
      <c r="K738" s="27" t="s">
        <v>312</v>
      </c>
      <c r="L738" s="27" t="s">
        <v>24</v>
      </c>
      <c r="M738" s="27" t="s">
        <v>22</v>
      </c>
      <c r="N738" s="40" t="s">
        <v>33</v>
      </c>
      <c r="O738" s="27" t="s">
        <v>33</v>
      </c>
      <c r="P738" s="27" t="s">
        <v>33</v>
      </c>
      <c r="Q738" s="41"/>
      <c r="R738" s="40"/>
    </row>
    <row r="739" spans="1:18" ht="30" customHeight="1" x14ac:dyDescent="0.3">
      <c r="A739" s="26" t="str">
        <f t="shared" si="22"/>
        <v>2025가톨릭대</v>
      </c>
      <c r="B739" s="26">
        <f>COUNTIFS($A$4:A739,A739)</f>
        <v>6</v>
      </c>
      <c r="C739" s="26" t="str">
        <f t="shared" si="23"/>
        <v>2025가톨릭대6</v>
      </c>
      <c r="E739" s="39" t="s">
        <v>148</v>
      </c>
      <c r="F739" s="26" t="s">
        <v>17</v>
      </c>
      <c r="H739" s="27" t="s">
        <v>309</v>
      </c>
      <c r="I739" s="27">
        <v>2025</v>
      </c>
      <c r="J739" s="27" t="s">
        <v>19</v>
      </c>
      <c r="K739" s="27" t="s">
        <v>313</v>
      </c>
      <c r="L739" s="27" t="s">
        <v>21</v>
      </c>
      <c r="M739" s="27" t="s">
        <v>22</v>
      </c>
      <c r="N739" s="40" t="s">
        <v>33</v>
      </c>
      <c r="O739" s="27" t="s">
        <v>33</v>
      </c>
      <c r="P739" s="27" t="s">
        <v>33</v>
      </c>
      <c r="Q739" s="41"/>
      <c r="R739" s="40"/>
    </row>
    <row r="740" spans="1:18" ht="30" customHeight="1" x14ac:dyDescent="0.3">
      <c r="A740" s="26" t="str">
        <f t="shared" si="22"/>
        <v>2025가톨릭대</v>
      </c>
      <c r="B740" s="26">
        <f>COUNTIFS($A$4:A740,A740)</f>
        <v>7</v>
      </c>
      <c r="C740" s="26" t="str">
        <f t="shared" si="23"/>
        <v>2025가톨릭대7</v>
      </c>
      <c r="E740" s="39" t="s">
        <v>148</v>
      </c>
      <c r="F740" s="26" t="s">
        <v>17</v>
      </c>
      <c r="H740" s="27" t="s">
        <v>309</v>
      </c>
      <c r="I740" s="27">
        <v>2025</v>
      </c>
      <c r="J740" s="27" t="s">
        <v>19</v>
      </c>
      <c r="K740" s="27" t="s">
        <v>313</v>
      </c>
      <c r="L740" s="27" t="s">
        <v>24</v>
      </c>
      <c r="M740" s="27" t="s">
        <v>22</v>
      </c>
      <c r="N740" s="40" t="s">
        <v>33</v>
      </c>
      <c r="O740" s="27" t="s">
        <v>33</v>
      </c>
      <c r="P740" s="27" t="s">
        <v>33</v>
      </c>
      <c r="Q740" s="41"/>
      <c r="R740" s="40"/>
    </row>
    <row r="741" spans="1:18" ht="30" customHeight="1" x14ac:dyDescent="0.3">
      <c r="A741" s="26" t="str">
        <f t="shared" si="22"/>
        <v>2025가톨릭대</v>
      </c>
      <c r="B741" s="26">
        <f>COUNTIFS($A$4:A741,A741)</f>
        <v>8</v>
      </c>
      <c r="C741" s="26" t="str">
        <f t="shared" si="23"/>
        <v>2025가톨릭대8</v>
      </c>
      <c r="E741" s="39" t="s">
        <v>148</v>
      </c>
      <c r="F741" s="26" t="s">
        <v>17</v>
      </c>
      <c r="H741" s="27" t="s">
        <v>309</v>
      </c>
      <c r="I741" s="27">
        <v>2025</v>
      </c>
      <c r="J741" s="27" t="s">
        <v>19</v>
      </c>
      <c r="K741" s="27" t="s">
        <v>314</v>
      </c>
      <c r="L741" s="27" t="s">
        <v>21</v>
      </c>
      <c r="M741" s="27" t="s">
        <v>22</v>
      </c>
      <c r="N741" s="40" t="s">
        <v>33</v>
      </c>
      <c r="O741" s="27" t="s">
        <v>33</v>
      </c>
      <c r="P741" s="27" t="s">
        <v>33</v>
      </c>
      <c r="Q741" s="41"/>
      <c r="R741" s="40"/>
    </row>
    <row r="742" spans="1:18" ht="30" customHeight="1" x14ac:dyDescent="0.3">
      <c r="A742" s="26" t="str">
        <f t="shared" si="22"/>
        <v>2025가톨릭대</v>
      </c>
      <c r="B742" s="26">
        <f>COUNTIFS($A$4:A742,A742)</f>
        <v>9</v>
      </c>
      <c r="C742" s="26" t="str">
        <f t="shared" si="23"/>
        <v>2025가톨릭대9</v>
      </c>
      <c r="E742" s="39" t="s">
        <v>148</v>
      </c>
      <c r="F742" s="26" t="s">
        <v>17</v>
      </c>
      <c r="H742" s="27" t="s">
        <v>309</v>
      </c>
      <c r="I742" s="27">
        <v>2025</v>
      </c>
      <c r="J742" s="27" t="s">
        <v>19</v>
      </c>
      <c r="K742" s="27" t="s">
        <v>314</v>
      </c>
      <c r="L742" s="27" t="s">
        <v>24</v>
      </c>
      <c r="M742" s="27" t="s">
        <v>22</v>
      </c>
      <c r="N742" s="40" t="s">
        <v>33</v>
      </c>
      <c r="O742" s="27" t="s">
        <v>33</v>
      </c>
      <c r="P742" s="27" t="s">
        <v>33</v>
      </c>
      <c r="Q742" s="41"/>
      <c r="R742" s="40"/>
    </row>
    <row r="743" spans="1:18" ht="30" customHeight="1" x14ac:dyDescent="0.3">
      <c r="A743" s="26" t="str">
        <f t="shared" si="22"/>
        <v>2025가톨릭대</v>
      </c>
      <c r="B743" s="26">
        <f>COUNTIFS($A$4:A743,A743)</f>
        <v>10</v>
      </c>
      <c r="C743" s="26" t="str">
        <f t="shared" si="23"/>
        <v>2025가톨릭대10</v>
      </c>
      <c r="E743" s="39" t="s">
        <v>148</v>
      </c>
      <c r="F743" s="26" t="s">
        <v>17</v>
      </c>
      <c r="H743" s="27" t="s">
        <v>309</v>
      </c>
      <c r="I743" s="27">
        <v>2025</v>
      </c>
      <c r="J743" s="27" t="s">
        <v>19</v>
      </c>
      <c r="K743" s="27" t="s">
        <v>315</v>
      </c>
      <c r="L743" s="27" t="s">
        <v>94</v>
      </c>
      <c r="M743" s="27" t="s">
        <v>22</v>
      </c>
      <c r="N743" s="29" t="s">
        <v>316</v>
      </c>
      <c r="O743" s="27" t="s">
        <v>22</v>
      </c>
      <c r="P743" s="27" t="s">
        <v>22</v>
      </c>
      <c r="Q743" s="41"/>
      <c r="R743" s="40"/>
    </row>
    <row r="744" spans="1:18" ht="30" customHeight="1" x14ac:dyDescent="0.3">
      <c r="A744" s="26" t="str">
        <f t="shared" si="22"/>
        <v>2025가톨릭대</v>
      </c>
      <c r="B744" s="26">
        <f>COUNTIFS($A$4:A744,A744)</f>
        <v>11</v>
      </c>
      <c r="C744" s="26" t="str">
        <f t="shared" si="23"/>
        <v>2025가톨릭대11</v>
      </c>
      <c r="E744" s="39" t="s">
        <v>148</v>
      </c>
      <c r="F744" s="26" t="s">
        <v>17</v>
      </c>
      <c r="H744" s="27" t="s">
        <v>309</v>
      </c>
      <c r="I744" s="27">
        <v>2025</v>
      </c>
      <c r="J744" s="27" t="s">
        <v>19</v>
      </c>
      <c r="K744" s="27" t="s">
        <v>80</v>
      </c>
      <c r="L744" s="27" t="s">
        <v>24</v>
      </c>
      <c r="M744" s="27" t="s">
        <v>22</v>
      </c>
      <c r="N744" s="29" t="s">
        <v>317</v>
      </c>
      <c r="O744" s="27" t="s">
        <v>22</v>
      </c>
      <c r="P744" s="27" t="s">
        <v>22</v>
      </c>
      <c r="Q744" s="41"/>
      <c r="R744" s="40"/>
    </row>
    <row r="745" spans="1:18" ht="60" x14ac:dyDescent="0.3">
      <c r="A745" s="26" t="str">
        <f t="shared" si="22"/>
        <v>2025가톨릭대</v>
      </c>
      <c r="B745" s="26">
        <f>COUNTIFS($A$4:A745,A745)</f>
        <v>12</v>
      </c>
      <c r="C745" s="26" t="str">
        <f t="shared" si="23"/>
        <v>2025가톨릭대12</v>
      </c>
      <c r="E745" s="39" t="s">
        <v>148</v>
      </c>
      <c r="F745" s="26" t="s">
        <v>17</v>
      </c>
      <c r="H745" s="27" t="s">
        <v>309</v>
      </c>
      <c r="I745" s="27">
        <v>2025</v>
      </c>
      <c r="J745" s="27" t="s">
        <v>19</v>
      </c>
      <c r="K745" s="27" t="s">
        <v>80</v>
      </c>
      <c r="L745" s="27" t="s">
        <v>24</v>
      </c>
      <c r="M745" s="27" t="s">
        <v>42</v>
      </c>
      <c r="N745" s="29" t="s">
        <v>318</v>
      </c>
      <c r="O745" s="27" t="s">
        <v>217</v>
      </c>
      <c r="P745" s="27" t="s">
        <v>55</v>
      </c>
      <c r="Q745" s="41"/>
      <c r="R745" s="40"/>
    </row>
    <row r="746" spans="1:18" ht="30" customHeight="1" x14ac:dyDescent="0.3">
      <c r="A746" s="26" t="str">
        <f t="shared" si="22"/>
        <v>2025가톨릭대</v>
      </c>
      <c r="B746" s="26">
        <f>COUNTIFS($A$4:A746,A746)</f>
        <v>13</v>
      </c>
      <c r="C746" s="26" t="str">
        <f t="shared" si="23"/>
        <v>2025가톨릭대13</v>
      </c>
      <c r="E746" s="39" t="s">
        <v>148</v>
      </c>
      <c r="F746" s="26" t="s">
        <v>17</v>
      </c>
      <c r="H746" s="27" t="s">
        <v>309</v>
      </c>
      <c r="I746" s="27">
        <v>2025</v>
      </c>
      <c r="J746" s="27" t="s">
        <v>50</v>
      </c>
      <c r="K746" s="27" t="s">
        <v>50</v>
      </c>
      <c r="L746" s="27" t="s">
        <v>21</v>
      </c>
      <c r="M746" s="27" t="s">
        <v>22</v>
      </c>
      <c r="N746" s="40" t="s">
        <v>33</v>
      </c>
      <c r="O746" s="27" t="s">
        <v>33</v>
      </c>
      <c r="P746" s="27" t="s">
        <v>33</v>
      </c>
      <c r="Q746" s="41"/>
      <c r="R746" s="40"/>
    </row>
    <row r="747" spans="1:18" ht="60" x14ac:dyDescent="0.3">
      <c r="A747" s="26" t="str">
        <f t="shared" si="22"/>
        <v>2025가톨릭대</v>
      </c>
      <c r="B747" s="26">
        <f>COUNTIFS($A$4:A747,A747)</f>
        <v>14</v>
      </c>
      <c r="C747" s="26" t="str">
        <f t="shared" si="23"/>
        <v>2025가톨릭대14</v>
      </c>
      <c r="E747" s="39" t="s">
        <v>148</v>
      </c>
      <c r="F747" s="26" t="s">
        <v>17</v>
      </c>
      <c r="H747" s="27" t="s">
        <v>309</v>
      </c>
      <c r="I747" s="27">
        <v>2025</v>
      </c>
      <c r="J747" s="27" t="s">
        <v>50</v>
      </c>
      <c r="K747" s="27" t="s">
        <v>50</v>
      </c>
      <c r="L747" s="27" t="s">
        <v>24</v>
      </c>
      <c r="M747" s="27" t="s">
        <v>22</v>
      </c>
      <c r="N747" s="29" t="s">
        <v>319</v>
      </c>
      <c r="O747" s="27" t="s">
        <v>33</v>
      </c>
      <c r="P747" s="27" t="s">
        <v>33</v>
      </c>
      <c r="Q747" s="41"/>
      <c r="R747" s="40"/>
    </row>
    <row r="748" spans="1:18" ht="60" x14ac:dyDescent="0.3">
      <c r="A748" s="26" t="str">
        <f t="shared" si="22"/>
        <v>2025가톨릭대</v>
      </c>
      <c r="B748" s="26">
        <f>COUNTIFS($A$4:A748,A748)</f>
        <v>15</v>
      </c>
      <c r="C748" s="26" t="str">
        <f t="shared" si="23"/>
        <v>2025가톨릭대15</v>
      </c>
      <c r="E748" s="39" t="s">
        <v>148</v>
      </c>
      <c r="F748" s="26" t="s">
        <v>17</v>
      </c>
      <c r="H748" s="27" t="s">
        <v>309</v>
      </c>
      <c r="I748" s="27">
        <v>2025</v>
      </c>
      <c r="J748" s="27" t="s">
        <v>50</v>
      </c>
      <c r="K748" s="27" t="s">
        <v>50</v>
      </c>
      <c r="L748" s="27" t="s">
        <v>24</v>
      </c>
      <c r="M748" s="27" t="s">
        <v>42</v>
      </c>
      <c r="N748" s="29" t="s">
        <v>318</v>
      </c>
      <c r="O748" s="27" t="s">
        <v>217</v>
      </c>
      <c r="P748" s="27" t="s">
        <v>55</v>
      </c>
      <c r="Q748" s="41"/>
      <c r="R748" s="40"/>
    </row>
    <row r="749" spans="1:18" ht="30" customHeight="1" x14ac:dyDescent="0.3">
      <c r="A749" s="26" t="str">
        <f t="shared" si="22"/>
        <v>2026가톨릭대</v>
      </c>
      <c r="B749" s="26">
        <f>COUNTIFS($A$4:A749,A749)</f>
        <v>1</v>
      </c>
      <c r="C749" s="26" t="str">
        <f t="shared" si="23"/>
        <v>2026가톨릭대1</v>
      </c>
      <c r="E749" s="39" t="s">
        <v>148</v>
      </c>
      <c r="F749" s="26" t="s">
        <v>17</v>
      </c>
      <c r="H749" s="27" t="s">
        <v>309</v>
      </c>
      <c r="I749" s="27">
        <v>2026</v>
      </c>
      <c r="J749" s="27" t="s">
        <v>38</v>
      </c>
      <c r="K749" s="27" t="s">
        <v>20</v>
      </c>
      <c r="L749" s="27" t="s">
        <v>21</v>
      </c>
      <c r="M749" s="27" t="s">
        <v>22</v>
      </c>
      <c r="N749" s="40" t="s">
        <v>307</v>
      </c>
      <c r="O749" s="27" t="s">
        <v>33</v>
      </c>
      <c r="P749" s="27" t="s">
        <v>33</v>
      </c>
      <c r="Q749" s="41"/>
      <c r="R749" s="40"/>
    </row>
    <row r="750" spans="1:18" ht="60" x14ac:dyDescent="0.3">
      <c r="A750" s="26" t="str">
        <f t="shared" si="22"/>
        <v>2026가톨릭대</v>
      </c>
      <c r="B750" s="26">
        <f>COUNTIFS($A$4:A750,A750)</f>
        <v>2</v>
      </c>
      <c r="C750" s="26" t="str">
        <f t="shared" si="23"/>
        <v>2026가톨릭대2</v>
      </c>
      <c r="E750" s="39" t="s">
        <v>148</v>
      </c>
      <c r="F750" s="26" t="s">
        <v>17</v>
      </c>
      <c r="H750" s="27" t="s">
        <v>309</v>
      </c>
      <c r="I750" s="27">
        <v>2026</v>
      </c>
      <c r="J750" s="27" t="s">
        <v>38</v>
      </c>
      <c r="K750" s="27" t="s">
        <v>20</v>
      </c>
      <c r="L750" s="27" t="s">
        <v>24</v>
      </c>
      <c r="M750" s="27" t="s">
        <v>22</v>
      </c>
      <c r="N750" s="29" t="s">
        <v>310</v>
      </c>
      <c r="O750" s="27" t="s">
        <v>33</v>
      </c>
      <c r="P750" s="27" t="s">
        <v>33</v>
      </c>
      <c r="Q750" s="41"/>
      <c r="R750" s="40"/>
    </row>
    <row r="751" spans="1:18" ht="72" x14ac:dyDescent="0.3">
      <c r="A751" s="26" t="str">
        <f t="shared" si="22"/>
        <v>2026가톨릭대</v>
      </c>
      <c r="B751" s="26">
        <f>COUNTIFS($A$4:A751,A751)</f>
        <v>3</v>
      </c>
      <c r="C751" s="26" t="str">
        <f t="shared" si="23"/>
        <v>2026가톨릭대3</v>
      </c>
      <c r="E751" s="39" t="s">
        <v>148</v>
      </c>
      <c r="F751" s="26" t="s">
        <v>17</v>
      </c>
      <c r="H751" s="27" t="s">
        <v>309</v>
      </c>
      <c r="I751" s="27">
        <v>2026</v>
      </c>
      <c r="J751" s="27" t="s">
        <v>38</v>
      </c>
      <c r="K751" s="27" t="s">
        <v>20</v>
      </c>
      <c r="L751" s="27" t="s">
        <v>24</v>
      </c>
      <c r="M751" s="27" t="s">
        <v>42</v>
      </c>
      <c r="N751" s="29" t="s">
        <v>320</v>
      </c>
      <c r="O751" s="27" t="s">
        <v>22</v>
      </c>
      <c r="P751" s="27" t="s">
        <v>55</v>
      </c>
      <c r="Q751" s="32" t="s">
        <v>321</v>
      </c>
      <c r="R751" s="40"/>
    </row>
    <row r="752" spans="1:18" ht="30" customHeight="1" x14ac:dyDescent="0.3">
      <c r="A752" s="26" t="str">
        <f t="shared" si="22"/>
        <v>2026가톨릭대</v>
      </c>
      <c r="B752" s="26">
        <f>COUNTIFS($A$4:A752,A752)</f>
        <v>4</v>
      </c>
      <c r="C752" s="26" t="str">
        <f t="shared" si="23"/>
        <v>2026가톨릭대4</v>
      </c>
      <c r="E752" s="39" t="s">
        <v>148</v>
      </c>
      <c r="F752" s="26" t="s">
        <v>17</v>
      </c>
      <c r="H752" s="27" t="s">
        <v>309</v>
      </c>
      <c r="I752" s="27">
        <v>2026</v>
      </c>
      <c r="J752" s="27" t="s">
        <v>19</v>
      </c>
      <c r="K752" s="27" t="s">
        <v>312</v>
      </c>
      <c r="L752" s="27" t="s">
        <v>21</v>
      </c>
      <c r="M752" s="27" t="s">
        <v>22</v>
      </c>
      <c r="N752" s="40" t="s">
        <v>33</v>
      </c>
      <c r="O752" s="27" t="s">
        <v>22</v>
      </c>
      <c r="P752" s="27" t="s">
        <v>22</v>
      </c>
      <c r="Q752" s="41"/>
      <c r="R752" s="40"/>
    </row>
    <row r="753" spans="1:18" ht="30" customHeight="1" x14ac:dyDescent="0.3">
      <c r="A753" s="26" t="str">
        <f t="shared" si="22"/>
        <v>2026가톨릭대</v>
      </c>
      <c r="B753" s="26">
        <f>COUNTIFS($A$4:A753,A753)</f>
        <v>5</v>
      </c>
      <c r="C753" s="26" t="str">
        <f t="shared" si="23"/>
        <v>2026가톨릭대5</v>
      </c>
      <c r="E753" s="39" t="s">
        <v>148</v>
      </c>
      <c r="F753" s="26" t="s">
        <v>17</v>
      </c>
      <c r="H753" s="27" t="s">
        <v>309</v>
      </c>
      <c r="I753" s="27">
        <v>2026</v>
      </c>
      <c r="J753" s="27" t="s">
        <v>19</v>
      </c>
      <c r="K753" s="27" t="s">
        <v>312</v>
      </c>
      <c r="L753" s="27" t="s">
        <v>24</v>
      </c>
      <c r="M753" s="27" t="s">
        <v>22</v>
      </c>
      <c r="N753" s="40" t="s">
        <v>33</v>
      </c>
      <c r="O753" s="27" t="s">
        <v>22</v>
      </c>
      <c r="P753" s="27" t="s">
        <v>22</v>
      </c>
      <c r="Q753" s="41"/>
      <c r="R753" s="40"/>
    </row>
    <row r="754" spans="1:18" ht="30" customHeight="1" x14ac:dyDescent="0.3">
      <c r="A754" s="26" t="str">
        <f t="shared" si="22"/>
        <v>2026가톨릭대</v>
      </c>
      <c r="B754" s="26">
        <f>COUNTIFS($A$4:A754,A754)</f>
        <v>6</v>
      </c>
      <c r="C754" s="26" t="str">
        <f t="shared" si="23"/>
        <v>2026가톨릭대6</v>
      </c>
      <c r="E754" s="39" t="s">
        <v>148</v>
      </c>
      <c r="F754" s="26" t="s">
        <v>17</v>
      </c>
      <c r="H754" s="27" t="s">
        <v>309</v>
      </c>
      <c r="I754" s="27">
        <v>2026</v>
      </c>
      <c r="J754" s="27" t="s">
        <v>19</v>
      </c>
      <c r="K754" s="27" t="s">
        <v>313</v>
      </c>
      <c r="L754" s="27" t="s">
        <v>21</v>
      </c>
      <c r="M754" s="27" t="s">
        <v>22</v>
      </c>
      <c r="N754" s="40" t="s">
        <v>33</v>
      </c>
      <c r="O754" s="27" t="s">
        <v>22</v>
      </c>
      <c r="P754" s="27" t="s">
        <v>22</v>
      </c>
      <c r="Q754" s="41"/>
      <c r="R754" s="40"/>
    </row>
    <row r="755" spans="1:18" ht="30" customHeight="1" x14ac:dyDescent="0.3">
      <c r="A755" s="26" t="str">
        <f t="shared" si="22"/>
        <v>2026가톨릭대</v>
      </c>
      <c r="B755" s="26">
        <f>COUNTIFS($A$4:A755,A755)</f>
        <v>7</v>
      </c>
      <c r="C755" s="26" t="str">
        <f t="shared" si="23"/>
        <v>2026가톨릭대7</v>
      </c>
      <c r="E755" s="39" t="s">
        <v>148</v>
      </c>
      <c r="F755" s="26" t="s">
        <v>17</v>
      </c>
      <c r="H755" s="27" t="s">
        <v>309</v>
      </c>
      <c r="I755" s="27">
        <v>2026</v>
      </c>
      <c r="J755" s="27" t="s">
        <v>19</v>
      </c>
      <c r="K755" s="27" t="s">
        <v>313</v>
      </c>
      <c r="L755" s="27" t="s">
        <v>24</v>
      </c>
      <c r="M755" s="27" t="s">
        <v>22</v>
      </c>
      <c r="N755" s="40" t="s">
        <v>33</v>
      </c>
      <c r="O755" s="27" t="s">
        <v>22</v>
      </c>
      <c r="P755" s="27" t="s">
        <v>22</v>
      </c>
      <c r="Q755" s="41"/>
      <c r="R755" s="40"/>
    </row>
    <row r="756" spans="1:18" ht="30" customHeight="1" x14ac:dyDescent="0.3">
      <c r="A756" s="26" t="str">
        <f t="shared" si="22"/>
        <v>2026가톨릭대</v>
      </c>
      <c r="B756" s="26">
        <f>COUNTIFS($A$4:A756,A756)</f>
        <v>8</v>
      </c>
      <c r="C756" s="26" t="str">
        <f t="shared" si="23"/>
        <v>2026가톨릭대8</v>
      </c>
      <c r="E756" s="39" t="s">
        <v>148</v>
      </c>
      <c r="F756" s="26" t="s">
        <v>17</v>
      </c>
      <c r="H756" s="27" t="s">
        <v>309</v>
      </c>
      <c r="I756" s="27">
        <v>2026</v>
      </c>
      <c r="J756" s="27" t="s">
        <v>19</v>
      </c>
      <c r="K756" s="27" t="s">
        <v>314</v>
      </c>
      <c r="L756" s="27" t="s">
        <v>21</v>
      </c>
      <c r="M756" s="27" t="s">
        <v>22</v>
      </c>
      <c r="N756" s="40" t="s">
        <v>33</v>
      </c>
      <c r="O756" s="27" t="s">
        <v>33</v>
      </c>
      <c r="P756" s="27" t="s">
        <v>33</v>
      </c>
      <c r="Q756" s="41"/>
      <c r="R756" s="40"/>
    </row>
    <row r="757" spans="1:18" ht="30" customHeight="1" x14ac:dyDescent="0.3">
      <c r="A757" s="26" t="str">
        <f t="shared" si="22"/>
        <v>2026가톨릭대</v>
      </c>
      <c r="B757" s="26">
        <f>COUNTIFS($A$4:A757,A757)</f>
        <v>9</v>
      </c>
      <c r="C757" s="26" t="str">
        <f t="shared" si="23"/>
        <v>2026가톨릭대9</v>
      </c>
      <c r="E757" s="39" t="s">
        <v>148</v>
      </c>
      <c r="F757" s="26" t="s">
        <v>17</v>
      </c>
      <c r="H757" s="27" t="s">
        <v>309</v>
      </c>
      <c r="I757" s="27">
        <v>2026</v>
      </c>
      <c r="J757" s="27" t="s">
        <v>19</v>
      </c>
      <c r="K757" s="27" t="s">
        <v>314</v>
      </c>
      <c r="L757" s="27" t="s">
        <v>24</v>
      </c>
      <c r="M757" s="27" t="s">
        <v>22</v>
      </c>
      <c r="N757" s="40" t="s">
        <v>33</v>
      </c>
      <c r="O757" s="27" t="s">
        <v>33</v>
      </c>
      <c r="P757" s="27" t="s">
        <v>33</v>
      </c>
      <c r="Q757" s="41"/>
      <c r="R757" s="40"/>
    </row>
    <row r="758" spans="1:18" ht="30" customHeight="1" x14ac:dyDescent="0.3">
      <c r="A758" s="26" t="str">
        <f t="shared" si="22"/>
        <v>2026가톨릭대</v>
      </c>
      <c r="B758" s="26">
        <f>COUNTIFS($A$4:A758,A758)</f>
        <v>10</v>
      </c>
      <c r="C758" s="26" t="str">
        <f t="shared" si="23"/>
        <v>2026가톨릭대10</v>
      </c>
      <c r="E758" s="39" t="s">
        <v>148</v>
      </c>
      <c r="F758" s="26" t="s">
        <v>17</v>
      </c>
      <c r="H758" s="27" t="s">
        <v>309</v>
      </c>
      <c r="I758" s="27">
        <v>2026</v>
      </c>
      <c r="J758" s="27" t="s">
        <v>19</v>
      </c>
      <c r="K758" s="27" t="s">
        <v>80</v>
      </c>
      <c r="L758" s="27" t="s">
        <v>24</v>
      </c>
      <c r="M758" s="27" t="s">
        <v>22</v>
      </c>
      <c r="N758" s="29" t="s">
        <v>317</v>
      </c>
      <c r="O758" s="27" t="s">
        <v>22</v>
      </c>
      <c r="P758" s="27" t="s">
        <v>22</v>
      </c>
      <c r="Q758" s="32" t="s">
        <v>322</v>
      </c>
      <c r="R758" s="40"/>
    </row>
    <row r="759" spans="1:18" ht="60" x14ac:dyDescent="0.3">
      <c r="A759" s="26" t="str">
        <f t="shared" si="22"/>
        <v>2026가톨릭대</v>
      </c>
      <c r="B759" s="26">
        <f>COUNTIFS($A$4:A759,A759)</f>
        <v>11</v>
      </c>
      <c r="C759" s="26" t="str">
        <f t="shared" si="23"/>
        <v>2026가톨릭대11</v>
      </c>
      <c r="E759" s="39" t="s">
        <v>148</v>
      </c>
      <c r="F759" s="26" t="s">
        <v>17</v>
      </c>
      <c r="H759" s="27" t="s">
        <v>309</v>
      </c>
      <c r="I759" s="27">
        <v>2026</v>
      </c>
      <c r="J759" s="27" t="s">
        <v>19</v>
      </c>
      <c r="K759" s="27" t="s">
        <v>80</v>
      </c>
      <c r="L759" s="27" t="s">
        <v>24</v>
      </c>
      <c r="M759" s="27" t="s">
        <v>42</v>
      </c>
      <c r="N759" s="29" t="s">
        <v>323</v>
      </c>
      <c r="O759" s="27" t="s">
        <v>22</v>
      </c>
      <c r="P759" s="27" t="s">
        <v>55</v>
      </c>
      <c r="Q759" s="32" t="s">
        <v>324</v>
      </c>
      <c r="R759" s="40"/>
    </row>
    <row r="760" spans="1:18" ht="30" customHeight="1" x14ac:dyDescent="0.3">
      <c r="A760" s="26" t="str">
        <f t="shared" si="22"/>
        <v>2026가톨릭대</v>
      </c>
      <c r="B760" s="26">
        <f>COUNTIFS($A$4:A760,A760)</f>
        <v>12</v>
      </c>
      <c r="C760" s="26" t="str">
        <f t="shared" si="23"/>
        <v>2026가톨릭대12</v>
      </c>
      <c r="E760" s="39" t="s">
        <v>148</v>
      </c>
      <c r="F760" s="26" t="s">
        <v>17</v>
      </c>
      <c r="H760" s="27" t="s">
        <v>309</v>
      </c>
      <c r="I760" s="27">
        <v>2026</v>
      </c>
      <c r="J760" s="27" t="s">
        <v>50</v>
      </c>
      <c r="K760" s="27" t="s">
        <v>50</v>
      </c>
      <c r="L760" s="27" t="s">
        <v>21</v>
      </c>
      <c r="M760" s="27" t="s">
        <v>22</v>
      </c>
      <c r="N760" s="40" t="s">
        <v>33</v>
      </c>
      <c r="O760" s="27" t="s">
        <v>33</v>
      </c>
      <c r="P760" s="27" t="s">
        <v>33</v>
      </c>
      <c r="Q760" s="41"/>
      <c r="R760" s="40"/>
    </row>
    <row r="761" spans="1:18" ht="60" x14ac:dyDescent="0.3">
      <c r="A761" s="26" t="str">
        <f t="shared" si="22"/>
        <v>2026가톨릭대</v>
      </c>
      <c r="B761" s="26">
        <f>COUNTIFS($A$4:A761,A761)</f>
        <v>13</v>
      </c>
      <c r="C761" s="26" t="str">
        <f t="shared" si="23"/>
        <v>2026가톨릭대13</v>
      </c>
      <c r="E761" s="39" t="s">
        <v>148</v>
      </c>
      <c r="F761" s="26" t="s">
        <v>17</v>
      </c>
      <c r="H761" s="27" t="s">
        <v>309</v>
      </c>
      <c r="I761" s="27">
        <v>2026</v>
      </c>
      <c r="J761" s="27" t="s">
        <v>50</v>
      </c>
      <c r="K761" s="27" t="s">
        <v>50</v>
      </c>
      <c r="L761" s="27" t="s">
        <v>24</v>
      </c>
      <c r="M761" s="27" t="s">
        <v>22</v>
      </c>
      <c r="N761" s="29" t="s">
        <v>319</v>
      </c>
      <c r="O761" s="27" t="s">
        <v>33</v>
      </c>
      <c r="P761" s="27" t="s">
        <v>33</v>
      </c>
      <c r="Q761" s="41"/>
      <c r="R761" s="40"/>
    </row>
    <row r="762" spans="1:18" ht="60" x14ac:dyDescent="0.3">
      <c r="A762" s="26" t="str">
        <f t="shared" si="22"/>
        <v>2026가톨릭대</v>
      </c>
      <c r="B762" s="26">
        <f>COUNTIFS($A$4:A762,A762)</f>
        <v>14</v>
      </c>
      <c r="C762" s="26" t="str">
        <f t="shared" si="23"/>
        <v>2026가톨릭대14</v>
      </c>
      <c r="E762" s="39" t="s">
        <v>148</v>
      </c>
      <c r="F762" s="26" t="s">
        <v>17</v>
      </c>
      <c r="H762" s="27" t="s">
        <v>309</v>
      </c>
      <c r="I762" s="27">
        <v>2026</v>
      </c>
      <c r="J762" s="27" t="s">
        <v>50</v>
      </c>
      <c r="K762" s="27" t="s">
        <v>50</v>
      </c>
      <c r="L762" s="27" t="s">
        <v>24</v>
      </c>
      <c r="M762" s="27" t="s">
        <v>42</v>
      </c>
      <c r="N762" s="29" t="s">
        <v>323</v>
      </c>
      <c r="O762" s="27" t="s">
        <v>22</v>
      </c>
      <c r="P762" s="27" t="s">
        <v>55</v>
      </c>
      <c r="Q762" s="32" t="s">
        <v>324</v>
      </c>
      <c r="R762" s="40"/>
    </row>
    <row r="763" spans="1:18" ht="60" x14ac:dyDescent="0.3">
      <c r="A763" s="26" t="str">
        <f t="shared" si="22"/>
        <v>2027가톨릭대</v>
      </c>
      <c r="B763" s="26">
        <f>COUNTIFS($A$4:A763,A763)</f>
        <v>1</v>
      </c>
      <c r="C763" s="26" t="str">
        <f t="shared" si="23"/>
        <v>2027가톨릭대1</v>
      </c>
      <c r="E763" s="39" t="s">
        <v>148</v>
      </c>
      <c r="F763" s="26" t="s">
        <v>17</v>
      </c>
      <c r="H763" s="27" t="s">
        <v>309</v>
      </c>
      <c r="I763" s="27">
        <v>2027</v>
      </c>
      <c r="J763" s="27" t="s">
        <v>38</v>
      </c>
      <c r="K763" s="27" t="s">
        <v>20</v>
      </c>
      <c r="L763" s="27" t="s">
        <v>21</v>
      </c>
      <c r="M763" s="27" t="s">
        <v>22</v>
      </c>
      <c r="N763" s="29" t="s">
        <v>325</v>
      </c>
      <c r="O763" s="27" t="s">
        <v>22</v>
      </c>
      <c r="P763" s="27" t="s">
        <v>22</v>
      </c>
      <c r="Q763" s="41"/>
      <c r="R763" s="40"/>
    </row>
    <row r="764" spans="1:18" ht="96" x14ac:dyDescent="0.3">
      <c r="A764" s="26" t="str">
        <f t="shared" si="22"/>
        <v>2027가톨릭대</v>
      </c>
      <c r="B764" s="26">
        <f>COUNTIFS($A$4:A764,A764)</f>
        <v>2</v>
      </c>
      <c r="C764" s="26" t="str">
        <f t="shared" si="23"/>
        <v>2027가톨릭대2</v>
      </c>
      <c r="E764" s="39" t="s">
        <v>148</v>
      </c>
      <c r="F764" s="26" t="s">
        <v>17</v>
      </c>
      <c r="H764" s="27" t="s">
        <v>309</v>
      </c>
      <c r="I764" s="27">
        <v>2027</v>
      </c>
      <c r="J764" s="27" t="s">
        <v>38</v>
      </c>
      <c r="K764" s="27" t="s">
        <v>20</v>
      </c>
      <c r="L764" s="27" t="s">
        <v>24</v>
      </c>
      <c r="M764" s="27" t="s">
        <v>22</v>
      </c>
      <c r="N764" s="29" t="s">
        <v>326</v>
      </c>
      <c r="O764" s="27" t="s">
        <v>22</v>
      </c>
      <c r="P764" s="27" t="s">
        <v>22</v>
      </c>
      <c r="Q764" s="41"/>
      <c r="R764" s="40"/>
    </row>
    <row r="765" spans="1:18" ht="30" customHeight="1" x14ac:dyDescent="0.3">
      <c r="A765" s="26" t="str">
        <f t="shared" si="22"/>
        <v>2027가톨릭대</v>
      </c>
      <c r="B765" s="26">
        <f>COUNTIFS($A$4:A765,A765)</f>
        <v>3</v>
      </c>
      <c r="C765" s="26" t="str">
        <f t="shared" si="23"/>
        <v>2027가톨릭대3</v>
      </c>
      <c r="E765" s="39" t="s">
        <v>148</v>
      </c>
      <c r="F765" s="26" t="s">
        <v>17</v>
      </c>
      <c r="H765" s="27" t="s">
        <v>309</v>
      </c>
      <c r="I765" s="27">
        <v>2027</v>
      </c>
      <c r="J765" s="27" t="s">
        <v>38</v>
      </c>
      <c r="K765" s="27" t="s">
        <v>20</v>
      </c>
      <c r="L765" s="27" t="s">
        <v>188</v>
      </c>
      <c r="M765" s="27" t="s">
        <v>22</v>
      </c>
      <c r="N765" s="29" t="s">
        <v>327</v>
      </c>
      <c r="O765" s="27" t="s">
        <v>22</v>
      </c>
      <c r="P765" s="27" t="s">
        <v>22</v>
      </c>
      <c r="Q765" s="41"/>
      <c r="R765" s="40"/>
    </row>
    <row r="766" spans="1:18" ht="72" x14ac:dyDescent="0.3">
      <c r="A766" s="26" t="str">
        <f t="shared" si="22"/>
        <v>2027가톨릭대</v>
      </c>
      <c r="B766" s="26">
        <f>COUNTIFS($A$4:A766,A766)</f>
        <v>4</v>
      </c>
      <c r="C766" s="26" t="str">
        <f t="shared" si="23"/>
        <v>2027가톨릭대4</v>
      </c>
      <c r="E766" s="39" t="s">
        <v>148</v>
      </c>
      <c r="F766" s="26" t="s">
        <v>17</v>
      </c>
      <c r="H766" s="27" t="s">
        <v>309</v>
      </c>
      <c r="I766" s="27">
        <v>2027</v>
      </c>
      <c r="J766" s="27" t="s">
        <v>38</v>
      </c>
      <c r="K766" s="27" t="s">
        <v>20</v>
      </c>
      <c r="L766" s="27" t="s">
        <v>24</v>
      </c>
      <c r="M766" s="27" t="s">
        <v>42</v>
      </c>
      <c r="N766" s="29" t="s">
        <v>320</v>
      </c>
      <c r="O766" s="27" t="s">
        <v>22</v>
      </c>
      <c r="P766" s="27" t="s">
        <v>55</v>
      </c>
      <c r="Q766" s="41"/>
      <c r="R766" s="40"/>
    </row>
    <row r="767" spans="1:18" ht="30" customHeight="1" x14ac:dyDescent="0.3">
      <c r="A767" s="26" t="str">
        <f t="shared" si="22"/>
        <v>2027가톨릭대</v>
      </c>
      <c r="B767" s="26">
        <f>COUNTIFS($A$4:A767,A767)</f>
        <v>5</v>
      </c>
      <c r="C767" s="26" t="str">
        <f t="shared" si="23"/>
        <v>2027가톨릭대5</v>
      </c>
      <c r="E767" s="39" t="s">
        <v>148</v>
      </c>
      <c r="F767" s="26" t="s">
        <v>17</v>
      </c>
      <c r="H767" s="27" t="s">
        <v>309</v>
      </c>
      <c r="I767" s="27">
        <v>2027</v>
      </c>
      <c r="J767" s="27" t="s">
        <v>19</v>
      </c>
      <c r="K767" s="27" t="s">
        <v>312</v>
      </c>
      <c r="L767" s="27" t="s">
        <v>21</v>
      </c>
      <c r="M767" s="27" t="s">
        <v>22</v>
      </c>
      <c r="N767" s="40" t="s">
        <v>33</v>
      </c>
      <c r="O767" s="27" t="s">
        <v>22</v>
      </c>
      <c r="P767" s="27" t="s">
        <v>22</v>
      </c>
      <c r="Q767" s="41"/>
      <c r="R767" s="40"/>
    </row>
    <row r="768" spans="1:18" ht="30" customHeight="1" x14ac:dyDescent="0.3">
      <c r="A768" s="26" t="str">
        <f t="shared" si="22"/>
        <v>2027가톨릭대</v>
      </c>
      <c r="B768" s="26">
        <f>COUNTIFS($A$4:A768,A768)</f>
        <v>6</v>
      </c>
      <c r="C768" s="26" t="str">
        <f t="shared" si="23"/>
        <v>2027가톨릭대6</v>
      </c>
      <c r="E768" s="39" t="s">
        <v>148</v>
      </c>
      <c r="F768" s="26" t="s">
        <v>17</v>
      </c>
      <c r="H768" s="27" t="s">
        <v>309</v>
      </c>
      <c r="I768" s="27">
        <v>2027</v>
      </c>
      <c r="J768" s="27" t="s">
        <v>19</v>
      </c>
      <c r="K768" s="27" t="s">
        <v>312</v>
      </c>
      <c r="L768" s="27" t="s">
        <v>24</v>
      </c>
      <c r="M768" s="27" t="s">
        <v>22</v>
      </c>
      <c r="N768" s="40" t="s">
        <v>33</v>
      </c>
      <c r="O768" s="27" t="s">
        <v>22</v>
      </c>
      <c r="P768" s="27" t="s">
        <v>22</v>
      </c>
      <c r="Q768" s="41"/>
      <c r="R768" s="40"/>
    </row>
    <row r="769" spans="1:18" ht="30" customHeight="1" x14ac:dyDescent="0.3">
      <c r="A769" s="26" t="str">
        <f t="shared" si="22"/>
        <v>2027가톨릭대</v>
      </c>
      <c r="B769" s="26">
        <f>COUNTIFS($A$4:A769,A769)</f>
        <v>7</v>
      </c>
      <c r="C769" s="26" t="str">
        <f t="shared" si="23"/>
        <v>2027가톨릭대7</v>
      </c>
      <c r="E769" s="39" t="s">
        <v>148</v>
      </c>
      <c r="F769" s="26" t="s">
        <v>17</v>
      </c>
      <c r="H769" s="27" t="s">
        <v>309</v>
      </c>
      <c r="I769" s="27">
        <v>2027</v>
      </c>
      <c r="J769" s="27" t="s">
        <v>19</v>
      </c>
      <c r="K769" s="27" t="s">
        <v>313</v>
      </c>
      <c r="L769" s="27" t="s">
        <v>21</v>
      </c>
      <c r="M769" s="27" t="s">
        <v>22</v>
      </c>
      <c r="N769" s="40" t="s">
        <v>33</v>
      </c>
      <c r="O769" s="27" t="s">
        <v>22</v>
      </c>
      <c r="P769" s="27" t="s">
        <v>22</v>
      </c>
      <c r="Q769" s="41"/>
      <c r="R769" s="40"/>
    </row>
    <row r="770" spans="1:18" ht="30" customHeight="1" x14ac:dyDescent="0.3">
      <c r="A770" s="26" t="str">
        <f t="shared" si="22"/>
        <v>2027가톨릭대</v>
      </c>
      <c r="B770" s="26">
        <f>COUNTIFS($A$4:A770,A770)</f>
        <v>8</v>
      </c>
      <c r="C770" s="26" t="str">
        <f t="shared" si="23"/>
        <v>2027가톨릭대8</v>
      </c>
      <c r="E770" s="39" t="s">
        <v>148</v>
      </c>
      <c r="F770" s="26" t="s">
        <v>17</v>
      </c>
      <c r="H770" s="27" t="s">
        <v>309</v>
      </c>
      <c r="I770" s="27">
        <v>2027</v>
      </c>
      <c r="J770" s="27" t="s">
        <v>19</v>
      </c>
      <c r="K770" s="27" t="s">
        <v>313</v>
      </c>
      <c r="L770" s="27" t="s">
        <v>24</v>
      </c>
      <c r="M770" s="27" t="s">
        <v>22</v>
      </c>
      <c r="N770" s="40" t="s">
        <v>33</v>
      </c>
      <c r="O770" s="27" t="s">
        <v>22</v>
      </c>
      <c r="P770" s="27" t="s">
        <v>22</v>
      </c>
      <c r="Q770" s="41"/>
      <c r="R770" s="40"/>
    </row>
    <row r="771" spans="1:18" ht="30" customHeight="1" x14ac:dyDescent="0.3">
      <c r="A771" s="26" t="str">
        <f t="shared" si="22"/>
        <v>2027가톨릭대</v>
      </c>
      <c r="B771" s="26">
        <f>COUNTIFS($A$4:A771,A771)</f>
        <v>9</v>
      </c>
      <c r="C771" s="26" t="str">
        <f t="shared" si="23"/>
        <v>2027가톨릭대9</v>
      </c>
      <c r="E771" s="39" t="s">
        <v>148</v>
      </c>
      <c r="F771" s="26" t="s">
        <v>17</v>
      </c>
      <c r="H771" s="27" t="s">
        <v>309</v>
      </c>
      <c r="I771" s="27">
        <v>2027</v>
      </c>
      <c r="J771" s="27" t="s">
        <v>19</v>
      </c>
      <c r="K771" s="27" t="s">
        <v>314</v>
      </c>
      <c r="L771" s="27" t="s">
        <v>21</v>
      </c>
      <c r="M771" s="27" t="s">
        <v>22</v>
      </c>
      <c r="N771" s="40" t="s">
        <v>33</v>
      </c>
      <c r="O771" s="27" t="s">
        <v>33</v>
      </c>
      <c r="P771" s="27" t="s">
        <v>33</v>
      </c>
      <c r="Q771" s="41"/>
      <c r="R771" s="40"/>
    </row>
    <row r="772" spans="1:18" ht="30" customHeight="1" x14ac:dyDescent="0.3">
      <c r="A772" s="26" t="str">
        <f t="shared" si="22"/>
        <v>2027가톨릭대</v>
      </c>
      <c r="B772" s="26">
        <f>COUNTIFS($A$4:A772,A772)</f>
        <v>10</v>
      </c>
      <c r="C772" s="26" t="str">
        <f t="shared" si="23"/>
        <v>2027가톨릭대10</v>
      </c>
      <c r="E772" s="39" t="s">
        <v>148</v>
      </c>
      <c r="F772" s="26" t="s">
        <v>17</v>
      </c>
      <c r="H772" s="27" t="s">
        <v>309</v>
      </c>
      <c r="I772" s="27">
        <v>2027</v>
      </c>
      <c r="J772" s="27" t="s">
        <v>19</v>
      </c>
      <c r="K772" s="27" t="s">
        <v>314</v>
      </c>
      <c r="L772" s="27" t="s">
        <v>24</v>
      </c>
      <c r="M772" s="27" t="s">
        <v>22</v>
      </c>
      <c r="N772" s="40" t="s">
        <v>33</v>
      </c>
      <c r="O772" s="27" t="s">
        <v>33</v>
      </c>
      <c r="P772" s="27" t="s">
        <v>33</v>
      </c>
      <c r="Q772" s="41"/>
      <c r="R772" s="40"/>
    </row>
    <row r="773" spans="1:18" ht="30" customHeight="1" x14ac:dyDescent="0.3">
      <c r="A773" s="26" t="str">
        <f t="shared" si="22"/>
        <v>2027가톨릭대</v>
      </c>
      <c r="B773" s="26">
        <f>COUNTIFS($A$4:A773,A773)</f>
        <v>11</v>
      </c>
      <c r="C773" s="26" t="str">
        <f t="shared" si="23"/>
        <v>2027가톨릭대11</v>
      </c>
      <c r="E773" s="39" t="s">
        <v>148</v>
      </c>
      <c r="F773" s="26" t="s">
        <v>17</v>
      </c>
      <c r="H773" s="27" t="s">
        <v>309</v>
      </c>
      <c r="I773" s="27">
        <v>2027</v>
      </c>
      <c r="J773" s="27" t="s">
        <v>19</v>
      </c>
      <c r="K773" s="27" t="s">
        <v>80</v>
      </c>
      <c r="L773" s="27" t="s">
        <v>24</v>
      </c>
      <c r="M773" s="27" t="s">
        <v>22</v>
      </c>
      <c r="N773" s="29" t="s">
        <v>317</v>
      </c>
      <c r="O773" s="27" t="s">
        <v>22</v>
      </c>
      <c r="P773" s="27" t="s">
        <v>22</v>
      </c>
      <c r="Q773" s="41"/>
      <c r="R773" s="40"/>
    </row>
    <row r="774" spans="1:18" ht="60" x14ac:dyDescent="0.3">
      <c r="A774" s="26" t="str">
        <f t="shared" si="22"/>
        <v>2027가톨릭대</v>
      </c>
      <c r="B774" s="26">
        <f>COUNTIFS($A$4:A774,A774)</f>
        <v>12</v>
      </c>
      <c r="C774" s="26" t="str">
        <f t="shared" si="23"/>
        <v>2027가톨릭대12</v>
      </c>
      <c r="E774" s="39" t="s">
        <v>148</v>
      </c>
      <c r="F774" s="26" t="s">
        <v>17</v>
      </c>
      <c r="H774" s="27" t="s">
        <v>309</v>
      </c>
      <c r="I774" s="27">
        <v>2027</v>
      </c>
      <c r="J774" s="27" t="s">
        <v>19</v>
      </c>
      <c r="K774" s="27" t="s">
        <v>80</v>
      </c>
      <c r="L774" s="27" t="s">
        <v>24</v>
      </c>
      <c r="M774" s="27" t="s">
        <v>42</v>
      </c>
      <c r="N774" s="29" t="s">
        <v>323</v>
      </c>
      <c r="O774" s="27" t="s">
        <v>22</v>
      </c>
      <c r="P774" s="27" t="s">
        <v>55</v>
      </c>
      <c r="Q774" s="41"/>
      <c r="R774" s="40"/>
    </row>
    <row r="775" spans="1:18" ht="30" customHeight="1" x14ac:dyDescent="0.3">
      <c r="A775" s="26" t="str">
        <f t="shared" ref="A775:A838" si="24">I775&amp;H775</f>
        <v>2027가톨릭대</v>
      </c>
      <c r="B775" s="26">
        <f>COUNTIFS($A$4:A775,A775)</f>
        <v>13</v>
      </c>
      <c r="C775" s="26" t="str">
        <f t="shared" ref="C775:C838" si="25">A775&amp;B775</f>
        <v>2027가톨릭대13</v>
      </c>
      <c r="E775" s="39" t="s">
        <v>148</v>
      </c>
      <c r="F775" s="26" t="s">
        <v>17</v>
      </c>
      <c r="H775" s="27" t="s">
        <v>309</v>
      </c>
      <c r="I775" s="27">
        <v>2027</v>
      </c>
      <c r="J775" s="27" t="s">
        <v>50</v>
      </c>
      <c r="K775" s="27" t="s">
        <v>50</v>
      </c>
      <c r="L775" s="27" t="s">
        <v>21</v>
      </c>
      <c r="M775" s="27" t="s">
        <v>22</v>
      </c>
      <c r="N775" s="40" t="s">
        <v>33</v>
      </c>
      <c r="O775" s="27" t="s">
        <v>33</v>
      </c>
      <c r="P775" s="27" t="s">
        <v>33</v>
      </c>
      <c r="Q775" s="41"/>
      <c r="R775" s="40"/>
    </row>
    <row r="776" spans="1:18" ht="60" x14ac:dyDescent="0.3">
      <c r="A776" s="26" t="str">
        <f t="shared" si="24"/>
        <v>2027가톨릭대</v>
      </c>
      <c r="B776" s="26">
        <f>COUNTIFS($A$4:A776,A776)</f>
        <v>14</v>
      </c>
      <c r="C776" s="26" t="str">
        <f t="shared" si="25"/>
        <v>2027가톨릭대14</v>
      </c>
      <c r="E776" s="39" t="s">
        <v>148</v>
      </c>
      <c r="F776" s="26" t="s">
        <v>17</v>
      </c>
      <c r="H776" s="27" t="s">
        <v>309</v>
      </c>
      <c r="I776" s="27">
        <v>2027</v>
      </c>
      <c r="J776" s="27" t="s">
        <v>50</v>
      </c>
      <c r="K776" s="27" t="s">
        <v>50</v>
      </c>
      <c r="L776" s="27" t="s">
        <v>24</v>
      </c>
      <c r="M776" s="27" t="s">
        <v>22</v>
      </c>
      <c r="N776" s="29" t="s">
        <v>319</v>
      </c>
      <c r="O776" s="27" t="s">
        <v>33</v>
      </c>
      <c r="P776" s="27" t="s">
        <v>33</v>
      </c>
      <c r="Q776" s="41"/>
      <c r="R776" s="40"/>
    </row>
    <row r="777" spans="1:18" ht="60" x14ac:dyDescent="0.3">
      <c r="A777" s="26" t="str">
        <f t="shared" si="24"/>
        <v>2027가톨릭대</v>
      </c>
      <c r="B777" s="26">
        <f>COUNTIFS($A$4:A777,A777)</f>
        <v>15</v>
      </c>
      <c r="C777" s="26" t="str">
        <f t="shared" si="25"/>
        <v>2027가톨릭대15</v>
      </c>
      <c r="E777" s="39" t="s">
        <v>148</v>
      </c>
      <c r="F777" s="26" t="s">
        <v>17</v>
      </c>
      <c r="H777" s="27" t="s">
        <v>309</v>
      </c>
      <c r="I777" s="27">
        <v>2027</v>
      </c>
      <c r="J777" s="27" t="s">
        <v>50</v>
      </c>
      <c r="K777" s="27" t="s">
        <v>50</v>
      </c>
      <c r="L777" s="27" t="s">
        <v>24</v>
      </c>
      <c r="M777" s="27" t="s">
        <v>42</v>
      </c>
      <c r="N777" s="29" t="s">
        <v>323</v>
      </c>
      <c r="O777" s="27" t="s">
        <v>22</v>
      </c>
      <c r="P777" s="27" t="s">
        <v>55</v>
      </c>
      <c r="Q777" s="41"/>
      <c r="R777" s="40"/>
    </row>
    <row r="778" spans="1:18" ht="30" customHeight="1" x14ac:dyDescent="0.3">
      <c r="A778" s="26" t="str">
        <f t="shared" si="24"/>
        <v>2025성신여대</v>
      </c>
      <c r="B778" s="26">
        <f>COUNTIFS($A$4:A778,A778)</f>
        <v>1</v>
      </c>
      <c r="C778" s="26" t="str">
        <f t="shared" si="25"/>
        <v>2025성신여대1</v>
      </c>
      <c r="E778" s="39" t="s">
        <v>148</v>
      </c>
      <c r="F778" s="26" t="s">
        <v>17</v>
      </c>
      <c r="H778" s="27" t="s">
        <v>328</v>
      </c>
      <c r="I778" s="27">
        <v>2025</v>
      </c>
      <c r="J778" s="27" t="s">
        <v>38</v>
      </c>
      <c r="K778" s="27" t="s">
        <v>20</v>
      </c>
      <c r="L778" s="27" t="s">
        <v>21</v>
      </c>
      <c r="M778" s="27" t="s">
        <v>22</v>
      </c>
      <c r="N778" s="40" t="s">
        <v>307</v>
      </c>
      <c r="O778" s="27" t="s">
        <v>33</v>
      </c>
      <c r="P778" s="27" t="s">
        <v>33</v>
      </c>
      <c r="Q778" s="41"/>
      <c r="R778" s="40"/>
    </row>
    <row r="779" spans="1:18" ht="30" customHeight="1" x14ac:dyDescent="0.3">
      <c r="A779" s="26" t="str">
        <f t="shared" si="24"/>
        <v>2025성신여대</v>
      </c>
      <c r="B779" s="26">
        <f>COUNTIFS($A$4:A779,A779)</f>
        <v>2</v>
      </c>
      <c r="C779" s="26" t="str">
        <f t="shared" si="25"/>
        <v>2025성신여대2</v>
      </c>
      <c r="E779" s="39" t="s">
        <v>148</v>
      </c>
      <c r="F779" s="26" t="s">
        <v>17</v>
      </c>
      <c r="H779" s="27" t="s">
        <v>328</v>
      </c>
      <c r="I779" s="27">
        <v>2025</v>
      </c>
      <c r="J779" s="27" t="s">
        <v>38</v>
      </c>
      <c r="K779" s="27" t="s">
        <v>20</v>
      </c>
      <c r="L779" s="27" t="s">
        <v>24</v>
      </c>
      <c r="M779" s="27" t="s">
        <v>22</v>
      </c>
      <c r="N779" s="40" t="s">
        <v>307</v>
      </c>
      <c r="O779" s="27" t="s">
        <v>33</v>
      </c>
      <c r="P779" s="27" t="s">
        <v>33</v>
      </c>
      <c r="Q779" s="41"/>
      <c r="R779" s="40"/>
    </row>
    <row r="780" spans="1:18" ht="30" customHeight="1" x14ac:dyDescent="0.3">
      <c r="A780" s="26" t="str">
        <f t="shared" si="24"/>
        <v>2025성신여대</v>
      </c>
      <c r="B780" s="26">
        <f>COUNTIFS($A$4:A780,A780)</f>
        <v>3</v>
      </c>
      <c r="C780" s="26" t="str">
        <f t="shared" si="25"/>
        <v>2025성신여대3</v>
      </c>
      <c r="E780" s="39" t="s">
        <v>148</v>
      </c>
      <c r="F780" s="26" t="s">
        <v>17</v>
      </c>
      <c r="H780" s="27" t="s">
        <v>328</v>
      </c>
      <c r="I780" s="27">
        <v>2025</v>
      </c>
      <c r="J780" s="27" t="s">
        <v>19</v>
      </c>
      <c r="K780" s="27" t="s">
        <v>218</v>
      </c>
      <c r="L780" s="27" t="s">
        <v>21</v>
      </c>
      <c r="M780" s="27" t="s">
        <v>22</v>
      </c>
      <c r="N780" s="40" t="s">
        <v>33</v>
      </c>
      <c r="O780" s="27" t="s">
        <v>33</v>
      </c>
      <c r="P780" s="27" t="s">
        <v>33</v>
      </c>
      <c r="Q780" s="41"/>
      <c r="R780" s="40"/>
    </row>
    <row r="781" spans="1:18" ht="30" customHeight="1" x14ac:dyDescent="0.3">
      <c r="A781" s="26" t="str">
        <f t="shared" si="24"/>
        <v>2025성신여대</v>
      </c>
      <c r="B781" s="26">
        <f>COUNTIFS($A$4:A781,A781)</f>
        <v>4</v>
      </c>
      <c r="C781" s="26" t="str">
        <f t="shared" si="25"/>
        <v>2025성신여대4</v>
      </c>
      <c r="E781" s="39" t="s">
        <v>148</v>
      </c>
      <c r="F781" s="26" t="s">
        <v>17</v>
      </c>
      <c r="H781" s="27" t="s">
        <v>328</v>
      </c>
      <c r="I781" s="27">
        <v>2025</v>
      </c>
      <c r="J781" s="27" t="s">
        <v>19</v>
      </c>
      <c r="K781" s="27" t="s">
        <v>218</v>
      </c>
      <c r="L781" s="27" t="s">
        <v>24</v>
      </c>
      <c r="M781" s="27" t="s">
        <v>22</v>
      </c>
      <c r="N781" s="40" t="s">
        <v>33</v>
      </c>
      <c r="O781" s="27" t="s">
        <v>33</v>
      </c>
      <c r="P781" s="27" t="s">
        <v>33</v>
      </c>
      <c r="Q781" s="41"/>
      <c r="R781" s="40"/>
    </row>
    <row r="782" spans="1:18" ht="30" customHeight="1" x14ac:dyDescent="0.3">
      <c r="A782" s="26" t="str">
        <f t="shared" si="24"/>
        <v>2025성신여대</v>
      </c>
      <c r="B782" s="26">
        <f>COUNTIFS($A$4:A782,A782)</f>
        <v>5</v>
      </c>
      <c r="C782" s="26" t="str">
        <f t="shared" si="25"/>
        <v>2025성신여대5</v>
      </c>
      <c r="E782" s="39" t="s">
        <v>148</v>
      </c>
      <c r="F782" s="26" t="s">
        <v>17</v>
      </c>
      <c r="H782" s="27" t="s">
        <v>328</v>
      </c>
      <c r="I782" s="27">
        <v>2025</v>
      </c>
      <c r="J782" s="27" t="s">
        <v>19</v>
      </c>
      <c r="K782" s="27" t="s">
        <v>329</v>
      </c>
      <c r="L782" s="27" t="s">
        <v>21</v>
      </c>
      <c r="M782" s="27" t="s">
        <v>22</v>
      </c>
      <c r="N782" s="40" t="s">
        <v>33</v>
      </c>
      <c r="O782" s="27" t="s">
        <v>33</v>
      </c>
      <c r="P782" s="27" t="s">
        <v>33</v>
      </c>
      <c r="Q782" s="41"/>
      <c r="R782" s="40"/>
    </row>
    <row r="783" spans="1:18" ht="30" customHeight="1" x14ac:dyDescent="0.3">
      <c r="A783" s="26" t="str">
        <f t="shared" si="24"/>
        <v>2025성신여대</v>
      </c>
      <c r="B783" s="26">
        <f>COUNTIFS($A$4:A783,A783)</f>
        <v>6</v>
      </c>
      <c r="C783" s="26" t="str">
        <f t="shared" si="25"/>
        <v>2025성신여대6</v>
      </c>
      <c r="E783" s="39" t="s">
        <v>148</v>
      </c>
      <c r="F783" s="26" t="s">
        <v>17</v>
      </c>
      <c r="H783" s="27" t="s">
        <v>328</v>
      </c>
      <c r="I783" s="27">
        <v>2025</v>
      </c>
      <c r="J783" s="27" t="s">
        <v>19</v>
      </c>
      <c r="K783" s="27" t="s">
        <v>329</v>
      </c>
      <c r="L783" s="27" t="s">
        <v>24</v>
      </c>
      <c r="M783" s="27" t="s">
        <v>22</v>
      </c>
      <c r="N783" s="40" t="s">
        <v>33</v>
      </c>
      <c r="O783" s="27" t="s">
        <v>33</v>
      </c>
      <c r="P783" s="27" t="s">
        <v>33</v>
      </c>
      <c r="Q783" s="41"/>
      <c r="R783" s="40"/>
    </row>
    <row r="784" spans="1:18" ht="30" customHeight="1" x14ac:dyDescent="0.3">
      <c r="A784" s="26" t="str">
        <f t="shared" si="24"/>
        <v>2025성신여대</v>
      </c>
      <c r="B784" s="26">
        <f>COUNTIFS($A$4:A784,A784)</f>
        <v>7</v>
      </c>
      <c r="C784" s="26" t="str">
        <f t="shared" si="25"/>
        <v>2025성신여대7</v>
      </c>
      <c r="E784" s="39" t="s">
        <v>148</v>
      </c>
      <c r="F784" s="26" t="s">
        <v>17</v>
      </c>
      <c r="H784" s="27" t="s">
        <v>328</v>
      </c>
      <c r="I784" s="27">
        <v>2025</v>
      </c>
      <c r="J784" s="27" t="s">
        <v>50</v>
      </c>
      <c r="K784" s="27" t="s">
        <v>156</v>
      </c>
      <c r="L784" s="27" t="s">
        <v>21</v>
      </c>
      <c r="M784" s="27" t="s">
        <v>22</v>
      </c>
      <c r="N784" s="40" t="s">
        <v>307</v>
      </c>
      <c r="O784" s="27" t="s">
        <v>33</v>
      </c>
      <c r="P784" s="27" t="s">
        <v>33</v>
      </c>
      <c r="Q784" s="41"/>
      <c r="R784" s="40"/>
    </row>
    <row r="785" spans="1:18" ht="30" customHeight="1" x14ac:dyDescent="0.3">
      <c r="A785" s="26" t="str">
        <f t="shared" si="24"/>
        <v>2025성신여대</v>
      </c>
      <c r="B785" s="26">
        <f>COUNTIFS($A$4:A785,A785)</f>
        <v>8</v>
      </c>
      <c r="C785" s="26" t="str">
        <f t="shared" si="25"/>
        <v>2025성신여대8</v>
      </c>
      <c r="E785" s="39" t="s">
        <v>148</v>
      </c>
      <c r="F785" s="26" t="s">
        <v>17</v>
      </c>
      <c r="H785" s="27" t="s">
        <v>328</v>
      </c>
      <c r="I785" s="27">
        <v>2025</v>
      </c>
      <c r="J785" s="27" t="s">
        <v>50</v>
      </c>
      <c r="K785" s="27" t="s">
        <v>156</v>
      </c>
      <c r="L785" s="27" t="s">
        <v>24</v>
      </c>
      <c r="M785" s="27" t="s">
        <v>22</v>
      </c>
      <c r="N785" s="40" t="s">
        <v>307</v>
      </c>
      <c r="O785" s="27" t="s">
        <v>33</v>
      </c>
      <c r="P785" s="27" t="s">
        <v>33</v>
      </c>
      <c r="Q785" s="41"/>
      <c r="R785" s="40"/>
    </row>
    <row r="786" spans="1:18" ht="30" customHeight="1" x14ac:dyDescent="0.3">
      <c r="A786" s="26" t="str">
        <f t="shared" si="24"/>
        <v>2026성신여대</v>
      </c>
      <c r="B786" s="26">
        <f>COUNTIFS($A$4:A786,A786)</f>
        <v>1</v>
      </c>
      <c r="C786" s="26" t="str">
        <f t="shared" si="25"/>
        <v>2026성신여대1</v>
      </c>
      <c r="E786" s="39" t="s">
        <v>148</v>
      </c>
      <c r="F786" s="26" t="s">
        <v>17</v>
      </c>
      <c r="H786" s="27" t="s">
        <v>328</v>
      </c>
      <c r="I786" s="27">
        <v>2026</v>
      </c>
      <c r="J786" s="27" t="s">
        <v>38</v>
      </c>
      <c r="K786" s="27" t="s">
        <v>20</v>
      </c>
      <c r="L786" s="27" t="s">
        <v>21</v>
      </c>
      <c r="M786" s="27" t="s">
        <v>22</v>
      </c>
      <c r="N786" s="40" t="s">
        <v>307</v>
      </c>
      <c r="O786" s="27" t="s">
        <v>33</v>
      </c>
      <c r="P786" s="27" t="s">
        <v>33</v>
      </c>
      <c r="Q786" s="41"/>
      <c r="R786" s="40"/>
    </row>
    <row r="787" spans="1:18" ht="30" customHeight="1" x14ac:dyDescent="0.3">
      <c r="A787" s="26" t="str">
        <f t="shared" si="24"/>
        <v>2026성신여대</v>
      </c>
      <c r="B787" s="26">
        <f>COUNTIFS($A$4:A787,A787)</f>
        <v>2</v>
      </c>
      <c r="C787" s="26" t="str">
        <f t="shared" si="25"/>
        <v>2026성신여대2</v>
      </c>
      <c r="E787" s="39" t="s">
        <v>148</v>
      </c>
      <c r="F787" s="26" t="s">
        <v>17</v>
      </c>
      <c r="H787" s="27" t="s">
        <v>328</v>
      </c>
      <c r="I787" s="27">
        <v>2026</v>
      </c>
      <c r="J787" s="27" t="s">
        <v>38</v>
      </c>
      <c r="K787" s="27" t="s">
        <v>20</v>
      </c>
      <c r="L787" s="27" t="s">
        <v>24</v>
      </c>
      <c r="M787" s="27" t="s">
        <v>22</v>
      </c>
      <c r="N787" s="40" t="s">
        <v>307</v>
      </c>
      <c r="O787" s="27" t="s">
        <v>33</v>
      </c>
      <c r="P787" s="27" t="s">
        <v>33</v>
      </c>
      <c r="Q787" s="41"/>
      <c r="R787" s="40"/>
    </row>
    <row r="788" spans="1:18" ht="30" customHeight="1" x14ac:dyDescent="0.3">
      <c r="A788" s="26" t="str">
        <f t="shared" si="24"/>
        <v>2026성신여대</v>
      </c>
      <c r="B788" s="26">
        <f>COUNTIFS($A$4:A788,A788)</f>
        <v>3</v>
      </c>
      <c r="C788" s="26" t="str">
        <f t="shared" si="25"/>
        <v>2026성신여대3</v>
      </c>
      <c r="E788" s="39" t="s">
        <v>148</v>
      </c>
      <c r="F788" s="26" t="s">
        <v>17</v>
      </c>
      <c r="H788" s="27" t="s">
        <v>328</v>
      </c>
      <c r="I788" s="27">
        <v>2026</v>
      </c>
      <c r="J788" s="27" t="s">
        <v>19</v>
      </c>
      <c r="K788" s="27" t="s">
        <v>329</v>
      </c>
      <c r="L788" s="27" t="s">
        <v>21</v>
      </c>
      <c r="M788" s="27" t="s">
        <v>22</v>
      </c>
      <c r="N788" s="40" t="s">
        <v>33</v>
      </c>
      <c r="O788" s="27" t="s">
        <v>33</v>
      </c>
      <c r="P788" s="27" t="s">
        <v>33</v>
      </c>
      <c r="Q788" s="32" t="s">
        <v>330</v>
      </c>
      <c r="R788" s="40"/>
    </row>
    <row r="789" spans="1:18" ht="30" customHeight="1" x14ac:dyDescent="0.3">
      <c r="A789" s="26" t="str">
        <f t="shared" si="24"/>
        <v>2026성신여대</v>
      </c>
      <c r="B789" s="26">
        <f>COUNTIFS($A$4:A789,A789)</f>
        <v>4</v>
      </c>
      <c r="C789" s="26" t="str">
        <f t="shared" si="25"/>
        <v>2026성신여대4</v>
      </c>
      <c r="E789" s="39" t="s">
        <v>148</v>
      </c>
      <c r="F789" s="26" t="s">
        <v>17</v>
      </c>
      <c r="H789" s="27" t="s">
        <v>328</v>
      </c>
      <c r="I789" s="27">
        <v>2026</v>
      </c>
      <c r="J789" s="27" t="s">
        <v>19</v>
      </c>
      <c r="K789" s="27" t="s">
        <v>329</v>
      </c>
      <c r="L789" s="27" t="s">
        <v>24</v>
      </c>
      <c r="M789" s="27" t="s">
        <v>22</v>
      </c>
      <c r="N789" s="40" t="s">
        <v>33</v>
      </c>
      <c r="O789" s="27" t="s">
        <v>33</v>
      </c>
      <c r="P789" s="27" t="s">
        <v>33</v>
      </c>
      <c r="Q789" s="32" t="s">
        <v>330</v>
      </c>
      <c r="R789" s="40"/>
    </row>
    <row r="790" spans="1:18" ht="30" customHeight="1" x14ac:dyDescent="0.3">
      <c r="A790" s="26" t="str">
        <f t="shared" si="24"/>
        <v>2026성신여대</v>
      </c>
      <c r="B790" s="26">
        <f>COUNTIFS($A$4:A790,A790)</f>
        <v>5</v>
      </c>
      <c r="C790" s="26" t="str">
        <f t="shared" si="25"/>
        <v>2026성신여대5</v>
      </c>
      <c r="E790" s="39" t="s">
        <v>148</v>
      </c>
      <c r="F790" s="26" t="s">
        <v>17</v>
      </c>
      <c r="H790" s="27" t="s">
        <v>328</v>
      </c>
      <c r="I790" s="27">
        <v>2026</v>
      </c>
      <c r="J790" s="27" t="s">
        <v>50</v>
      </c>
      <c r="K790" s="27" t="s">
        <v>156</v>
      </c>
      <c r="L790" s="27" t="s">
        <v>21</v>
      </c>
      <c r="M790" s="27" t="s">
        <v>22</v>
      </c>
      <c r="N790" s="40" t="s">
        <v>307</v>
      </c>
      <c r="O790" s="27" t="s">
        <v>33</v>
      </c>
      <c r="P790" s="27" t="s">
        <v>33</v>
      </c>
      <c r="Q790" s="41"/>
      <c r="R790" s="40"/>
    </row>
    <row r="791" spans="1:18" ht="30" customHeight="1" x14ac:dyDescent="0.3">
      <c r="A791" s="26" t="str">
        <f t="shared" si="24"/>
        <v>2026성신여대</v>
      </c>
      <c r="B791" s="26">
        <f>COUNTIFS($A$4:A791,A791)</f>
        <v>6</v>
      </c>
      <c r="C791" s="26" t="str">
        <f t="shared" si="25"/>
        <v>2026성신여대6</v>
      </c>
      <c r="E791" s="39" t="s">
        <v>148</v>
      </c>
      <c r="F791" s="26" t="s">
        <v>17</v>
      </c>
      <c r="H791" s="27" t="s">
        <v>328</v>
      </c>
      <c r="I791" s="27">
        <v>2026</v>
      </c>
      <c r="J791" s="27" t="s">
        <v>50</v>
      </c>
      <c r="K791" s="27" t="s">
        <v>156</v>
      </c>
      <c r="L791" s="27" t="s">
        <v>24</v>
      </c>
      <c r="M791" s="27" t="s">
        <v>22</v>
      </c>
      <c r="N791" s="40" t="s">
        <v>307</v>
      </c>
      <c r="O791" s="27" t="s">
        <v>33</v>
      </c>
      <c r="P791" s="27" t="s">
        <v>33</v>
      </c>
      <c r="Q791" s="41"/>
      <c r="R791" s="40"/>
    </row>
    <row r="792" spans="1:18" ht="30" customHeight="1" x14ac:dyDescent="0.3">
      <c r="A792" s="26" t="str">
        <f t="shared" si="24"/>
        <v>2027성신여대</v>
      </c>
      <c r="B792" s="26">
        <f>COUNTIFS($A$4:A792,A792)</f>
        <v>1</v>
      </c>
      <c r="C792" s="26" t="str">
        <f t="shared" si="25"/>
        <v>2027성신여대1</v>
      </c>
      <c r="E792" s="39" t="s">
        <v>148</v>
      </c>
      <c r="F792" s="26" t="s">
        <v>17</v>
      </c>
      <c r="H792" s="27" t="s">
        <v>328</v>
      </c>
      <c r="I792" s="27">
        <v>2027</v>
      </c>
      <c r="J792" s="27" t="s">
        <v>38</v>
      </c>
      <c r="K792" s="27" t="s">
        <v>20</v>
      </c>
      <c r="L792" s="27" t="s">
        <v>21</v>
      </c>
      <c r="M792" s="27" t="s">
        <v>22</v>
      </c>
      <c r="N792" s="40" t="s">
        <v>307</v>
      </c>
      <c r="O792" s="27" t="s">
        <v>33</v>
      </c>
      <c r="P792" s="27" t="s">
        <v>33</v>
      </c>
      <c r="Q792" s="41"/>
      <c r="R792" s="40"/>
    </row>
    <row r="793" spans="1:18" ht="30" customHeight="1" x14ac:dyDescent="0.3">
      <c r="A793" s="26" t="str">
        <f t="shared" si="24"/>
        <v>2027성신여대</v>
      </c>
      <c r="B793" s="26">
        <f>COUNTIFS($A$4:A793,A793)</f>
        <v>2</v>
      </c>
      <c r="C793" s="26" t="str">
        <f t="shared" si="25"/>
        <v>2027성신여대2</v>
      </c>
      <c r="E793" s="39" t="s">
        <v>148</v>
      </c>
      <c r="F793" s="26" t="s">
        <v>17</v>
      </c>
      <c r="H793" s="27" t="s">
        <v>328</v>
      </c>
      <c r="I793" s="27">
        <v>2027</v>
      </c>
      <c r="J793" s="27" t="s">
        <v>38</v>
      </c>
      <c r="K793" s="27" t="s">
        <v>20</v>
      </c>
      <c r="L793" s="27" t="s">
        <v>24</v>
      </c>
      <c r="M793" s="27" t="s">
        <v>22</v>
      </c>
      <c r="N793" s="40" t="s">
        <v>307</v>
      </c>
      <c r="O793" s="27" t="s">
        <v>33</v>
      </c>
      <c r="P793" s="27" t="s">
        <v>33</v>
      </c>
      <c r="Q793" s="41"/>
      <c r="R793" s="40"/>
    </row>
    <row r="794" spans="1:18" ht="30" customHeight="1" x14ac:dyDescent="0.3">
      <c r="A794" s="26" t="str">
        <f t="shared" si="24"/>
        <v>2027성신여대</v>
      </c>
      <c r="B794" s="26">
        <f>COUNTIFS($A$4:A794,A794)</f>
        <v>3</v>
      </c>
      <c r="C794" s="26" t="str">
        <f t="shared" si="25"/>
        <v>2027성신여대3</v>
      </c>
      <c r="E794" s="39" t="s">
        <v>148</v>
      </c>
      <c r="F794" s="26" t="s">
        <v>17</v>
      </c>
      <c r="H794" s="27" t="s">
        <v>328</v>
      </c>
      <c r="I794" s="27">
        <v>2027</v>
      </c>
      <c r="J794" s="27" t="s">
        <v>19</v>
      </c>
      <c r="K794" s="27" t="s">
        <v>329</v>
      </c>
      <c r="L794" s="27" t="s">
        <v>21</v>
      </c>
      <c r="M794" s="27" t="s">
        <v>22</v>
      </c>
      <c r="N794" s="40" t="s">
        <v>33</v>
      </c>
      <c r="O794" s="27"/>
      <c r="P794" s="27"/>
      <c r="Q794" s="41"/>
      <c r="R794" s="40"/>
    </row>
    <row r="795" spans="1:18" ht="30" customHeight="1" x14ac:dyDescent="0.3">
      <c r="A795" s="26" t="str">
        <f t="shared" si="24"/>
        <v>2027성신여대</v>
      </c>
      <c r="B795" s="26">
        <f>COUNTIFS($A$4:A795,A795)</f>
        <v>4</v>
      </c>
      <c r="C795" s="26" t="str">
        <f t="shared" si="25"/>
        <v>2027성신여대4</v>
      </c>
      <c r="E795" s="39" t="s">
        <v>148</v>
      </c>
      <c r="F795" s="26" t="s">
        <v>17</v>
      </c>
      <c r="H795" s="27" t="s">
        <v>328</v>
      </c>
      <c r="I795" s="27">
        <v>2027</v>
      </c>
      <c r="J795" s="27" t="s">
        <v>19</v>
      </c>
      <c r="K795" s="27" t="s">
        <v>329</v>
      </c>
      <c r="L795" s="27" t="s">
        <v>24</v>
      </c>
      <c r="M795" s="27" t="s">
        <v>22</v>
      </c>
      <c r="N795" s="40" t="s">
        <v>33</v>
      </c>
      <c r="O795" s="27"/>
      <c r="P795" s="27"/>
      <c r="Q795" s="41"/>
      <c r="R795" s="40"/>
    </row>
    <row r="796" spans="1:18" ht="30" customHeight="1" x14ac:dyDescent="0.3">
      <c r="A796" s="26" t="str">
        <f t="shared" si="24"/>
        <v>2027성신여대</v>
      </c>
      <c r="B796" s="26">
        <f>COUNTIFS($A$4:A796,A796)</f>
        <v>5</v>
      </c>
      <c r="C796" s="26" t="str">
        <f t="shared" si="25"/>
        <v>2027성신여대5</v>
      </c>
      <c r="E796" s="39" t="s">
        <v>148</v>
      </c>
      <c r="F796" s="26" t="s">
        <v>17</v>
      </c>
      <c r="H796" s="27" t="s">
        <v>328</v>
      </c>
      <c r="I796" s="27">
        <v>2027</v>
      </c>
      <c r="J796" s="27" t="s">
        <v>50</v>
      </c>
      <c r="K796" s="27" t="s">
        <v>156</v>
      </c>
      <c r="L796" s="27" t="s">
        <v>21</v>
      </c>
      <c r="M796" s="27" t="s">
        <v>22</v>
      </c>
      <c r="N796" s="40" t="s">
        <v>307</v>
      </c>
      <c r="O796" s="27" t="s">
        <v>33</v>
      </c>
      <c r="P796" s="27" t="s">
        <v>33</v>
      </c>
      <c r="Q796" s="41"/>
      <c r="R796" s="40"/>
    </row>
    <row r="797" spans="1:18" ht="30" customHeight="1" x14ac:dyDescent="0.3">
      <c r="A797" s="26" t="str">
        <f t="shared" si="24"/>
        <v>2027성신여대</v>
      </c>
      <c r="B797" s="26">
        <f>COUNTIFS($A$4:A797,A797)</f>
        <v>6</v>
      </c>
      <c r="C797" s="26" t="str">
        <f t="shared" si="25"/>
        <v>2027성신여대6</v>
      </c>
      <c r="E797" s="39" t="s">
        <v>148</v>
      </c>
      <c r="F797" s="26" t="s">
        <v>17</v>
      </c>
      <c r="H797" s="27" t="s">
        <v>328</v>
      </c>
      <c r="I797" s="27">
        <v>2027</v>
      </c>
      <c r="J797" s="27" t="s">
        <v>50</v>
      </c>
      <c r="K797" s="27" t="s">
        <v>156</v>
      </c>
      <c r="L797" s="27" t="s">
        <v>24</v>
      </c>
      <c r="M797" s="27" t="s">
        <v>22</v>
      </c>
      <c r="N797" s="40" t="s">
        <v>307</v>
      </c>
      <c r="O797" s="27" t="s">
        <v>33</v>
      </c>
      <c r="P797" s="27" t="s">
        <v>33</v>
      </c>
      <c r="Q797" s="41"/>
      <c r="R797" s="40"/>
    </row>
    <row r="798" spans="1:18" ht="30" customHeight="1" x14ac:dyDescent="0.3">
      <c r="A798" s="26" t="str">
        <f t="shared" si="24"/>
        <v>2025서울여대</v>
      </c>
      <c r="B798" s="26">
        <f>COUNTIFS($A$4:A798,A798)</f>
        <v>1</v>
      </c>
      <c r="C798" s="26" t="str">
        <f t="shared" si="25"/>
        <v>2025서울여대1</v>
      </c>
      <c r="E798" s="39" t="s">
        <v>148</v>
      </c>
      <c r="F798" s="26" t="s">
        <v>17</v>
      </c>
      <c r="H798" s="27" t="s">
        <v>331</v>
      </c>
      <c r="I798" s="27">
        <v>2025</v>
      </c>
      <c r="J798" s="27" t="s">
        <v>38</v>
      </c>
      <c r="K798" s="27" t="s">
        <v>221</v>
      </c>
      <c r="L798" s="27" t="s">
        <v>21</v>
      </c>
      <c r="M798" s="27" t="s">
        <v>22</v>
      </c>
      <c r="N798" s="40" t="s">
        <v>307</v>
      </c>
      <c r="O798" s="27" t="s">
        <v>33</v>
      </c>
      <c r="P798" s="27" t="s">
        <v>33</v>
      </c>
      <c r="Q798" s="41"/>
      <c r="R798" s="40"/>
    </row>
    <row r="799" spans="1:18" ht="30" customHeight="1" x14ac:dyDescent="0.3">
      <c r="A799" s="26" t="str">
        <f t="shared" si="24"/>
        <v>2025서울여대</v>
      </c>
      <c r="B799" s="26">
        <f>COUNTIFS($A$4:A799,A799)</f>
        <v>2</v>
      </c>
      <c r="C799" s="26" t="str">
        <f t="shared" si="25"/>
        <v>2025서울여대2</v>
      </c>
      <c r="E799" s="39" t="s">
        <v>148</v>
      </c>
      <c r="F799" s="26" t="s">
        <v>17</v>
      </c>
      <c r="H799" s="27" t="s">
        <v>331</v>
      </c>
      <c r="I799" s="27">
        <v>2025</v>
      </c>
      <c r="J799" s="27" t="s">
        <v>38</v>
      </c>
      <c r="K799" s="27" t="s">
        <v>221</v>
      </c>
      <c r="L799" s="27" t="s">
        <v>24</v>
      </c>
      <c r="M799" s="27" t="s">
        <v>22</v>
      </c>
      <c r="N799" s="40" t="s">
        <v>307</v>
      </c>
      <c r="O799" s="27" t="s">
        <v>33</v>
      </c>
      <c r="P799" s="27" t="s">
        <v>33</v>
      </c>
      <c r="Q799" s="41"/>
      <c r="R799" s="40"/>
    </row>
    <row r="800" spans="1:18" ht="30" customHeight="1" x14ac:dyDescent="0.3">
      <c r="A800" s="26" t="str">
        <f t="shared" si="24"/>
        <v>2025서울여대</v>
      </c>
      <c r="B800" s="26">
        <f>COUNTIFS($A$4:A800,A800)</f>
        <v>3</v>
      </c>
      <c r="C800" s="26" t="str">
        <f t="shared" si="25"/>
        <v>2025서울여대3</v>
      </c>
      <c r="E800" s="39" t="s">
        <v>148</v>
      </c>
      <c r="F800" s="26" t="s">
        <v>17</v>
      </c>
      <c r="H800" s="27" t="s">
        <v>331</v>
      </c>
      <c r="I800" s="27">
        <v>2025</v>
      </c>
      <c r="J800" s="27" t="s">
        <v>19</v>
      </c>
      <c r="K800" s="27" t="s">
        <v>332</v>
      </c>
      <c r="L800" s="27" t="s">
        <v>21</v>
      </c>
      <c r="M800" s="27" t="s">
        <v>22</v>
      </c>
      <c r="N800" s="40" t="s">
        <v>33</v>
      </c>
      <c r="O800" s="27" t="s">
        <v>22</v>
      </c>
      <c r="P800" s="27" t="s">
        <v>22</v>
      </c>
      <c r="Q800" s="41"/>
      <c r="R800" s="40"/>
    </row>
    <row r="801" spans="1:18" ht="30" customHeight="1" x14ac:dyDescent="0.3">
      <c r="A801" s="26" t="str">
        <f t="shared" si="24"/>
        <v>2025서울여대</v>
      </c>
      <c r="B801" s="26">
        <f>COUNTIFS($A$4:A801,A801)</f>
        <v>4</v>
      </c>
      <c r="C801" s="26" t="str">
        <f t="shared" si="25"/>
        <v>2025서울여대4</v>
      </c>
      <c r="E801" s="39" t="s">
        <v>148</v>
      </c>
      <c r="F801" s="26" t="s">
        <v>17</v>
      </c>
      <c r="H801" s="27" t="s">
        <v>331</v>
      </c>
      <c r="I801" s="27">
        <v>2025</v>
      </c>
      <c r="J801" s="27" t="s">
        <v>19</v>
      </c>
      <c r="K801" s="27" t="s">
        <v>332</v>
      </c>
      <c r="L801" s="27" t="s">
        <v>24</v>
      </c>
      <c r="M801" s="27" t="s">
        <v>22</v>
      </c>
      <c r="N801" s="40" t="s">
        <v>33</v>
      </c>
      <c r="O801" s="27" t="s">
        <v>22</v>
      </c>
      <c r="P801" s="27" t="s">
        <v>22</v>
      </c>
      <c r="Q801" s="41"/>
      <c r="R801" s="40"/>
    </row>
    <row r="802" spans="1:18" ht="30" customHeight="1" x14ac:dyDescent="0.3">
      <c r="A802" s="26" t="str">
        <f t="shared" si="24"/>
        <v>2025서울여대</v>
      </c>
      <c r="B802" s="26">
        <f>COUNTIFS($A$4:A802,A802)</f>
        <v>5</v>
      </c>
      <c r="C802" s="26" t="str">
        <f t="shared" si="25"/>
        <v>2025서울여대5</v>
      </c>
      <c r="E802" s="39" t="s">
        <v>148</v>
      </c>
      <c r="F802" s="26" t="s">
        <v>17</v>
      </c>
      <c r="H802" s="27" t="s">
        <v>331</v>
      </c>
      <c r="I802" s="27">
        <v>2025</v>
      </c>
      <c r="J802" s="27" t="s">
        <v>19</v>
      </c>
      <c r="K802" s="27" t="s">
        <v>333</v>
      </c>
      <c r="L802" s="27" t="s">
        <v>21</v>
      </c>
      <c r="M802" s="27" t="s">
        <v>22</v>
      </c>
      <c r="N802" s="40" t="s">
        <v>33</v>
      </c>
      <c r="O802" s="27" t="s">
        <v>22</v>
      </c>
      <c r="P802" s="27" t="s">
        <v>22</v>
      </c>
      <c r="Q802" s="41"/>
      <c r="R802" s="40"/>
    </row>
    <row r="803" spans="1:18" ht="30" customHeight="1" x14ac:dyDescent="0.3">
      <c r="A803" s="26" t="str">
        <f t="shared" si="24"/>
        <v>2025서울여대</v>
      </c>
      <c r="B803" s="26">
        <f>COUNTIFS($A$4:A803,A803)</f>
        <v>6</v>
      </c>
      <c r="C803" s="26" t="str">
        <f t="shared" si="25"/>
        <v>2025서울여대6</v>
      </c>
      <c r="E803" s="39" t="s">
        <v>148</v>
      </c>
      <c r="F803" s="26" t="s">
        <v>17</v>
      </c>
      <c r="H803" s="27" t="s">
        <v>331</v>
      </c>
      <c r="I803" s="27">
        <v>2025</v>
      </c>
      <c r="J803" s="27" t="s">
        <v>19</v>
      </c>
      <c r="K803" s="27" t="s">
        <v>333</v>
      </c>
      <c r="L803" s="27" t="s">
        <v>24</v>
      </c>
      <c r="M803" s="27" t="s">
        <v>22</v>
      </c>
      <c r="N803" s="40" t="s">
        <v>33</v>
      </c>
      <c r="O803" s="27" t="s">
        <v>22</v>
      </c>
      <c r="P803" s="27" t="s">
        <v>22</v>
      </c>
      <c r="Q803" s="41"/>
      <c r="R803" s="40"/>
    </row>
    <row r="804" spans="1:18" ht="30" customHeight="1" x14ac:dyDescent="0.3">
      <c r="A804" s="26" t="str">
        <f t="shared" si="24"/>
        <v>2025서울여대</v>
      </c>
      <c r="B804" s="26">
        <f>COUNTIFS($A$4:A804,A804)</f>
        <v>7</v>
      </c>
      <c r="C804" s="26" t="str">
        <f t="shared" si="25"/>
        <v>2025서울여대7</v>
      </c>
      <c r="E804" s="39" t="s">
        <v>148</v>
      </c>
      <c r="F804" s="26" t="s">
        <v>17</v>
      </c>
      <c r="H804" s="27" t="s">
        <v>331</v>
      </c>
      <c r="I804" s="27">
        <v>2025</v>
      </c>
      <c r="J804" s="27" t="s">
        <v>19</v>
      </c>
      <c r="K804" s="27" t="s">
        <v>334</v>
      </c>
      <c r="L804" s="27" t="s">
        <v>24</v>
      </c>
      <c r="M804" s="27" t="s">
        <v>22</v>
      </c>
      <c r="N804" s="40" t="s">
        <v>33</v>
      </c>
      <c r="O804" s="27" t="s">
        <v>22</v>
      </c>
      <c r="P804" s="27" t="s">
        <v>22</v>
      </c>
      <c r="Q804" s="41"/>
      <c r="R804" s="40"/>
    </row>
    <row r="805" spans="1:18" ht="30" customHeight="1" x14ac:dyDescent="0.3">
      <c r="A805" s="26" t="str">
        <f t="shared" si="24"/>
        <v>2025서울여대</v>
      </c>
      <c r="B805" s="26">
        <f>COUNTIFS($A$4:A805,A805)</f>
        <v>8</v>
      </c>
      <c r="C805" s="26" t="str">
        <f t="shared" si="25"/>
        <v>2025서울여대8</v>
      </c>
      <c r="E805" s="39" t="s">
        <v>148</v>
      </c>
      <c r="F805" s="26" t="s">
        <v>17</v>
      </c>
      <c r="H805" s="27" t="s">
        <v>331</v>
      </c>
      <c r="I805" s="27">
        <v>2025</v>
      </c>
      <c r="J805" s="27" t="s">
        <v>50</v>
      </c>
      <c r="K805" s="27" t="s">
        <v>156</v>
      </c>
      <c r="L805" s="27" t="s">
        <v>21</v>
      </c>
      <c r="M805" s="27" t="s">
        <v>22</v>
      </c>
      <c r="N805" s="40" t="s">
        <v>335</v>
      </c>
      <c r="O805" s="27" t="s">
        <v>33</v>
      </c>
      <c r="P805" s="27" t="s">
        <v>33</v>
      </c>
      <c r="Q805" s="41"/>
      <c r="R805" s="40"/>
    </row>
    <row r="806" spans="1:18" ht="30" customHeight="1" x14ac:dyDescent="0.3">
      <c r="A806" s="26" t="str">
        <f t="shared" si="24"/>
        <v>2025서울여대</v>
      </c>
      <c r="B806" s="26">
        <f>COUNTIFS($A$4:A806,A806)</f>
        <v>9</v>
      </c>
      <c r="C806" s="26" t="str">
        <f t="shared" si="25"/>
        <v>2025서울여대9</v>
      </c>
      <c r="E806" s="39" t="s">
        <v>148</v>
      </c>
      <c r="F806" s="26" t="s">
        <v>17</v>
      </c>
      <c r="H806" s="27" t="s">
        <v>331</v>
      </c>
      <c r="I806" s="27">
        <v>2025</v>
      </c>
      <c r="J806" s="27" t="s">
        <v>50</v>
      </c>
      <c r="K806" s="27" t="s">
        <v>156</v>
      </c>
      <c r="L806" s="27" t="s">
        <v>24</v>
      </c>
      <c r="M806" s="27" t="s">
        <v>22</v>
      </c>
      <c r="N806" s="40" t="s">
        <v>335</v>
      </c>
      <c r="O806" s="27" t="s">
        <v>33</v>
      </c>
      <c r="P806" s="27" t="s">
        <v>33</v>
      </c>
      <c r="Q806" s="41"/>
      <c r="R806" s="40"/>
    </row>
    <row r="807" spans="1:18" ht="30" customHeight="1" x14ac:dyDescent="0.3">
      <c r="A807" s="26" t="str">
        <f t="shared" si="24"/>
        <v>2026서울여대</v>
      </c>
      <c r="B807" s="26">
        <f>COUNTIFS($A$4:A807,A807)</f>
        <v>1</v>
      </c>
      <c r="C807" s="26" t="str">
        <f t="shared" si="25"/>
        <v>2026서울여대1</v>
      </c>
      <c r="E807" s="39" t="s">
        <v>148</v>
      </c>
      <c r="F807" s="26" t="s">
        <v>17</v>
      </c>
      <c r="H807" s="27" t="s">
        <v>331</v>
      </c>
      <c r="I807" s="27">
        <v>2026</v>
      </c>
      <c r="J807" s="27" t="s">
        <v>38</v>
      </c>
      <c r="K807" s="27" t="s">
        <v>221</v>
      </c>
      <c r="L807" s="27" t="s">
        <v>21</v>
      </c>
      <c r="M807" s="27" t="s">
        <v>22</v>
      </c>
      <c r="N807" s="40" t="s">
        <v>307</v>
      </c>
      <c r="O807" s="27" t="s">
        <v>33</v>
      </c>
      <c r="P807" s="27" t="s">
        <v>33</v>
      </c>
      <c r="Q807" s="41"/>
      <c r="R807" s="40"/>
    </row>
    <row r="808" spans="1:18" ht="30" customHeight="1" x14ac:dyDescent="0.3">
      <c r="A808" s="26" t="str">
        <f t="shared" si="24"/>
        <v>2026서울여대</v>
      </c>
      <c r="B808" s="26">
        <f>COUNTIFS($A$4:A808,A808)</f>
        <v>2</v>
      </c>
      <c r="C808" s="26" t="str">
        <f t="shared" si="25"/>
        <v>2026서울여대2</v>
      </c>
      <c r="E808" s="39" t="s">
        <v>148</v>
      </c>
      <c r="F808" s="26" t="s">
        <v>17</v>
      </c>
      <c r="H808" s="27" t="s">
        <v>331</v>
      </c>
      <c r="I808" s="27">
        <v>2026</v>
      </c>
      <c r="J808" s="27" t="s">
        <v>38</v>
      </c>
      <c r="K808" s="27" t="s">
        <v>221</v>
      </c>
      <c r="L808" s="27" t="s">
        <v>24</v>
      </c>
      <c r="M808" s="27" t="s">
        <v>22</v>
      </c>
      <c r="N808" s="40" t="s">
        <v>307</v>
      </c>
      <c r="O808" s="27" t="s">
        <v>33</v>
      </c>
      <c r="P808" s="27" t="s">
        <v>33</v>
      </c>
      <c r="Q808" s="41"/>
      <c r="R808" s="40"/>
    </row>
    <row r="809" spans="1:18" ht="30" customHeight="1" x14ac:dyDescent="0.3">
      <c r="A809" s="26" t="str">
        <f t="shared" si="24"/>
        <v>2026서울여대</v>
      </c>
      <c r="B809" s="26">
        <f>COUNTIFS($A$4:A809,A809)</f>
        <v>3</v>
      </c>
      <c r="C809" s="26" t="str">
        <f t="shared" si="25"/>
        <v>2026서울여대3</v>
      </c>
      <c r="E809" s="39" t="s">
        <v>148</v>
      </c>
      <c r="F809" s="26" t="s">
        <v>17</v>
      </c>
      <c r="H809" s="27" t="s">
        <v>331</v>
      </c>
      <c r="I809" s="27">
        <v>2026</v>
      </c>
      <c r="J809" s="27" t="s">
        <v>19</v>
      </c>
      <c r="K809" s="27" t="s">
        <v>332</v>
      </c>
      <c r="L809" s="27" t="s">
        <v>21</v>
      </c>
      <c r="M809" s="27" t="s">
        <v>22</v>
      </c>
      <c r="N809" s="40" t="s">
        <v>33</v>
      </c>
      <c r="O809" s="27" t="s">
        <v>22</v>
      </c>
      <c r="P809" s="27" t="s">
        <v>22</v>
      </c>
      <c r="Q809" s="41"/>
      <c r="R809" s="40"/>
    </row>
    <row r="810" spans="1:18" ht="30" customHeight="1" x14ac:dyDescent="0.3">
      <c r="A810" s="26" t="str">
        <f t="shared" si="24"/>
        <v>2026서울여대</v>
      </c>
      <c r="B810" s="26">
        <f>COUNTIFS($A$4:A810,A810)</f>
        <v>4</v>
      </c>
      <c r="C810" s="26" t="str">
        <f t="shared" si="25"/>
        <v>2026서울여대4</v>
      </c>
      <c r="E810" s="39" t="s">
        <v>148</v>
      </c>
      <c r="F810" s="26" t="s">
        <v>17</v>
      </c>
      <c r="H810" s="27" t="s">
        <v>331</v>
      </c>
      <c r="I810" s="27">
        <v>2026</v>
      </c>
      <c r="J810" s="27" t="s">
        <v>19</v>
      </c>
      <c r="K810" s="27" t="s">
        <v>332</v>
      </c>
      <c r="L810" s="27" t="s">
        <v>24</v>
      </c>
      <c r="M810" s="27" t="s">
        <v>22</v>
      </c>
      <c r="N810" s="40" t="s">
        <v>33</v>
      </c>
      <c r="O810" s="27" t="s">
        <v>22</v>
      </c>
      <c r="P810" s="27" t="s">
        <v>22</v>
      </c>
      <c r="Q810" s="41"/>
      <c r="R810" s="40"/>
    </row>
    <row r="811" spans="1:18" ht="30" customHeight="1" x14ac:dyDescent="0.3">
      <c r="A811" s="26" t="str">
        <f t="shared" si="24"/>
        <v>2026서울여대</v>
      </c>
      <c r="B811" s="26">
        <f>COUNTIFS($A$4:A811,A811)</f>
        <v>5</v>
      </c>
      <c r="C811" s="26" t="str">
        <f t="shared" si="25"/>
        <v>2026서울여대5</v>
      </c>
      <c r="E811" s="39" t="s">
        <v>148</v>
      </c>
      <c r="F811" s="26" t="s">
        <v>17</v>
      </c>
      <c r="H811" s="27" t="s">
        <v>331</v>
      </c>
      <c r="I811" s="27">
        <v>2026</v>
      </c>
      <c r="J811" s="27" t="s">
        <v>19</v>
      </c>
      <c r="K811" s="27" t="s">
        <v>333</v>
      </c>
      <c r="L811" s="27" t="s">
        <v>21</v>
      </c>
      <c r="M811" s="27" t="s">
        <v>22</v>
      </c>
      <c r="N811" s="40" t="s">
        <v>33</v>
      </c>
      <c r="O811" s="27" t="s">
        <v>22</v>
      </c>
      <c r="P811" s="27" t="s">
        <v>22</v>
      </c>
      <c r="Q811" s="41"/>
      <c r="R811" s="40"/>
    </row>
    <row r="812" spans="1:18" ht="30" customHeight="1" x14ac:dyDescent="0.3">
      <c r="A812" s="26" t="str">
        <f t="shared" si="24"/>
        <v>2026서울여대</v>
      </c>
      <c r="B812" s="26">
        <f>COUNTIFS($A$4:A812,A812)</f>
        <v>6</v>
      </c>
      <c r="C812" s="26" t="str">
        <f t="shared" si="25"/>
        <v>2026서울여대6</v>
      </c>
      <c r="E812" s="39" t="s">
        <v>148</v>
      </c>
      <c r="F812" s="26" t="s">
        <v>17</v>
      </c>
      <c r="H812" s="27" t="s">
        <v>331</v>
      </c>
      <c r="I812" s="27">
        <v>2026</v>
      </c>
      <c r="J812" s="27" t="s">
        <v>19</v>
      </c>
      <c r="K812" s="27" t="s">
        <v>333</v>
      </c>
      <c r="L812" s="27" t="s">
        <v>24</v>
      </c>
      <c r="M812" s="27" t="s">
        <v>22</v>
      </c>
      <c r="N812" s="40" t="s">
        <v>33</v>
      </c>
      <c r="O812" s="27" t="s">
        <v>22</v>
      </c>
      <c r="P812" s="27" t="s">
        <v>22</v>
      </c>
      <c r="Q812" s="41"/>
      <c r="R812" s="40"/>
    </row>
    <row r="813" spans="1:18" ht="30" customHeight="1" x14ac:dyDescent="0.3">
      <c r="A813" s="26" t="str">
        <f t="shared" si="24"/>
        <v>2026서울여대</v>
      </c>
      <c r="B813" s="26">
        <f>COUNTIFS($A$4:A813,A813)</f>
        <v>7</v>
      </c>
      <c r="C813" s="26" t="str">
        <f t="shared" si="25"/>
        <v>2026서울여대7</v>
      </c>
      <c r="E813" s="39" t="s">
        <v>148</v>
      </c>
      <c r="F813" s="26" t="s">
        <v>17</v>
      </c>
      <c r="H813" s="27" t="s">
        <v>331</v>
      </c>
      <c r="I813" s="27">
        <v>2026</v>
      </c>
      <c r="J813" s="27" t="s">
        <v>19</v>
      </c>
      <c r="K813" s="27" t="s">
        <v>168</v>
      </c>
      <c r="L813" s="27" t="s">
        <v>24</v>
      </c>
      <c r="M813" s="27" t="s">
        <v>22</v>
      </c>
      <c r="N813" s="40" t="s">
        <v>33</v>
      </c>
      <c r="O813" s="27" t="s">
        <v>22</v>
      </c>
      <c r="P813" s="27" t="s">
        <v>22</v>
      </c>
      <c r="Q813" s="41"/>
      <c r="R813" s="40"/>
    </row>
    <row r="814" spans="1:18" ht="30" customHeight="1" x14ac:dyDescent="0.3">
      <c r="A814" s="26" t="str">
        <f t="shared" si="24"/>
        <v>2026서울여대</v>
      </c>
      <c r="B814" s="26">
        <f>COUNTIFS($A$4:A814,A814)</f>
        <v>8</v>
      </c>
      <c r="C814" s="26" t="str">
        <f t="shared" si="25"/>
        <v>2026서울여대8</v>
      </c>
      <c r="E814" s="39" t="s">
        <v>148</v>
      </c>
      <c r="F814" s="26" t="s">
        <v>17</v>
      </c>
      <c r="H814" s="27" t="s">
        <v>331</v>
      </c>
      <c r="I814" s="27">
        <v>2026</v>
      </c>
      <c r="J814" s="27" t="s">
        <v>50</v>
      </c>
      <c r="K814" s="27" t="s">
        <v>156</v>
      </c>
      <c r="L814" s="27" t="s">
        <v>21</v>
      </c>
      <c r="M814" s="27" t="s">
        <v>22</v>
      </c>
      <c r="N814" s="40" t="s">
        <v>33</v>
      </c>
      <c r="O814" s="27" t="s">
        <v>33</v>
      </c>
      <c r="P814" s="27" t="s">
        <v>33</v>
      </c>
      <c r="Q814" s="32" t="s">
        <v>72</v>
      </c>
      <c r="R814" s="40"/>
    </row>
    <row r="815" spans="1:18" ht="30" customHeight="1" x14ac:dyDescent="0.3">
      <c r="A815" s="26" t="str">
        <f t="shared" si="24"/>
        <v>2026서울여대</v>
      </c>
      <c r="B815" s="26">
        <f>COUNTIFS($A$4:A815,A815)</f>
        <v>9</v>
      </c>
      <c r="C815" s="26" t="str">
        <f t="shared" si="25"/>
        <v>2026서울여대9</v>
      </c>
      <c r="E815" s="39" t="s">
        <v>148</v>
      </c>
      <c r="F815" s="26" t="s">
        <v>17</v>
      </c>
      <c r="H815" s="27" t="s">
        <v>331</v>
      </c>
      <c r="I815" s="27">
        <v>2026</v>
      </c>
      <c r="J815" s="27" t="s">
        <v>50</v>
      </c>
      <c r="K815" s="27" t="s">
        <v>156</v>
      </c>
      <c r="L815" s="27" t="s">
        <v>24</v>
      </c>
      <c r="M815" s="27" t="s">
        <v>22</v>
      </c>
      <c r="N815" s="40" t="s">
        <v>33</v>
      </c>
      <c r="O815" s="27" t="s">
        <v>33</v>
      </c>
      <c r="P815" s="27" t="s">
        <v>33</v>
      </c>
      <c r="Q815" s="32" t="s">
        <v>72</v>
      </c>
      <c r="R815" s="40"/>
    </row>
    <row r="816" spans="1:18" ht="30" customHeight="1" x14ac:dyDescent="0.3">
      <c r="A816" s="26" t="str">
        <f t="shared" si="24"/>
        <v>2027서울여대</v>
      </c>
      <c r="B816" s="26">
        <f>COUNTIFS($A$4:A816,A816)</f>
        <v>1</v>
      </c>
      <c r="C816" s="26" t="str">
        <f t="shared" si="25"/>
        <v>2027서울여대1</v>
      </c>
      <c r="E816" s="39" t="s">
        <v>148</v>
      </c>
      <c r="F816" s="26" t="s">
        <v>17</v>
      </c>
      <c r="H816" s="27" t="s">
        <v>331</v>
      </c>
      <c r="I816" s="27">
        <v>2027</v>
      </c>
      <c r="J816" s="27" t="s">
        <v>38</v>
      </c>
      <c r="K816" s="27" t="s">
        <v>221</v>
      </c>
      <c r="L816" s="27" t="s">
        <v>21</v>
      </c>
      <c r="M816" s="27" t="s">
        <v>22</v>
      </c>
      <c r="N816" s="40" t="s">
        <v>307</v>
      </c>
      <c r="O816" s="27" t="s">
        <v>33</v>
      </c>
      <c r="P816" s="27" t="s">
        <v>33</v>
      </c>
      <c r="Q816" s="41"/>
      <c r="R816" s="40"/>
    </row>
    <row r="817" spans="1:18" ht="30" customHeight="1" x14ac:dyDescent="0.3">
      <c r="A817" s="26" t="str">
        <f t="shared" si="24"/>
        <v>2027서울여대</v>
      </c>
      <c r="B817" s="26">
        <f>COUNTIFS($A$4:A817,A817)</f>
        <v>2</v>
      </c>
      <c r="C817" s="26" t="str">
        <f t="shared" si="25"/>
        <v>2027서울여대2</v>
      </c>
      <c r="E817" s="39" t="s">
        <v>148</v>
      </c>
      <c r="F817" s="26" t="s">
        <v>17</v>
      </c>
      <c r="H817" s="27" t="s">
        <v>331</v>
      </c>
      <c r="I817" s="27">
        <v>2027</v>
      </c>
      <c r="J817" s="27" t="s">
        <v>38</v>
      </c>
      <c r="K817" s="27" t="s">
        <v>221</v>
      </c>
      <c r="L817" s="27" t="s">
        <v>24</v>
      </c>
      <c r="M817" s="27" t="s">
        <v>22</v>
      </c>
      <c r="N817" s="40" t="s">
        <v>307</v>
      </c>
      <c r="O817" s="27" t="s">
        <v>33</v>
      </c>
      <c r="P817" s="27" t="s">
        <v>33</v>
      </c>
      <c r="Q817" s="41"/>
      <c r="R817" s="40"/>
    </row>
    <row r="818" spans="1:18" ht="30" customHeight="1" x14ac:dyDescent="0.3">
      <c r="A818" s="26" t="str">
        <f t="shared" si="24"/>
        <v>2027서울여대</v>
      </c>
      <c r="B818" s="26">
        <f>COUNTIFS($A$4:A818,A818)</f>
        <v>3</v>
      </c>
      <c r="C818" s="26" t="str">
        <f t="shared" si="25"/>
        <v>2027서울여대3</v>
      </c>
      <c r="E818" s="39" t="s">
        <v>148</v>
      </c>
      <c r="F818" s="26" t="s">
        <v>17</v>
      </c>
      <c r="H818" s="27" t="s">
        <v>331</v>
      </c>
      <c r="I818" s="27">
        <v>2027</v>
      </c>
      <c r="J818" s="27" t="s">
        <v>19</v>
      </c>
      <c r="K818" s="27" t="s">
        <v>332</v>
      </c>
      <c r="L818" s="27" t="s">
        <v>21</v>
      </c>
      <c r="M818" s="27" t="s">
        <v>22</v>
      </c>
      <c r="N818" s="40" t="s">
        <v>33</v>
      </c>
      <c r="O818" s="27" t="s">
        <v>22</v>
      </c>
      <c r="P818" s="27" t="s">
        <v>22</v>
      </c>
      <c r="Q818" s="41"/>
      <c r="R818" s="40"/>
    </row>
    <row r="819" spans="1:18" ht="30" customHeight="1" x14ac:dyDescent="0.3">
      <c r="A819" s="26" t="str">
        <f t="shared" si="24"/>
        <v>2027서울여대</v>
      </c>
      <c r="B819" s="26">
        <f>COUNTIFS($A$4:A819,A819)</f>
        <v>4</v>
      </c>
      <c r="C819" s="26" t="str">
        <f t="shared" si="25"/>
        <v>2027서울여대4</v>
      </c>
      <c r="E819" s="39" t="s">
        <v>148</v>
      </c>
      <c r="F819" s="26" t="s">
        <v>17</v>
      </c>
      <c r="H819" s="27" t="s">
        <v>331</v>
      </c>
      <c r="I819" s="27">
        <v>2027</v>
      </c>
      <c r="J819" s="27" t="s">
        <v>19</v>
      </c>
      <c r="K819" s="27" t="s">
        <v>332</v>
      </c>
      <c r="L819" s="27" t="s">
        <v>24</v>
      </c>
      <c r="M819" s="27" t="s">
        <v>22</v>
      </c>
      <c r="N819" s="40" t="s">
        <v>33</v>
      </c>
      <c r="O819" s="27" t="s">
        <v>22</v>
      </c>
      <c r="P819" s="27" t="s">
        <v>22</v>
      </c>
      <c r="Q819" s="41"/>
      <c r="R819" s="40"/>
    </row>
    <row r="820" spans="1:18" ht="30" customHeight="1" x14ac:dyDescent="0.3">
      <c r="A820" s="26" t="str">
        <f t="shared" si="24"/>
        <v>2027서울여대</v>
      </c>
      <c r="B820" s="26">
        <f>COUNTIFS($A$4:A820,A820)</f>
        <v>5</v>
      </c>
      <c r="C820" s="26" t="str">
        <f t="shared" si="25"/>
        <v>2027서울여대5</v>
      </c>
      <c r="E820" s="39" t="s">
        <v>148</v>
      </c>
      <c r="F820" s="26" t="s">
        <v>17</v>
      </c>
      <c r="H820" s="27" t="s">
        <v>331</v>
      </c>
      <c r="I820" s="27">
        <v>2027</v>
      </c>
      <c r="J820" s="27" t="s">
        <v>19</v>
      </c>
      <c r="K820" s="27" t="s">
        <v>333</v>
      </c>
      <c r="L820" s="27" t="s">
        <v>21</v>
      </c>
      <c r="M820" s="27" t="s">
        <v>22</v>
      </c>
      <c r="N820" s="40" t="s">
        <v>33</v>
      </c>
      <c r="O820" s="27" t="s">
        <v>22</v>
      </c>
      <c r="P820" s="27" t="s">
        <v>22</v>
      </c>
      <c r="Q820" s="41"/>
      <c r="R820" s="40"/>
    </row>
    <row r="821" spans="1:18" ht="30" customHeight="1" x14ac:dyDescent="0.3">
      <c r="A821" s="26" t="str">
        <f t="shared" si="24"/>
        <v>2027서울여대</v>
      </c>
      <c r="B821" s="26">
        <f>COUNTIFS($A$4:A821,A821)</f>
        <v>6</v>
      </c>
      <c r="C821" s="26" t="str">
        <f t="shared" si="25"/>
        <v>2027서울여대6</v>
      </c>
      <c r="E821" s="39" t="s">
        <v>148</v>
      </c>
      <c r="F821" s="26" t="s">
        <v>17</v>
      </c>
      <c r="H821" s="27" t="s">
        <v>331</v>
      </c>
      <c r="I821" s="27">
        <v>2027</v>
      </c>
      <c r="J821" s="27" t="s">
        <v>19</v>
      </c>
      <c r="K821" s="27" t="s">
        <v>333</v>
      </c>
      <c r="L821" s="27" t="s">
        <v>24</v>
      </c>
      <c r="M821" s="27" t="s">
        <v>22</v>
      </c>
      <c r="N821" s="40" t="s">
        <v>33</v>
      </c>
      <c r="O821" s="27" t="s">
        <v>22</v>
      </c>
      <c r="P821" s="27" t="s">
        <v>22</v>
      </c>
      <c r="Q821" s="41"/>
      <c r="R821" s="40"/>
    </row>
    <row r="822" spans="1:18" ht="30" customHeight="1" x14ac:dyDescent="0.3">
      <c r="A822" s="26" t="str">
        <f t="shared" si="24"/>
        <v>2027서울여대</v>
      </c>
      <c r="B822" s="26">
        <f>COUNTIFS($A$4:A822,A822)</f>
        <v>7</v>
      </c>
      <c r="C822" s="26" t="str">
        <f t="shared" si="25"/>
        <v>2027서울여대7</v>
      </c>
      <c r="E822" s="39" t="s">
        <v>148</v>
      </c>
      <c r="F822" s="26" t="s">
        <v>17</v>
      </c>
      <c r="H822" s="27" t="s">
        <v>331</v>
      </c>
      <c r="I822" s="27">
        <v>2027</v>
      </c>
      <c r="J822" s="27" t="s">
        <v>19</v>
      </c>
      <c r="K822" s="27" t="s">
        <v>334</v>
      </c>
      <c r="L822" s="27" t="s">
        <v>24</v>
      </c>
      <c r="M822" s="27" t="s">
        <v>22</v>
      </c>
      <c r="N822" s="40" t="s">
        <v>33</v>
      </c>
      <c r="O822" s="27" t="s">
        <v>22</v>
      </c>
      <c r="P822" s="27" t="s">
        <v>22</v>
      </c>
      <c r="Q822" s="41"/>
      <c r="R822" s="40"/>
    </row>
    <row r="823" spans="1:18" ht="30" customHeight="1" x14ac:dyDescent="0.3">
      <c r="A823" s="26" t="str">
        <f t="shared" si="24"/>
        <v>2027서울여대</v>
      </c>
      <c r="B823" s="26">
        <f>COUNTIFS($A$4:A823,A823)</f>
        <v>8</v>
      </c>
      <c r="C823" s="26" t="str">
        <f t="shared" si="25"/>
        <v>2027서울여대8</v>
      </c>
      <c r="E823" s="39" t="s">
        <v>148</v>
      </c>
      <c r="F823" s="26" t="s">
        <v>17</v>
      </c>
      <c r="H823" s="27" t="s">
        <v>331</v>
      </c>
      <c r="I823" s="27">
        <v>2027</v>
      </c>
      <c r="J823" s="27" t="s">
        <v>50</v>
      </c>
      <c r="K823" s="27" t="s">
        <v>156</v>
      </c>
      <c r="L823" s="27" t="s">
        <v>21</v>
      </c>
      <c r="M823" s="27" t="s">
        <v>22</v>
      </c>
      <c r="N823" s="40" t="s">
        <v>33</v>
      </c>
      <c r="O823" s="27" t="s">
        <v>33</v>
      </c>
      <c r="P823" s="27" t="s">
        <v>33</v>
      </c>
      <c r="Q823" s="41"/>
      <c r="R823" s="40"/>
    </row>
    <row r="824" spans="1:18" ht="30" customHeight="1" x14ac:dyDescent="0.3">
      <c r="A824" s="26" t="str">
        <f t="shared" si="24"/>
        <v>2027서울여대</v>
      </c>
      <c r="B824" s="26">
        <f>COUNTIFS($A$4:A824,A824)</f>
        <v>9</v>
      </c>
      <c r="C824" s="26" t="str">
        <f t="shared" si="25"/>
        <v>2027서울여대9</v>
      </c>
      <c r="E824" s="39" t="s">
        <v>148</v>
      </c>
      <c r="F824" s="26" t="s">
        <v>17</v>
      </c>
      <c r="H824" s="27" t="s">
        <v>331</v>
      </c>
      <c r="I824" s="27">
        <v>2027</v>
      </c>
      <c r="J824" s="27" t="s">
        <v>50</v>
      </c>
      <c r="K824" s="27" t="s">
        <v>156</v>
      </c>
      <c r="L824" s="27" t="s">
        <v>24</v>
      </c>
      <c r="M824" s="27" t="s">
        <v>22</v>
      </c>
      <c r="N824" s="40" t="s">
        <v>33</v>
      </c>
      <c r="O824" s="27" t="s">
        <v>33</v>
      </c>
      <c r="P824" s="27" t="s">
        <v>33</v>
      </c>
      <c r="Q824" s="41"/>
      <c r="R824" s="40"/>
    </row>
    <row r="825" spans="1:18" ht="30" customHeight="1" x14ac:dyDescent="0.3">
      <c r="A825" s="26" t="str">
        <f t="shared" si="24"/>
        <v>2025동덕여대</v>
      </c>
      <c r="B825" s="26">
        <f>COUNTIFS($A$4:A825,A825)</f>
        <v>1</v>
      </c>
      <c r="C825" s="26" t="str">
        <f t="shared" si="25"/>
        <v>2025동덕여대1</v>
      </c>
      <c r="E825" s="39" t="s">
        <v>148</v>
      </c>
      <c r="F825" s="26" t="s">
        <v>17</v>
      </c>
      <c r="H825" s="27" t="s">
        <v>336</v>
      </c>
      <c r="I825" s="27">
        <v>2025</v>
      </c>
      <c r="J825" s="27" t="s">
        <v>290</v>
      </c>
      <c r="K825" s="27" t="s">
        <v>337</v>
      </c>
      <c r="L825" s="27" t="s">
        <v>94</v>
      </c>
      <c r="M825" s="27"/>
      <c r="N825" s="40" t="s">
        <v>307</v>
      </c>
      <c r="O825" s="27" t="s">
        <v>33</v>
      </c>
      <c r="P825" s="27" t="s">
        <v>33</v>
      </c>
      <c r="Q825" s="41"/>
      <c r="R825" s="40"/>
    </row>
    <row r="826" spans="1:18" ht="30" customHeight="1" x14ac:dyDescent="0.3">
      <c r="A826" s="26" t="str">
        <f t="shared" si="24"/>
        <v>2025동덕여대</v>
      </c>
      <c r="B826" s="26">
        <f>COUNTIFS($A$4:A826,A826)</f>
        <v>2</v>
      </c>
      <c r="C826" s="26" t="str">
        <f t="shared" si="25"/>
        <v>2025동덕여대2</v>
      </c>
      <c r="E826" s="39" t="s">
        <v>148</v>
      </c>
      <c r="F826" s="26" t="s">
        <v>17</v>
      </c>
      <c r="H826" s="27" t="s">
        <v>336</v>
      </c>
      <c r="I826" s="27">
        <v>2025</v>
      </c>
      <c r="J826" s="27" t="s">
        <v>290</v>
      </c>
      <c r="K826" s="27" t="s">
        <v>337</v>
      </c>
      <c r="L826" s="27" t="s">
        <v>95</v>
      </c>
      <c r="M826" s="27"/>
      <c r="N826" s="40" t="s">
        <v>307</v>
      </c>
      <c r="O826" s="27" t="s">
        <v>33</v>
      </c>
      <c r="P826" s="27" t="s">
        <v>33</v>
      </c>
      <c r="Q826" s="41"/>
      <c r="R826" s="40"/>
    </row>
    <row r="827" spans="1:18" ht="30" customHeight="1" x14ac:dyDescent="0.3">
      <c r="A827" s="26" t="str">
        <f t="shared" si="24"/>
        <v>2025동덕여대</v>
      </c>
      <c r="B827" s="26">
        <f>COUNTIFS($A$4:A827,A827)</f>
        <v>3</v>
      </c>
      <c r="C827" s="26" t="str">
        <f t="shared" si="25"/>
        <v>2025동덕여대3</v>
      </c>
      <c r="E827" s="39" t="s">
        <v>148</v>
      </c>
      <c r="F827" s="26" t="s">
        <v>17</v>
      </c>
      <c r="H827" s="27" t="s">
        <v>336</v>
      </c>
      <c r="I827" s="27">
        <v>2025</v>
      </c>
      <c r="J827" s="27" t="s">
        <v>290</v>
      </c>
      <c r="K827" s="27" t="s">
        <v>337</v>
      </c>
      <c r="L827" s="27" t="s">
        <v>95</v>
      </c>
      <c r="M827" s="27" t="s">
        <v>42</v>
      </c>
      <c r="N827" s="29" t="s">
        <v>338</v>
      </c>
      <c r="O827" s="27" t="s">
        <v>27</v>
      </c>
      <c r="P827" s="27" t="s">
        <v>28</v>
      </c>
      <c r="Q827" s="41"/>
      <c r="R827" s="40"/>
    </row>
    <row r="828" spans="1:18" ht="30" customHeight="1" x14ac:dyDescent="0.3">
      <c r="A828" s="26" t="str">
        <f t="shared" si="24"/>
        <v>2025동덕여대</v>
      </c>
      <c r="B828" s="26">
        <f>COUNTIFS($A$4:A828,A828)</f>
        <v>4</v>
      </c>
      <c r="C828" s="26" t="str">
        <f t="shared" si="25"/>
        <v>2025동덕여대4</v>
      </c>
      <c r="E828" s="39" t="s">
        <v>148</v>
      </c>
      <c r="F828" s="26" t="s">
        <v>17</v>
      </c>
      <c r="H828" s="27" t="s">
        <v>336</v>
      </c>
      <c r="I828" s="27">
        <v>2025</v>
      </c>
      <c r="J828" s="27" t="s">
        <v>273</v>
      </c>
      <c r="K828" s="27" t="s">
        <v>339</v>
      </c>
      <c r="L828" s="27" t="s">
        <v>94</v>
      </c>
      <c r="M828" s="27" t="s">
        <v>22</v>
      </c>
      <c r="N828" s="40" t="s">
        <v>22</v>
      </c>
      <c r="O828" s="27" t="s">
        <v>22</v>
      </c>
      <c r="P828" s="27" t="s">
        <v>22</v>
      </c>
      <c r="Q828" s="41"/>
      <c r="R828" s="40"/>
    </row>
    <row r="829" spans="1:18" ht="30" customHeight="1" x14ac:dyDescent="0.3">
      <c r="A829" s="26" t="str">
        <f t="shared" si="24"/>
        <v>2025동덕여대</v>
      </c>
      <c r="B829" s="26">
        <f>COUNTIFS($A$4:A829,A829)</f>
        <v>5</v>
      </c>
      <c r="C829" s="26" t="str">
        <f t="shared" si="25"/>
        <v>2025동덕여대5</v>
      </c>
      <c r="E829" s="39" t="s">
        <v>148</v>
      </c>
      <c r="F829" s="26" t="s">
        <v>17</v>
      </c>
      <c r="H829" s="27" t="s">
        <v>336</v>
      </c>
      <c r="I829" s="27">
        <v>2025</v>
      </c>
      <c r="J829" s="27" t="s">
        <v>273</v>
      </c>
      <c r="K829" s="27" t="s">
        <v>339</v>
      </c>
      <c r="L829" s="27" t="s">
        <v>95</v>
      </c>
      <c r="M829" s="27" t="s">
        <v>22</v>
      </c>
      <c r="N829" s="40" t="s">
        <v>22</v>
      </c>
      <c r="O829" s="27" t="s">
        <v>22</v>
      </c>
      <c r="P829" s="27" t="s">
        <v>22</v>
      </c>
      <c r="Q829" s="41"/>
      <c r="R829" s="40"/>
    </row>
    <row r="830" spans="1:18" ht="30" customHeight="1" x14ac:dyDescent="0.3">
      <c r="A830" s="26" t="str">
        <f t="shared" si="24"/>
        <v>2025동덕여대</v>
      </c>
      <c r="B830" s="26">
        <f>COUNTIFS($A$4:A830,A830)</f>
        <v>6</v>
      </c>
      <c r="C830" s="26" t="str">
        <f t="shared" si="25"/>
        <v>2025동덕여대6</v>
      </c>
      <c r="E830" s="39" t="s">
        <v>148</v>
      </c>
      <c r="F830" s="26" t="s">
        <v>17</v>
      </c>
      <c r="H830" s="27" t="s">
        <v>336</v>
      </c>
      <c r="I830" s="27">
        <v>2025</v>
      </c>
      <c r="J830" s="27" t="s">
        <v>273</v>
      </c>
      <c r="K830" s="27" t="s">
        <v>339</v>
      </c>
      <c r="L830" s="27" t="s">
        <v>95</v>
      </c>
      <c r="M830" s="27" t="s">
        <v>42</v>
      </c>
      <c r="N830" s="29" t="s">
        <v>338</v>
      </c>
      <c r="O830" s="27" t="s">
        <v>27</v>
      </c>
      <c r="P830" s="27" t="s">
        <v>28</v>
      </c>
      <c r="Q830" s="41"/>
      <c r="R830" s="40"/>
    </row>
    <row r="831" spans="1:18" ht="30" customHeight="1" x14ac:dyDescent="0.3">
      <c r="A831" s="26" t="str">
        <f t="shared" si="24"/>
        <v>2025동덕여대</v>
      </c>
      <c r="B831" s="26">
        <f>COUNTIFS($A$4:A831,A831)</f>
        <v>7</v>
      </c>
      <c r="C831" s="26" t="str">
        <f t="shared" si="25"/>
        <v>2025동덕여대7</v>
      </c>
      <c r="E831" s="39" t="s">
        <v>148</v>
      </c>
      <c r="F831" s="26" t="s">
        <v>17</v>
      </c>
      <c r="H831" s="27" t="s">
        <v>336</v>
      </c>
      <c r="I831" s="27">
        <v>2025</v>
      </c>
      <c r="J831" s="27" t="s">
        <v>237</v>
      </c>
      <c r="K831" s="27" t="s">
        <v>340</v>
      </c>
      <c r="L831" s="27" t="s">
        <v>94</v>
      </c>
      <c r="M831" s="27" t="s">
        <v>22</v>
      </c>
      <c r="N831" s="40" t="s">
        <v>307</v>
      </c>
      <c r="O831" s="27" t="s">
        <v>33</v>
      </c>
      <c r="P831" s="27" t="s">
        <v>33</v>
      </c>
      <c r="Q831" s="41"/>
      <c r="R831" s="40"/>
    </row>
    <row r="832" spans="1:18" ht="30" customHeight="1" x14ac:dyDescent="0.3">
      <c r="A832" s="26" t="str">
        <f t="shared" si="24"/>
        <v>2025동덕여대</v>
      </c>
      <c r="B832" s="26">
        <f>COUNTIFS($A$4:A832,A832)</f>
        <v>8</v>
      </c>
      <c r="C832" s="26" t="str">
        <f t="shared" si="25"/>
        <v>2025동덕여대8</v>
      </c>
      <c r="E832" s="39" t="s">
        <v>148</v>
      </c>
      <c r="F832" s="26" t="s">
        <v>17</v>
      </c>
      <c r="H832" s="27" t="s">
        <v>336</v>
      </c>
      <c r="I832" s="27">
        <v>2025</v>
      </c>
      <c r="J832" s="27" t="s">
        <v>237</v>
      </c>
      <c r="K832" s="27" t="s">
        <v>340</v>
      </c>
      <c r="L832" s="27" t="s">
        <v>95</v>
      </c>
      <c r="M832" s="27" t="s">
        <v>22</v>
      </c>
      <c r="N832" s="40" t="s">
        <v>307</v>
      </c>
      <c r="O832" s="27" t="s">
        <v>33</v>
      </c>
      <c r="P832" s="27" t="s">
        <v>33</v>
      </c>
      <c r="Q832" s="41"/>
      <c r="R832" s="40"/>
    </row>
    <row r="833" spans="1:18" ht="30" customHeight="1" x14ac:dyDescent="0.3">
      <c r="A833" s="26" t="str">
        <f t="shared" si="24"/>
        <v>2026동덕여대</v>
      </c>
      <c r="B833" s="26">
        <f>COUNTIFS($A$4:A833,A833)</f>
        <v>1</v>
      </c>
      <c r="C833" s="26" t="str">
        <f t="shared" si="25"/>
        <v>2026동덕여대1</v>
      </c>
      <c r="E833" s="39" t="s">
        <v>148</v>
      </c>
      <c r="F833" s="26" t="s">
        <v>17</v>
      </c>
      <c r="H833" s="27" t="s">
        <v>336</v>
      </c>
      <c r="I833" s="27">
        <v>2026</v>
      </c>
      <c r="J833" s="27" t="s">
        <v>290</v>
      </c>
      <c r="K833" s="27" t="s">
        <v>337</v>
      </c>
      <c r="L833" s="27" t="s">
        <v>94</v>
      </c>
      <c r="M833" s="27"/>
      <c r="N833" s="40" t="s">
        <v>307</v>
      </c>
      <c r="O833" s="27" t="s">
        <v>33</v>
      </c>
      <c r="P833" s="27" t="s">
        <v>33</v>
      </c>
      <c r="Q833" s="41"/>
      <c r="R833" s="40"/>
    </row>
    <row r="834" spans="1:18" ht="30" customHeight="1" x14ac:dyDescent="0.3">
      <c r="A834" s="26" t="str">
        <f t="shared" si="24"/>
        <v>2026동덕여대</v>
      </c>
      <c r="B834" s="26">
        <f>COUNTIFS($A$4:A834,A834)</f>
        <v>2</v>
      </c>
      <c r="C834" s="26" t="str">
        <f t="shared" si="25"/>
        <v>2026동덕여대2</v>
      </c>
      <c r="E834" s="39" t="s">
        <v>148</v>
      </c>
      <c r="F834" s="26" t="s">
        <v>17</v>
      </c>
      <c r="H834" s="27" t="s">
        <v>336</v>
      </c>
      <c r="I834" s="27">
        <v>2026</v>
      </c>
      <c r="J834" s="27" t="s">
        <v>290</v>
      </c>
      <c r="K834" s="27" t="s">
        <v>337</v>
      </c>
      <c r="L834" s="27" t="s">
        <v>95</v>
      </c>
      <c r="M834" s="27"/>
      <c r="N834" s="40" t="s">
        <v>307</v>
      </c>
      <c r="O834" s="27" t="s">
        <v>33</v>
      </c>
      <c r="P834" s="27" t="s">
        <v>33</v>
      </c>
      <c r="Q834" s="41"/>
      <c r="R834" s="40"/>
    </row>
    <row r="835" spans="1:18" ht="30" customHeight="1" x14ac:dyDescent="0.3">
      <c r="A835" s="26" t="str">
        <f t="shared" si="24"/>
        <v>2026동덕여대</v>
      </c>
      <c r="B835" s="26">
        <f>COUNTIFS($A$4:A835,A835)</f>
        <v>3</v>
      </c>
      <c r="C835" s="26" t="str">
        <f t="shared" si="25"/>
        <v>2026동덕여대3</v>
      </c>
      <c r="E835" s="39" t="s">
        <v>148</v>
      </c>
      <c r="F835" s="26" t="s">
        <v>17</v>
      </c>
      <c r="H835" s="27" t="s">
        <v>336</v>
      </c>
      <c r="I835" s="27">
        <v>2026</v>
      </c>
      <c r="J835" s="27" t="s">
        <v>290</v>
      </c>
      <c r="K835" s="27" t="s">
        <v>337</v>
      </c>
      <c r="L835" s="27" t="s">
        <v>95</v>
      </c>
      <c r="M835" s="27" t="s">
        <v>42</v>
      </c>
      <c r="N835" s="29" t="s">
        <v>338</v>
      </c>
      <c r="O835" s="27" t="s">
        <v>27</v>
      </c>
      <c r="P835" s="27" t="s">
        <v>28</v>
      </c>
      <c r="Q835" s="41"/>
      <c r="R835" s="40"/>
    </row>
    <row r="836" spans="1:18" ht="30" customHeight="1" x14ac:dyDescent="0.3">
      <c r="A836" s="26" t="str">
        <f t="shared" si="24"/>
        <v>2026동덕여대</v>
      </c>
      <c r="B836" s="26">
        <f>COUNTIFS($A$4:A836,A836)</f>
        <v>4</v>
      </c>
      <c r="C836" s="26" t="str">
        <f t="shared" si="25"/>
        <v>2026동덕여대4</v>
      </c>
      <c r="E836" s="39" t="s">
        <v>148</v>
      </c>
      <c r="F836" s="26" t="s">
        <v>17</v>
      </c>
      <c r="H836" s="27" t="s">
        <v>336</v>
      </c>
      <c r="I836" s="27">
        <v>2026</v>
      </c>
      <c r="J836" s="27" t="s">
        <v>273</v>
      </c>
      <c r="K836" s="27" t="s">
        <v>339</v>
      </c>
      <c r="L836" s="27" t="s">
        <v>94</v>
      </c>
      <c r="M836" s="27" t="s">
        <v>22</v>
      </c>
      <c r="N836" s="40" t="s">
        <v>22</v>
      </c>
      <c r="O836" s="27" t="s">
        <v>22</v>
      </c>
      <c r="P836" s="27" t="s">
        <v>22</v>
      </c>
      <c r="Q836" s="41"/>
      <c r="R836" s="40"/>
    </row>
    <row r="837" spans="1:18" ht="30" customHeight="1" x14ac:dyDescent="0.3">
      <c r="A837" s="26" t="str">
        <f t="shared" si="24"/>
        <v>2026동덕여대</v>
      </c>
      <c r="B837" s="26">
        <f>COUNTIFS($A$4:A837,A837)</f>
        <v>5</v>
      </c>
      <c r="C837" s="26" t="str">
        <f t="shared" si="25"/>
        <v>2026동덕여대5</v>
      </c>
      <c r="E837" s="39" t="s">
        <v>148</v>
      </c>
      <c r="F837" s="26" t="s">
        <v>17</v>
      </c>
      <c r="H837" s="27" t="s">
        <v>336</v>
      </c>
      <c r="I837" s="27">
        <v>2026</v>
      </c>
      <c r="J837" s="27" t="s">
        <v>273</v>
      </c>
      <c r="K837" s="27" t="s">
        <v>339</v>
      </c>
      <c r="L837" s="27" t="s">
        <v>95</v>
      </c>
      <c r="M837" s="27" t="s">
        <v>22</v>
      </c>
      <c r="N837" s="40" t="s">
        <v>22</v>
      </c>
      <c r="O837" s="27" t="s">
        <v>22</v>
      </c>
      <c r="P837" s="27" t="s">
        <v>22</v>
      </c>
      <c r="Q837" s="41"/>
      <c r="R837" s="40"/>
    </row>
    <row r="838" spans="1:18" ht="30" customHeight="1" x14ac:dyDescent="0.3">
      <c r="A838" s="26" t="str">
        <f t="shared" si="24"/>
        <v>2026동덕여대</v>
      </c>
      <c r="B838" s="26">
        <f>COUNTIFS($A$4:A838,A838)</f>
        <v>6</v>
      </c>
      <c r="C838" s="26" t="str">
        <f t="shared" si="25"/>
        <v>2026동덕여대6</v>
      </c>
      <c r="E838" s="39" t="s">
        <v>148</v>
      </c>
      <c r="F838" s="26" t="s">
        <v>17</v>
      </c>
      <c r="H838" s="27" t="s">
        <v>336</v>
      </c>
      <c r="I838" s="27">
        <v>2026</v>
      </c>
      <c r="J838" s="27" t="s">
        <v>273</v>
      </c>
      <c r="K838" s="27" t="s">
        <v>339</v>
      </c>
      <c r="L838" s="27" t="s">
        <v>95</v>
      </c>
      <c r="M838" s="27" t="s">
        <v>42</v>
      </c>
      <c r="N838" s="29" t="s">
        <v>338</v>
      </c>
      <c r="O838" s="27" t="s">
        <v>27</v>
      </c>
      <c r="P838" s="27" t="s">
        <v>28</v>
      </c>
      <c r="Q838" s="41"/>
      <c r="R838" s="40"/>
    </row>
    <row r="839" spans="1:18" ht="30" customHeight="1" x14ac:dyDescent="0.3">
      <c r="A839" s="26" t="str">
        <f t="shared" ref="A839:A905" si="26">I839&amp;H839</f>
        <v>2026동덕여대</v>
      </c>
      <c r="B839" s="26">
        <f>COUNTIFS($A$4:A839,A839)</f>
        <v>7</v>
      </c>
      <c r="C839" s="26" t="str">
        <f t="shared" ref="C839:C905" si="27">A839&amp;B839</f>
        <v>2026동덕여대7</v>
      </c>
      <c r="E839" s="39" t="s">
        <v>148</v>
      </c>
      <c r="F839" s="26" t="s">
        <v>17</v>
      </c>
      <c r="H839" s="27" t="s">
        <v>336</v>
      </c>
      <c r="I839" s="27">
        <v>2026</v>
      </c>
      <c r="J839" s="27" t="s">
        <v>237</v>
      </c>
      <c r="K839" s="27" t="s">
        <v>340</v>
      </c>
      <c r="L839" s="27" t="s">
        <v>94</v>
      </c>
      <c r="M839" s="27" t="s">
        <v>22</v>
      </c>
      <c r="N839" s="40" t="s">
        <v>307</v>
      </c>
      <c r="O839" s="27" t="s">
        <v>33</v>
      </c>
      <c r="P839" s="27" t="s">
        <v>33</v>
      </c>
      <c r="Q839" s="41"/>
      <c r="R839" s="40"/>
    </row>
    <row r="840" spans="1:18" ht="30" customHeight="1" x14ac:dyDescent="0.3">
      <c r="A840" s="26" t="str">
        <f t="shared" si="26"/>
        <v>2026동덕여대</v>
      </c>
      <c r="B840" s="26">
        <f>COUNTIFS($A$4:A840,A840)</f>
        <v>8</v>
      </c>
      <c r="C840" s="26" t="str">
        <f t="shared" si="27"/>
        <v>2026동덕여대8</v>
      </c>
      <c r="E840" s="39" t="s">
        <v>148</v>
      </c>
      <c r="F840" s="26" t="s">
        <v>17</v>
      </c>
      <c r="H840" s="27" t="s">
        <v>336</v>
      </c>
      <c r="I840" s="27">
        <v>2026</v>
      </c>
      <c r="J840" s="27" t="s">
        <v>237</v>
      </c>
      <c r="K840" s="27" t="s">
        <v>340</v>
      </c>
      <c r="L840" s="27" t="s">
        <v>95</v>
      </c>
      <c r="M840" s="27" t="s">
        <v>22</v>
      </c>
      <c r="N840" s="40" t="s">
        <v>307</v>
      </c>
      <c r="O840" s="27" t="s">
        <v>33</v>
      </c>
      <c r="P840" s="27" t="s">
        <v>33</v>
      </c>
      <c r="Q840" s="41"/>
      <c r="R840" s="40"/>
    </row>
    <row r="841" spans="1:18" ht="30" customHeight="1" x14ac:dyDescent="0.3">
      <c r="A841" s="26" t="str">
        <f t="shared" si="26"/>
        <v>2027동덕여대</v>
      </c>
      <c r="B841" s="26">
        <f>COUNTIFS($A$4:A841,A841)</f>
        <v>1</v>
      </c>
      <c r="C841" s="26" t="str">
        <f t="shared" si="27"/>
        <v>2027동덕여대1</v>
      </c>
      <c r="E841" s="39" t="s">
        <v>148</v>
      </c>
      <c r="F841" s="26" t="s">
        <v>17</v>
      </c>
      <c r="H841" s="27" t="s">
        <v>336</v>
      </c>
      <c r="I841" s="27">
        <v>2027</v>
      </c>
      <c r="J841" s="27" t="s">
        <v>290</v>
      </c>
      <c r="K841" s="27" t="s">
        <v>337</v>
      </c>
      <c r="L841" s="27" t="s">
        <v>94</v>
      </c>
      <c r="M841" s="27"/>
      <c r="N841" s="40" t="s">
        <v>169</v>
      </c>
      <c r="O841" s="27" t="s">
        <v>33</v>
      </c>
      <c r="P841" s="27" t="s">
        <v>33</v>
      </c>
      <c r="Q841" s="32" t="s">
        <v>170</v>
      </c>
      <c r="R841" s="40"/>
    </row>
    <row r="842" spans="1:18" ht="30" customHeight="1" x14ac:dyDescent="0.3">
      <c r="A842" s="26" t="str">
        <f t="shared" si="26"/>
        <v>2027동덕여대</v>
      </c>
      <c r="B842" s="26">
        <f>COUNTIFS($A$4:A842,A842)</f>
        <v>2</v>
      </c>
      <c r="C842" s="26" t="str">
        <f t="shared" si="27"/>
        <v>2027동덕여대2</v>
      </c>
      <c r="E842" s="39" t="s">
        <v>148</v>
      </c>
      <c r="F842" s="26" t="s">
        <v>17</v>
      </c>
      <c r="H842" s="27" t="s">
        <v>336</v>
      </c>
      <c r="I842" s="27">
        <v>2027</v>
      </c>
      <c r="J842" s="27" t="s">
        <v>290</v>
      </c>
      <c r="K842" s="27" t="s">
        <v>337</v>
      </c>
      <c r="L842" s="27" t="s">
        <v>95</v>
      </c>
      <c r="M842" s="27"/>
      <c r="N842" s="40" t="s">
        <v>169</v>
      </c>
      <c r="O842" s="27" t="s">
        <v>33</v>
      </c>
      <c r="P842" s="27" t="s">
        <v>33</v>
      </c>
      <c r="Q842" s="32" t="s">
        <v>170</v>
      </c>
      <c r="R842" s="40"/>
    </row>
    <row r="843" spans="1:18" ht="30" customHeight="1" x14ac:dyDescent="0.3">
      <c r="A843" s="26" t="str">
        <f t="shared" si="26"/>
        <v>2027동덕여대</v>
      </c>
      <c r="B843" s="26">
        <f>COUNTIFS($A$4:A843,A843)</f>
        <v>3</v>
      </c>
      <c r="C843" s="26" t="str">
        <f t="shared" si="27"/>
        <v>2027동덕여대3</v>
      </c>
      <c r="E843" s="39" t="s">
        <v>148</v>
      </c>
      <c r="F843" s="26" t="s">
        <v>17</v>
      </c>
      <c r="H843" s="27" t="s">
        <v>336</v>
      </c>
      <c r="I843" s="27">
        <v>2027</v>
      </c>
      <c r="J843" s="27" t="s">
        <v>290</v>
      </c>
      <c r="K843" s="27" t="s">
        <v>337</v>
      </c>
      <c r="L843" s="27" t="s">
        <v>95</v>
      </c>
      <c r="M843" s="27" t="s">
        <v>42</v>
      </c>
      <c r="N843" s="29" t="s">
        <v>338</v>
      </c>
      <c r="O843" s="27" t="s">
        <v>27</v>
      </c>
      <c r="P843" s="27" t="s">
        <v>28</v>
      </c>
      <c r="Q843" s="41"/>
      <c r="R843" s="40"/>
    </row>
    <row r="844" spans="1:18" ht="30" customHeight="1" x14ac:dyDescent="0.3">
      <c r="A844" s="26" t="str">
        <f t="shared" si="26"/>
        <v>2027동덕여대</v>
      </c>
      <c r="B844" s="26">
        <f>COUNTIFS($A$4:A844,A844)</f>
        <v>4</v>
      </c>
      <c r="C844" s="26" t="str">
        <f t="shared" si="27"/>
        <v>2027동덕여대4</v>
      </c>
      <c r="E844" s="39" t="s">
        <v>148</v>
      </c>
      <c r="F844" s="26" t="s">
        <v>17</v>
      </c>
      <c r="H844" s="27" t="s">
        <v>336</v>
      </c>
      <c r="I844" s="27">
        <v>2027</v>
      </c>
      <c r="J844" s="27" t="s">
        <v>273</v>
      </c>
      <c r="K844" s="27" t="s">
        <v>339</v>
      </c>
      <c r="L844" s="27" t="s">
        <v>94</v>
      </c>
      <c r="M844" s="27" t="s">
        <v>22</v>
      </c>
      <c r="N844" s="40" t="s">
        <v>22</v>
      </c>
      <c r="O844" s="27" t="s">
        <v>22</v>
      </c>
      <c r="P844" s="27" t="s">
        <v>22</v>
      </c>
      <c r="Q844" s="41"/>
      <c r="R844" s="40"/>
    </row>
    <row r="845" spans="1:18" ht="30" customHeight="1" x14ac:dyDescent="0.3">
      <c r="A845" s="26" t="str">
        <f t="shared" si="26"/>
        <v>2027동덕여대</v>
      </c>
      <c r="B845" s="26">
        <f>COUNTIFS($A$4:A845,A845)</f>
        <v>5</v>
      </c>
      <c r="C845" s="26" t="str">
        <f t="shared" si="27"/>
        <v>2027동덕여대5</v>
      </c>
      <c r="E845" s="39" t="s">
        <v>148</v>
      </c>
      <c r="F845" s="26" t="s">
        <v>17</v>
      </c>
      <c r="H845" s="27" t="s">
        <v>336</v>
      </c>
      <c r="I845" s="27">
        <v>2027</v>
      </c>
      <c r="J845" s="27" t="s">
        <v>273</v>
      </c>
      <c r="K845" s="27" t="s">
        <v>339</v>
      </c>
      <c r="L845" s="27" t="s">
        <v>95</v>
      </c>
      <c r="M845" s="27" t="s">
        <v>22</v>
      </c>
      <c r="N845" s="40" t="s">
        <v>22</v>
      </c>
      <c r="O845" s="27" t="s">
        <v>22</v>
      </c>
      <c r="P845" s="27" t="s">
        <v>22</v>
      </c>
      <c r="Q845" s="41"/>
      <c r="R845" s="40"/>
    </row>
    <row r="846" spans="1:18" ht="30" customHeight="1" x14ac:dyDescent="0.3">
      <c r="A846" s="26" t="str">
        <f t="shared" si="26"/>
        <v>2027동덕여대</v>
      </c>
      <c r="B846" s="26">
        <f>COUNTIFS($A$4:A846,A846)</f>
        <v>6</v>
      </c>
      <c r="C846" s="26" t="str">
        <f t="shared" si="27"/>
        <v>2027동덕여대6</v>
      </c>
      <c r="E846" s="39" t="s">
        <v>148</v>
      </c>
      <c r="F846" s="26" t="s">
        <v>17</v>
      </c>
      <c r="H846" s="27" t="s">
        <v>336</v>
      </c>
      <c r="I846" s="27">
        <v>2027</v>
      </c>
      <c r="J846" s="27" t="s">
        <v>273</v>
      </c>
      <c r="K846" s="27" t="s">
        <v>339</v>
      </c>
      <c r="L846" s="27" t="s">
        <v>95</v>
      </c>
      <c r="M846" s="27" t="s">
        <v>42</v>
      </c>
      <c r="N846" s="29" t="s">
        <v>338</v>
      </c>
      <c r="O846" s="27" t="s">
        <v>27</v>
      </c>
      <c r="P846" s="27" t="s">
        <v>28</v>
      </c>
      <c r="Q846" s="41"/>
      <c r="R846" s="40"/>
    </row>
    <row r="847" spans="1:18" ht="30" customHeight="1" x14ac:dyDescent="0.3">
      <c r="A847" s="26" t="str">
        <f t="shared" si="26"/>
        <v>2027동덕여대</v>
      </c>
      <c r="B847" s="26">
        <f>COUNTIFS($A$4:A847,A847)</f>
        <v>7</v>
      </c>
      <c r="C847" s="26" t="str">
        <f t="shared" si="27"/>
        <v>2027동덕여대7</v>
      </c>
      <c r="E847" s="39" t="s">
        <v>148</v>
      </c>
      <c r="F847" s="26" t="s">
        <v>17</v>
      </c>
      <c r="H847" s="27" t="s">
        <v>336</v>
      </c>
      <c r="I847" s="27">
        <v>2027</v>
      </c>
      <c r="J847" s="27" t="s">
        <v>237</v>
      </c>
      <c r="K847" s="27" t="s">
        <v>340</v>
      </c>
      <c r="L847" s="27" t="s">
        <v>94</v>
      </c>
      <c r="M847" s="27" t="s">
        <v>22</v>
      </c>
      <c r="N847" s="40" t="s">
        <v>169</v>
      </c>
      <c r="O847" s="27" t="s">
        <v>33</v>
      </c>
      <c r="P847" s="27" t="s">
        <v>33</v>
      </c>
      <c r="Q847" s="32" t="s">
        <v>170</v>
      </c>
      <c r="R847" s="40"/>
    </row>
    <row r="848" spans="1:18" ht="30" customHeight="1" x14ac:dyDescent="0.3">
      <c r="A848" s="26" t="str">
        <f t="shared" si="26"/>
        <v>2027동덕여대</v>
      </c>
      <c r="B848" s="26">
        <f>COUNTIFS($A$4:A848,A848)</f>
        <v>8</v>
      </c>
      <c r="C848" s="26" t="str">
        <f t="shared" si="27"/>
        <v>2027동덕여대8</v>
      </c>
      <c r="E848" s="39" t="s">
        <v>148</v>
      </c>
      <c r="F848" s="26" t="s">
        <v>17</v>
      </c>
      <c r="H848" s="27" t="s">
        <v>336</v>
      </c>
      <c r="I848" s="27">
        <v>2027</v>
      </c>
      <c r="J848" s="27" t="s">
        <v>237</v>
      </c>
      <c r="K848" s="27" t="s">
        <v>340</v>
      </c>
      <c r="L848" s="27" t="s">
        <v>95</v>
      </c>
      <c r="M848" s="27" t="s">
        <v>22</v>
      </c>
      <c r="N848" s="40" t="s">
        <v>169</v>
      </c>
      <c r="O848" s="27" t="s">
        <v>33</v>
      </c>
      <c r="P848" s="27" t="s">
        <v>33</v>
      </c>
      <c r="Q848" s="32" t="s">
        <v>170</v>
      </c>
      <c r="R848" s="40"/>
    </row>
    <row r="849" spans="1:18" ht="30" customHeight="1" x14ac:dyDescent="0.3">
      <c r="A849" s="26" t="str">
        <f t="shared" si="26"/>
        <v>2025덕성여대</v>
      </c>
      <c r="B849" s="26">
        <f>COUNTIFS($A$4:A849,A849)</f>
        <v>1</v>
      </c>
      <c r="C849" s="26" t="str">
        <f t="shared" si="27"/>
        <v>2025덕성여대1</v>
      </c>
      <c r="E849" s="39" t="s">
        <v>148</v>
      </c>
      <c r="F849" s="26" t="s">
        <v>17</v>
      </c>
      <c r="H849" s="27" t="s">
        <v>341</v>
      </c>
      <c r="I849" s="27">
        <v>2025</v>
      </c>
      <c r="J849" s="27" t="s">
        <v>38</v>
      </c>
      <c r="K849" s="27" t="s">
        <v>342</v>
      </c>
      <c r="L849" s="27" t="s">
        <v>21</v>
      </c>
      <c r="M849" s="27" t="s">
        <v>22</v>
      </c>
      <c r="N849" s="40" t="s">
        <v>307</v>
      </c>
      <c r="O849" s="27" t="s">
        <v>33</v>
      </c>
      <c r="P849" s="27" t="s">
        <v>33</v>
      </c>
      <c r="Q849" s="41"/>
      <c r="R849" s="40"/>
    </row>
    <row r="850" spans="1:18" ht="30" customHeight="1" x14ac:dyDescent="0.3">
      <c r="A850" s="26" t="str">
        <f t="shared" si="26"/>
        <v>2025덕성여대</v>
      </c>
      <c r="B850" s="26">
        <f>COUNTIFS($A$4:A850,A850)</f>
        <v>2</v>
      </c>
      <c r="C850" s="26" t="str">
        <f t="shared" si="27"/>
        <v>2025덕성여대2</v>
      </c>
      <c r="E850" s="39" t="s">
        <v>148</v>
      </c>
      <c r="F850" s="26" t="s">
        <v>76</v>
      </c>
      <c r="H850" s="27" t="s">
        <v>341</v>
      </c>
      <c r="I850" s="27">
        <v>2025</v>
      </c>
      <c r="J850" s="27" t="s">
        <v>38</v>
      </c>
      <c r="K850" s="27" t="s">
        <v>342</v>
      </c>
      <c r="L850" s="27" t="s">
        <v>24</v>
      </c>
      <c r="M850" s="27" t="s">
        <v>22</v>
      </c>
      <c r="N850" s="40" t="s">
        <v>307</v>
      </c>
      <c r="O850" s="27" t="s">
        <v>33</v>
      </c>
      <c r="P850" s="27" t="s">
        <v>33</v>
      </c>
      <c r="Q850" s="41"/>
      <c r="R850" s="40"/>
    </row>
    <row r="851" spans="1:18" ht="30" customHeight="1" x14ac:dyDescent="0.3">
      <c r="A851" s="26" t="str">
        <f t="shared" si="26"/>
        <v>2025덕성여대</v>
      </c>
      <c r="B851" s="26">
        <f>COUNTIFS($A$4:A851,A851)</f>
        <v>3</v>
      </c>
      <c r="C851" s="26" t="str">
        <f t="shared" si="27"/>
        <v>2025덕성여대3</v>
      </c>
      <c r="E851" s="39" t="s">
        <v>148</v>
      </c>
      <c r="F851" s="26" t="s">
        <v>76</v>
      </c>
      <c r="H851" s="27" t="s">
        <v>341</v>
      </c>
      <c r="I851" s="27">
        <v>2025</v>
      </c>
      <c r="J851" s="27" t="s">
        <v>38</v>
      </c>
      <c r="K851" s="27" t="s">
        <v>342</v>
      </c>
      <c r="L851" s="27" t="s">
        <v>24</v>
      </c>
      <c r="M851" s="27" t="s">
        <v>42</v>
      </c>
      <c r="N851" s="29" t="s">
        <v>343</v>
      </c>
      <c r="O851" s="27" t="s">
        <v>217</v>
      </c>
      <c r="P851" s="27" t="s">
        <v>55</v>
      </c>
      <c r="Q851" s="41"/>
      <c r="R851" s="40"/>
    </row>
    <row r="852" spans="1:18" ht="30" customHeight="1" x14ac:dyDescent="0.3">
      <c r="A852" s="26" t="str">
        <f t="shared" si="26"/>
        <v>2025덕성여대</v>
      </c>
      <c r="B852" s="26">
        <f>COUNTIFS($A$4:A852,A852)</f>
        <v>4</v>
      </c>
      <c r="C852" s="26" t="str">
        <f t="shared" si="27"/>
        <v>2025덕성여대4</v>
      </c>
      <c r="E852" s="39" t="s">
        <v>148</v>
      </c>
      <c r="F852" s="26" t="s">
        <v>76</v>
      </c>
      <c r="H852" s="27" t="s">
        <v>341</v>
      </c>
      <c r="I852" s="27">
        <v>2025</v>
      </c>
      <c r="J852" s="27" t="s">
        <v>38</v>
      </c>
      <c r="K852" s="27" t="s">
        <v>183</v>
      </c>
      <c r="L852" s="27" t="s">
        <v>21</v>
      </c>
      <c r="M852" s="27" t="s">
        <v>22</v>
      </c>
      <c r="N852" s="40" t="s">
        <v>33</v>
      </c>
      <c r="O852" s="27" t="s">
        <v>33</v>
      </c>
      <c r="P852" s="27" t="s">
        <v>33</v>
      </c>
      <c r="Q852" s="41"/>
      <c r="R852" s="40"/>
    </row>
    <row r="853" spans="1:18" ht="30" customHeight="1" x14ac:dyDescent="0.3">
      <c r="A853" s="26" t="str">
        <f t="shared" si="26"/>
        <v>2025덕성여대</v>
      </c>
      <c r="B853" s="26">
        <f>COUNTIFS($A$4:A853,A853)</f>
        <v>5</v>
      </c>
      <c r="C853" s="26" t="str">
        <f t="shared" si="27"/>
        <v>2025덕성여대5</v>
      </c>
      <c r="E853" s="39" t="s">
        <v>148</v>
      </c>
      <c r="F853" s="26" t="s">
        <v>76</v>
      </c>
      <c r="H853" s="27" t="s">
        <v>341</v>
      </c>
      <c r="I853" s="27">
        <v>2025</v>
      </c>
      <c r="J853" s="27" t="s">
        <v>38</v>
      </c>
      <c r="K853" s="27" t="s">
        <v>183</v>
      </c>
      <c r="L853" s="27" t="s">
        <v>24</v>
      </c>
      <c r="M853" s="27" t="s">
        <v>22</v>
      </c>
      <c r="N853" s="40" t="s">
        <v>33</v>
      </c>
      <c r="O853" s="27" t="s">
        <v>33</v>
      </c>
      <c r="P853" s="27" t="s">
        <v>33</v>
      </c>
      <c r="Q853" s="41"/>
      <c r="R853" s="40"/>
    </row>
    <row r="854" spans="1:18" ht="30" customHeight="1" x14ac:dyDescent="0.3">
      <c r="A854" s="26" t="str">
        <f t="shared" si="26"/>
        <v>2025덕성여대</v>
      </c>
      <c r="B854" s="26">
        <f>COUNTIFS($A$4:A854,A854)</f>
        <v>6</v>
      </c>
      <c r="C854" s="26" t="str">
        <f t="shared" si="27"/>
        <v>2025덕성여대6</v>
      </c>
      <c r="E854" s="39" t="s">
        <v>148</v>
      </c>
      <c r="F854" s="26" t="s">
        <v>76</v>
      </c>
      <c r="H854" s="27" t="s">
        <v>341</v>
      </c>
      <c r="I854" s="27">
        <v>2025</v>
      </c>
      <c r="J854" s="27" t="s">
        <v>19</v>
      </c>
      <c r="K854" s="27" t="s">
        <v>344</v>
      </c>
      <c r="L854" s="27" t="s">
        <v>21</v>
      </c>
      <c r="M854" s="27" t="s">
        <v>22</v>
      </c>
      <c r="N854" s="40" t="s">
        <v>33</v>
      </c>
      <c r="O854" s="27" t="s">
        <v>33</v>
      </c>
      <c r="P854" s="27" t="s">
        <v>33</v>
      </c>
      <c r="Q854" s="41"/>
      <c r="R854" s="40"/>
    </row>
    <row r="855" spans="1:18" ht="30" customHeight="1" x14ac:dyDescent="0.3">
      <c r="A855" s="26" t="str">
        <f t="shared" si="26"/>
        <v>2025덕성여대</v>
      </c>
      <c r="B855" s="26">
        <f>COUNTIFS($A$4:A855,A855)</f>
        <v>7</v>
      </c>
      <c r="C855" s="26" t="str">
        <f t="shared" si="27"/>
        <v>2025덕성여대7</v>
      </c>
      <c r="E855" s="39" t="s">
        <v>148</v>
      </c>
      <c r="F855" s="26" t="s">
        <v>76</v>
      </c>
      <c r="H855" s="27" t="s">
        <v>341</v>
      </c>
      <c r="I855" s="27">
        <v>2025</v>
      </c>
      <c r="J855" s="27" t="s">
        <v>19</v>
      </c>
      <c r="K855" s="27" t="s">
        <v>344</v>
      </c>
      <c r="L855" s="27" t="s">
        <v>24</v>
      </c>
      <c r="M855" s="27" t="s">
        <v>22</v>
      </c>
      <c r="N855" s="40" t="s">
        <v>33</v>
      </c>
      <c r="O855" s="27" t="s">
        <v>33</v>
      </c>
      <c r="P855" s="27" t="s">
        <v>33</v>
      </c>
      <c r="Q855" s="41"/>
      <c r="R855" s="40"/>
    </row>
    <row r="856" spans="1:18" ht="30" customHeight="1" x14ac:dyDescent="0.3">
      <c r="A856" s="26" t="str">
        <f t="shared" si="26"/>
        <v>2025덕성여대</v>
      </c>
      <c r="B856" s="26">
        <f>COUNTIFS($A$4:A856,A856)</f>
        <v>8</v>
      </c>
      <c r="C856" s="26" t="str">
        <f t="shared" si="27"/>
        <v>2025덕성여대8</v>
      </c>
      <c r="E856" s="39" t="s">
        <v>148</v>
      </c>
      <c r="F856" s="26" t="s">
        <v>76</v>
      </c>
      <c r="H856" s="27" t="s">
        <v>341</v>
      </c>
      <c r="I856" s="27">
        <v>2025</v>
      </c>
      <c r="J856" s="27" t="s">
        <v>19</v>
      </c>
      <c r="K856" s="27" t="s">
        <v>345</v>
      </c>
      <c r="L856" s="27" t="s">
        <v>21</v>
      </c>
      <c r="M856" s="27" t="s">
        <v>22</v>
      </c>
      <c r="N856" s="40" t="s">
        <v>33</v>
      </c>
      <c r="O856" s="27" t="s">
        <v>33</v>
      </c>
      <c r="P856" s="27" t="s">
        <v>33</v>
      </c>
      <c r="Q856" s="41"/>
      <c r="R856" s="40"/>
    </row>
    <row r="857" spans="1:18" ht="30" customHeight="1" x14ac:dyDescent="0.3">
      <c r="A857" s="26" t="str">
        <f t="shared" si="26"/>
        <v>2025덕성여대</v>
      </c>
      <c r="B857" s="26">
        <f>COUNTIFS($A$4:A857,A857)</f>
        <v>9</v>
      </c>
      <c r="C857" s="26" t="str">
        <f t="shared" si="27"/>
        <v>2025덕성여대9</v>
      </c>
      <c r="E857" s="39" t="s">
        <v>148</v>
      </c>
      <c r="F857" s="26" t="s">
        <v>76</v>
      </c>
      <c r="H857" s="27" t="s">
        <v>341</v>
      </c>
      <c r="I857" s="27">
        <v>2025</v>
      </c>
      <c r="J857" s="27" t="s">
        <v>19</v>
      </c>
      <c r="K857" s="27" t="s">
        <v>345</v>
      </c>
      <c r="L857" s="27" t="s">
        <v>24</v>
      </c>
      <c r="M857" s="27" t="s">
        <v>22</v>
      </c>
      <c r="N857" s="40" t="s">
        <v>33</v>
      </c>
      <c r="O857" s="27" t="s">
        <v>33</v>
      </c>
      <c r="P857" s="27" t="s">
        <v>33</v>
      </c>
      <c r="Q857" s="41"/>
      <c r="R857" s="40"/>
    </row>
    <row r="858" spans="1:18" ht="30" customHeight="1" x14ac:dyDescent="0.3">
      <c r="A858" s="26" t="str">
        <f t="shared" si="26"/>
        <v>2025덕성여대</v>
      </c>
      <c r="B858" s="26">
        <f>COUNTIFS($A$4:A858,A858)</f>
        <v>10</v>
      </c>
      <c r="C858" s="26" t="str">
        <f t="shared" si="27"/>
        <v>2025덕성여대10</v>
      </c>
      <c r="E858" s="39" t="s">
        <v>148</v>
      </c>
      <c r="F858" s="26" t="s">
        <v>76</v>
      </c>
      <c r="H858" s="27" t="s">
        <v>341</v>
      </c>
      <c r="I858" s="27">
        <v>2025</v>
      </c>
      <c r="J858" s="27" t="s">
        <v>50</v>
      </c>
      <c r="K858" s="27" t="s">
        <v>156</v>
      </c>
      <c r="L858" s="27" t="s">
        <v>21</v>
      </c>
      <c r="M858" s="27" t="s">
        <v>22</v>
      </c>
      <c r="N858" s="40" t="s">
        <v>307</v>
      </c>
      <c r="O858" s="27" t="s">
        <v>33</v>
      </c>
      <c r="P858" s="27" t="s">
        <v>33</v>
      </c>
      <c r="Q858" s="41"/>
      <c r="R858" s="40"/>
    </row>
    <row r="859" spans="1:18" ht="30" customHeight="1" x14ac:dyDescent="0.3">
      <c r="A859" s="26" t="str">
        <f t="shared" si="26"/>
        <v>2025덕성여대</v>
      </c>
      <c r="B859" s="26">
        <f>COUNTIFS($A$4:A859,A859)</f>
        <v>11</v>
      </c>
      <c r="C859" s="26" t="str">
        <f t="shared" si="27"/>
        <v>2025덕성여대11</v>
      </c>
      <c r="E859" s="39" t="s">
        <v>148</v>
      </c>
      <c r="F859" s="26" t="s">
        <v>76</v>
      </c>
      <c r="H859" s="27" t="s">
        <v>341</v>
      </c>
      <c r="I859" s="27">
        <v>2025</v>
      </c>
      <c r="J859" s="27" t="s">
        <v>50</v>
      </c>
      <c r="K859" s="27" t="s">
        <v>156</v>
      </c>
      <c r="L859" s="27" t="s">
        <v>24</v>
      </c>
      <c r="M859" s="27" t="s">
        <v>22</v>
      </c>
      <c r="N859" s="40" t="s">
        <v>307</v>
      </c>
      <c r="O859" s="27" t="s">
        <v>33</v>
      </c>
      <c r="P859" s="27" t="s">
        <v>33</v>
      </c>
      <c r="Q859" s="41"/>
      <c r="R859" s="40"/>
    </row>
    <row r="860" spans="1:18" ht="30" customHeight="1" x14ac:dyDescent="0.3">
      <c r="A860" s="26" t="str">
        <f t="shared" si="26"/>
        <v>2026덕성여대</v>
      </c>
      <c r="B860" s="26">
        <f>COUNTIFS($A$4:A860,A860)</f>
        <v>1</v>
      </c>
      <c r="C860" s="26" t="str">
        <f t="shared" si="27"/>
        <v>2026덕성여대1</v>
      </c>
      <c r="E860" s="39" t="s">
        <v>148</v>
      </c>
      <c r="F860" s="26" t="s">
        <v>76</v>
      </c>
      <c r="H860" s="27" t="s">
        <v>341</v>
      </c>
      <c r="I860" s="27">
        <v>2026</v>
      </c>
      <c r="J860" s="27" t="s">
        <v>38</v>
      </c>
      <c r="K860" s="27" t="s">
        <v>183</v>
      </c>
      <c r="L860" s="27" t="s">
        <v>94</v>
      </c>
      <c r="M860" s="27" t="s">
        <v>22</v>
      </c>
      <c r="N860" s="40" t="s">
        <v>307</v>
      </c>
      <c r="O860" s="27" t="s">
        <v>33</v>
      </c>
      <c r="P860" s="27" t="s">
        <v>33</v>
      </c>
      <c r="Q860" s="41"/>
      <c r="R860" s="40"/>
    </row>
    <row r="861" spans="1:18" ht="30" customHeight="1" x14ac:dyDescent="0.3">
      <c r="A861" s="26" t="str">
        <f t="shared" si="26"/>
        <v>2026덕성여대</v>
      </c>
      <c r="B861" s="26">
        <f>COUNTIFS($A$4:A861,A861)</f>
        <v>2</v>
      </c>
      <c r="C861" s="26" t="str">
        <f t="shared" si="27"/>
        <v>2026덕성여대2</v>
      </c>
      <c r="E861" s="39" t="s">
        <v>148</v>
      </c>
      <c r="F861" s="26" t="s">
        <v>76</v>
      </c>
      <c r="H861" s="27" t="s">
        <v>341</v>
      </c>
      <c r="I861" s="27">
        <v>2026</v>
      </c>
      <c r="J861" s="27" t="s">
        <v>38</v>
      </c>
      <c r="K861" s="27" t="s">
        <v>183</v>
      </c>
      <c r="L861" s="27" t="s">
        <v>95</v>
      </c>
      <c r="M861" s="27" t="s">
        <v>22</v>
      </c>
      <c r="N861" s="40" t="s">
        <v>307</v>
      </c>
      <c r="O861" s="27" t="s">
        <v>33</v>
      </c>
      <c r="P861" s="27" t="s">
        <v>33</v>
      </c>
      <c r="Q861" s="41"/>
      <c r="R861" s="40"/>
    </row>
    <row r="862" spans="1:18" ht="30" customHeight="1" x14ac:dyDescent="0.3">
      <c r="A862" s="26" t="str">
        <f t="shared" si="26"/>
        <v>2026덕성여대</v>
      </c>
      <c r="B862" s="26">
        <f>COUNTIFS($A$4:A862,A862)</f>
        <v>3</v>
      </c>
      <c r="C862" s="26" t="str">
        <f t="shared" si="27"/>
        <v>2026덕성여대3</v>
      </c>
      <c r="E862" s="39" t="s">
        <v>148</v>
      </c>
      <c r="F862" s="26" t="s">
        <v>76</v>
      </c>
      <c r="H862" s="27" t="s">
        <v>341</v>
      </c>
      <c r="I862" s="27">
        <v>2026</v>
      </c>
      <c r="J862" s="27" t="s">
        <v>38</v>
      </c>
      <c r="K862" s="27" t="s">
        <v>183</v>
      </c>
      <c r="L862" s="27" t="s">
        <v>95</v>
      </c>
      <c r="M862" s="27" t="s">
        <v>42</v>
      </c>
      <c r="N862" s="29" t="s">
        <v>346</v>
      </c>
      <c r="O862" s="27" t="s">
        <v>22</v>
      </c>
      <c r="P862" s="27" t="s">
        <v>55</v>
      </c>
      <c r="Q862" s="30" t="s">
        <v>347</v>
      </c>
      <c r="R862" s="40"/>
    </row>
    <row r="863" spans="1:18" ht="30" customHeight="1" x14ac:dyDescent="0.3">
      <c r="A863" s="26" t="str">
        <f t="shared" si="26"/>
        <v>2026덕성여대</v>
      </c>
      <c r="B863" s="26">
        <f>COUNTIFS($A$4:A863,A863)</f>
        <v>4</v>
      </c>
      <c r="C863" s="26" t="str">
        <f t="shared" si="27"/>
        <v>2026덕성여대4</v>
      </c>
      <c r="E863" s="39" t="s">
        <v>148</v>
      </c>
      <c r="F863" s="26" t="s">
        <v>76</v>
      </c>
      <c r="H863" s="27" t="s">
        <v>341</v>
      </c>
      <c r="I863" s="27">
        <v>2026</v>
      </c>
      <c r="J863" s="27" t="s">
        <v>19</v>
      </c>
      <c r="K863" s="27" t="s">
        <v>344</v>
      </c>
      <c r="L863" s="27" t="s">
        <v>21</v>
      </c>
      <c r="M863" s="27" t="s">
        <v>22</v>
      </c>
      <c r="N863" s="40" t="s">
        <v>33</v>
      </c>
      <c r="O863" s="27"/>
      <c r="P863" s="27"/>
      <c r="Q863" s="41"/>
      <c r="R863" s="40"/>
    </row>
    <row r="864" spans="1:18" ht="30" customHeight="1" x14ac:dyDescent="0.3">
      <c r="A864" s="26" t="str">
        <f t="shared" si="26"/>
        <v>2026덕성여대</v>
      </c>
      <c r="B864" s="26">
        <f>COUNTIFS($A$4:A864,A864)</f>
        <v>5</v>
      </c>
      <c r="C864" s="26" t="str">
        <f t="shared" si="27"/>
        <v>2026덕성여대5</v>
      </c>
      <c r="E864" s="39" t="s">
        <v>148</v>
      </c>
      <c r="F864" s="26" t="s">
        <v>76</v>
      </c>
      <c r="H864" s="27" t="s">
        <v>341</v>
      </c>
      <c r="I864" s="27">
        <v>2026</v>
      </c>
      <c r="J864" s="27" t="s">
        <v>19</v>
      </c>
      <c r="K864" s="27" t="s">
        <v>344</v>
      </c>
      <c r="L864" s="27" t="s">
        <v>24</v>
      </c>
      <c r="M864" s="27" t="s">
        <v>22</v>
      </c>
      <c r="N864" s="40" t="s">
        <v>33</v>
      </c>
      <c r="O864" s="27"/>
      <c r="P864" s="27"/>
      <c r="Q864" s="41"/>
      <c r="R864" s="40"/>
    </row>
    <row r="865" spans="1:18" ht="30" customHeight="1" x14ac:dyDescent="0.3">
      <c r="A865" s="26" t="str">
        <f t="shared" si="26"/>
        <v>2026덕성여대</v>
      </c>
      <c r="B865" s="26">
        <f>COUNTIFS($A$4:A865,A865)</f>
        <v>6</v>
      </c>
      <c r="C865" s="26" t="str">
        <f t="shared" si="27"/>
        <v>2026덕성여대6</v>
      </c>
      <c r="E865" s="39" t="s">
        <v>148</v>
      </c>
      <c r="F865" s="26" t="s">
        <v>76</v>
      </c>
      <c r="H865" s="27" t="s">
        <v>341</v>
      </c>
      <c r="I865" s="27">
        <v>2026</v>
      </c>
      <c r="J865" s="27" t="s">
        <v>19</v>
      </c>
      <c r="K865" s="27" t="s">
        <v>345</v>
      </c>
      <c r="L865" s="27" t="s">
        <v>21</v>
      </c>
      <c r="M865" s="27" t="s">
        <v>22</v>
      </c>
      <c r="N865" s="40" t="s">
        <v>33</v>
      </c>
      <c r="O865" s="27"/>
      <c r="P865" s="27"/>
      <c r="Q865" s="41"/>
      <c r="R865" s="40"/>
    </row>
    <row r="866" spans="1:18" ht="30" customHeight="1" x14ac:dyDescent="0.3">
      <c r="A866" s="26" t="str">
        <f t="shared" si="26"/>
        <v>2026덕성여대</v>
      </c>
      <c r="B866" s="26">
        <f>COUNTIFS($A$4:A866,A866)</f>
        <v>7</v>
      </c>
      <c r="C866" s="26" t="str">
        <f t="shared" si="27"/>
        <v>2026덕성여대7</v>
      </c>
      <c r="E866" s="39" t="s">
        <v>148</v>
      </c>
      <c r="F866" s="26" t="s">
        <v>76</v>
      </c>
      <c r="H866" s="27" t="s">
        <v>341</v>
      </c>
      <c r="I866" s="27">
        <v>2026</v>
      </c>
      <c r="J866" s="27" t="s">
        <v>19</v>
      </c>
      <c r="K866" s="27" t="s">
        <v>345</v>
      </c>
      <c r="L866" s="27" t="s">
        <v>24</v>
      </c>
      <c r="M866" s="27" t="s">
        <v>22</v>
      </c>
      <c r="N866" s="40" t="s">
        <v>33</v>
      </c>
      <c r="O866" s="27"/>
      <c r="P866" s="27"/>
      <c r="Q866" s="41"/>
      <c r="R866" s="40"/>
    </row>
    <row r="867" spans="1:18" ht="30" customHeight="1" x14ac:dyDescent="0.3">
      <c r="A867" s="26" t="str">
        <f t="shared" si="26"/>
        <v>2026덕성여대</v>
      </c>
      <c r="B867" s="26">
        <f>COUNTIFS($A$4:A867,A867)</f>
        <v>8</v>
      </c>
      <c r="C867" s="26" t="str">
        <f t="shared" si="27"/>
        <v>2026덕성여대8</v>
      </c>
      <c r="E867" s="39" t="s">
        <v>148</v>
      </c>
      <c r="F867" s="26" t="s">
        <v>76</v>
      </c>
      <c r="H867" s="27" t="s">
        <v>341</v>
      </c>
      <c r="I867" s="27">
        <v>2026</v>
      </c>
      <c r="J867" s="27" t="s">
        <v>50</v>
      </c>
      <c r="K867" s="27" t="s">
        <v>156</v>
      </c>
      <c r="L867" s="27" t="s">
        <v>94</v>
      </c>
      <c r="M867" s="27" t="s">
        <v>22</v>
      </c>
      <c r="N867" s="40" t="s">
        <v>307</v>
      </c>
      <c r="O867" s="27" t="s">
        <v>33</v>
      </c>
      <c r="P867" s="27" t="s">
        <v>33</v>
      </c>
      <c r="Q867" s="41"/>
      <c r="R867" s="40"/>
    </row>
    <row r="868" spans="1:18" ht="30" customHeight="1" x14ac:dyDescent="0.3">
      <c r="A868" s="26" t="str">
        <f t="shared" si="26"/>
        <v>2026덕성여대</v>
      </c>
      <c r="B868" s="26">
        <f>COUNTIFS($A$4:A868,A868)</f>
        <v>9</v>
      </c>
      <c r="C868" s="26" t="str">
        <f t="shared" si="27"/>
        <v>2026덕성여대9</v>
      </c>
      <c r="E868" s="39" t="s">
        <v>148</v>
      </c>
      <c r="F868" s="26" t="s">
        <v>76</v>
      </c>
      <c r="H868" s="27" t="s">
        <v>341</v>
      </c>
      <c r="I868" s="27">
        <v>2026</v>
      </c>
      <c r="J868" s="27" t="s">
        <v>50</v>
      </c>
      <c r="K868" s="27" t="s">
        <v>156</v>
      </c>
      <c r="L868" s="27" t="s">
        <v>24</v>
      </c>
      <c r="M868" s="27" t="s">
        <v>22</v>
      </c>
      <c r="N868" s="40" t="s">
        <v>307</v>
      </c>
      <c r="O868" s="27" t="s">
        <v>33</v>
      </c>
      <c r="P868" s="27" t="s">
        <v>33</v>
      </c>
      <c r="Q868" s="41"/>
      <c r="R868" s="40"/>
    </row>
    <row r="869" spans="1:18" ht="30" customHeight="1" x14ac:dyDescent="0.3">
      <c r="A869" s="26" t="str">
        <f t="shared" si="26"/>
        <v>2026덕성여대</v>
      </c>
      <c r="B869" s="26">
        <f>COUNTIFS($A$4:A869,A869)</f>
        <v>10</v>
      </c>
      <c r="C869" s="26" t="str">
        <f t="shared" si="27"/>
        <v>2026덕성여대10</v>
      </c>
      <c r="E869" s="39" t="s">
        <v>148</v>
      </c>
      <c r="F869" s="26" t="s">
        <v>76</v>
      </c>
      <c r="H869" s="27" t="s">
        <v>341</v>
      </c>
      <c r="I869" s="27">
        <v>2026</v>
      </c>
      <c r="J869" s="27" t="s">
        <v>50</v>
      </c>
      <c r="K869" s="27" t="s">
        <v>156</v>
      </c>
      <c r="L869" s="27" t="s">
        <v>24</v>
      </c>
      <c r="M869" s="27" t="s">
        <v>42</v>
      </c>
      <c r="N869" s="29" t="s">
        <v>346</v>
      </c>
      <c r="O869" s="27" t="s">
        <v>22</v>
      </c>
      <c r="P869" s="27" t="s">
        <v>55</v>
      </c>
      <c r="Q869" s="41"/>
      <c r="R869" s="40"/>
    </row>
    <row r="870" spans="1:18" ht="30" customHeight="1" x14ac:dyDescent="0.3">
      <c r="A870" s="26" t="str">
        <f t="shared" si="26"/>
        <v>2027덕성여대</v>
      </c>
      <c r="B870" s="26">
        <f>COUNTIFS($A$4:A870,A870)</f>
        <v>1</v>
      </c>
      <c r="C870" s="26" t="str">
        <f t="shared" si="27"/>
        <v>2027덕성여대1</v>
      </c>
      <c r="E870" s="39" t="s">
        <v>148</v>
      </c>
      <c r="F870" s="26" t="s">
        <v>76</v>
      </c>
      <c r="H870" s="27" t="s">
        <v>341</v>
      </c>
      <c r="I870" s="27">
        <v>2027</v>
      </c>
      <c r="J870" s="27" t="s">
        <v>38</v>
      </c>
      <c r="K870" s="27" t="s">
        <v>183</v>
      </c>
      <c r="L870" s="27" t="s">
        <v>21</v>
      </c>
      <c r="M870" s="27" t="s">
        <v>22</v>
      </c>
      <c r="N870" s="40" t="s">
        <v>307</v>
      </c>
      <c r="O870" s="27" t="s">
        <v>33</v>
      </c>
      <c r="P870" s="27" t="s">
        <v>33</v>
      </c>
      <c r="Q870" s="41"/>
      <c r="R870" s="40"/>
    </row>
    <row r="871" spans="1:18" ht="30" customHeight="1" x14ac:dyDescent="0.3">
      <c r="A871" s="26" t="str">
        <f t="shared" si="26"/>
        <v>2027덕성여대</v>
      </c>
      <c r="B871" s="26">
        <f>COUNTIFS($A$4:A871,A871)</f>
        <v>2</v>
      </c>
      <c r="C871" s="26" t="str">
        <f t="shared" si="27"/>
        <v>2027덕성여대2</v>
      </c>
      <c r="E871" s="39" t="s">
        <v>148</v>
      </c>
      <c r="F871" s="26" t="s">
        <v>76</v>
      </c>
      <c r="H871" s="27" t="s">
        <v>341</v>
      </c>
      <c r="I871" s="27">
        <v>2027</v>
      </c>
      <c r="J871" s="27" t="s">
        <v>38</v>
      </c>
      <c r="K871" s="27" t="s">
        <v>183</v>
      </c>
      <c r="L871" s="27" t="s">
        <v>24</v>
      </c>
      <c r="M871" s="27" t="s">
        <v>22</v>
      </c>
      <c r="N871" s="40" t="s">
        <v>307</v>
      </c>
      <c r="O871" s="27" t="s">
        <v>33</v>
      </c>
      <c r="P871" s="27" t="s">
        <v>33</v>
      </c>
      <c r="Q871" s="41"/>
      <c r="R871" s="40"/>
    </row>
    <row r="872" spans="1:18" ht="36" x14ac:dyDescent="0.3">
      <c r="A872" s="26" t="str">
        <f t="shared" si="26"/>
        <v>2027덕성여대</v>
      </c>
      <c r="B872" s="26">
        <f>COUNTIFS($A$4:A872,A872)</f>
        <v>3</v>
      </c>
      <c r="C872" s="26" t="str">
        <f t="shared" si="27"/>
        <v>2027덕성여대3</v>
      </c>
      <c r="E872" s="39" t="s">
        <v>148</v>
      </c>
      <c r="F872" s="26" t="s">
        <v>76</v>
      </c>
      <c r="H872" s="27" t="s">
        <v>341</v>
      </c>
      <c r="I872" s="27">
        <v>2027</v>
      </c>
      <c r="J872" s="27" t="s">
        <v>38</v>
      </c>
      <c r="K872" s="27" t="s">
        <v>183</v>
      </c>
      <c r="L872" s="27" t="s">
        <v>24</v>
      </c>
      <c r="M872" s="27" t="s">
        <v>42</v>
      </c>
      <c r="N872" s="29" t="s">
        <v>348</v>
      </c>
      <c r="O872" s="27" t="s">
        <v>22</v>
      </c>
      <c r="P872" s="27" t="s">
        <v>22</v>
      </c>
      <c r="Q872" s="32" t="s">
        <v>349</v>
      </c>
      <c r="R872" s="40"/>
    </row>
    <row r="873" spans="1:18" ht="30" customHeight="1" x14ac:dyDescent="0.3">
      <c r="A873" s="26" t="str">
        <f t="shared" si="26"/>
        <v>2027덕성여대</v>
      </c>
      <c r="B873" s="26">
        <f>COUNTIFS($A$4:A873,A873)</f>
        <v>4</v>
      </c>
      <c r="C873" s="26" t="str">
        <f t="shared" si="27"/>
        <v>2027덕성여대4</v>
      </c>
      <c r="E873" s="39" t="s">
        <v>148</v>
      </c>
      <c r="F873" s="26" t="s">
        <v>76</v>
      </c>
      <c r="H873" s="27" t="s">
        <v>341</v>
      </c>
      <c r="I873" s="27">
        <v>2027</v>
      </c>
      <c r="J873" s="27" t="s">
        <v>38</v>
      </c>
      <c r="K873" s="27" t="s">
        <v>344</v>
      </c>
      <c r="L873" s="27" t="s">
        <v>21</v>
      </c>
      <c r="M873" s="27" t="s">
        <v>22</v>
      </c>
      <c r="N873" s="40" t="s">
        <v>33</v>
      </c>
      <c r="O873" s="27" t="s">
        <v>22</v>
      </c>
      <c r="P873" s="27" t="s">
        <v>22</v>
      </c>
      <c r="Q873" s="41"/>
      <c r="R873" s="40"/>
    </row>
    <row r="874" spans="1:18" ht="30" customHeight="1" x14ac:dyDescent="0.3">
      <c r="A874" s="26" t="str">
        <f t="shared" si="26"/>
        <v>2027덕성여대</v>
      </c>
      <c r="B874" s="26">
        <f>COUNTIFS($A$4:A874,A874)</f>
        <v>5</v>
      </c>
      <c r="C874" s="26" t="str">
        <f t="shared" si="27"/>
        <v>2027덕성여대5</v>
      </c>
      <c r="E874" s="39" t="s">
        <v>148</v>
      </c>
      <c r="F874" s="26" t="s">
        <v>76</v>
      </c>
      <c r="H874" s="27" t="s">
        <v>341</v>
      </c>
      <c r="I874" s="27">
        <v>2027</v>
      </c>
      <c r="J874" s="27" t="s">
        <v>19</v>
      </c>
      <c r="K874" s="27" t="s">
        <v>344</v>
      </c>
      <c r="L874" s="27" t="s">
        <v>24</v>
      </c>
      <c r="M874" s="27" t="s">
        <v>22</v>
      </c>
      <c r="N874" s="40" t="s">
        <v>33</v>
      </c>
      <c r="O874" s="27" t="s">
        <v>22</v>
      </c>
      <c r="P874" s="27" t="s">
        <v>22</v>
      </c>
      <c r="Q874" s="41"/>
      <c r="R874" s="40"/>
    </row>
    <row r="875" spans="1:18" ht="30" customHeight="1" x14ac:dyDescent="0.3">
      <c r="A875" s="26" t="str">
        <f t="shared" si="26"/>
        <v>2027덕성여대</v>
      </c>
      <c r="B875" s="26">
        <f>COUNTIFS($A$4:A875,A875)</f>
        <v>6</v>
      </c>
      <c r="C875" s="26" t="str">
        <f t="shared" si="27"/>
        <v>2027덕성여대6</v>
      </c>
      <c r="E875" s="39" t="s">
        <v>148</v>
      </c>
      <c r="F875" s="26" t="s">
        <v>76</v>
      </c>
      <c r="H875" s="27" t="s">
        <v>341</v>
      </c>
      <c r="I875" s="27">
        <v>2027</v>
      </c>
      <c r="J875" s="27" t="s">
        <v>19</v>
      </c>
      <c r="K875" s="27" t="s">
        <v>345</v>
      </c>
      <c r="L875" s="27" t="s">
        <v>21</v>
      </c>
      <c r="M875" s="27" t="s">
        <v>22</v>
      </c>
      <c r="N875" s="40" t="s">
        <v>33</v>
      </c>
      <c r="O875" s="27" t="s">
        <v>22</v>
      </c>
      <c r="P875" s="27" t="s">
        <v>22</v>
      </c>
      <c r="Q875" s="41"/>
      <c r="R875" s="40"/>
    </row>
    <row r="876" spans="1:18" ht="30" customHeight="1" x14ac:dyDescent="0.3">
      <c r="A876" s="26" t="str">
        <f t="shared" si="26"/>
        <v>2027덕성여대</v>
      </c>
      <c r="B876" s="26">
        <f>COUNTIFS($A$4:A876,A876)</f>
        <v>7</v>
      </c>
      <c r="C876" s="26" t="str">
        <f t="shared" si="27"/>
        <v>2027덕성여대7</v>
      </c>
      <c r="E876" s="39" t="s">
        <v>148</v>
      </c>
      <c r="F876" s="26" t="s">
        <v>76</v>
      </c>
      <c r="H876" s="27" t="s">
        <v>341</v>
      </c>
      <c r="I876" s="27">
        <v>2027</v>
      </c>
      <c r="J876" s="27" t="s">
        <v>19</v>
      </c>
      <c r="K876" s="27" t="s">
        <v>345</v>
      </c>
      <c r="L876" s="27" t="s">
        <v>24</v>
      </c>
      <c r="M876" s="27" t="s">
        <v>22</v>
      </c>
      <c r="N876" s="40" t="s">
        <v>33</v>
      </c>
      <c r="O876" s="27" t="s">
        <v>22</v>
      </c>
      <c r="P876" s="27" t="s">
        <v>22</v>
      </c>
      <c r="Q876" s="41"/>
      <c r="R876" s="40"/>
    </row>
    <row r="877" spans="1:18" ht="30" customHeight="1" x14ac:dyDescent="0.3">
      <c r="A877" s="26" t="str">
        <f t="shared" si="26"/>
        <v>2027덕성여대</v>
      </c>
      <c r="B877" s="26">
        <f>COUNTIFS($A$4:A877,A877)</f>
        <v>8</v>
      </c>
      <c r="C877" s="26" t="str">
        <f t="shared" si="27"/>
        <v>2027덕성여대8</v>
      </c>
      <c r="E877" s="39" t="s">
        <v>148</v>
      </c>
      <c r="F877" s="26" t="s">
        <v>76</v>
      </c>
      <c r="H877" s="27" t="s">
        <v>341</v>
      </c>
      <c r="I877" s="27">
        <v>2027</v>
      </c>
      <c r="J877" s="27" t="s">
        <v>50</v>
      </c>
      <c r="K877" s="27" t="s">
        <v>156</v>
      </c>
      <c r="L877" s="27" t="s">
        <v>21</v>
      </c>
      <c r="M877" s="27" t="s">
        <v>22</v>
      </c>
      <c r="N877" s="40" t="s">
        <v>307</v>
      </c>
      <c r="O877" s="27" t="s">
        <v>33</v>
      </c>
      <c r="P877" s="27" t="s">
        <v>33</v>
      </c>
      <c r="Q877" s="41"/>
      <c r="R877" s="40"/>
    </row>
    <row r="878" spans="1:18" ht="30" customHeight="1" x14ac:dyDescent="0.3">
      <c r="A878" s="26" t="str">
        <f t="shared" si="26"/>
        <v>2027덕성여대</v>
      </c>
      <c r="B878" s="26">
        <f>COUNTIFS($A$4:A878,A878)</f>
        <v>9</v>
      </c>
      <c r="C878" s="26" t="str">
        <f t="shared" si="27"/>
        <v>2027덕성여대9</v>
      </c>
      <c r="E878" s="39" t="s">
        <v>148</v>
      </c>
      <c r="F878" s="26" t="s">
        <v>76</v>
      </c>
      <c r="H878" s="27" t="s">
        <v>341</v>
      </c>
      <c r="I878" s="27">
        <v>2027</v>
      </c>
      <c r="J878" s="27" t="s">
        <v>50</v>
      </c>
      <c r="K878" s="27" t="s">
        <v>156</v>
      </c>
      <c r="L878" s="27" t="s">
        <v>24</v>
      </c>
      <c r="M878" s="27" t="s">
        <v>22</v>
      </c>
      <c r="N878" s="40" t="s">
        <v>307</v>
      </c>
      <c r="O878" s="27" t="s">
        <v>33</v>
      </c>
      <c r="P878" s="27" t="s">
        <v>33</v>
      </c>
      <c r="Q878" s="41"/>
      <c r="R878" s="40"/>
    </row>
    <row r="879" spans="1:18" ht="36" x14ac:dyDescent="0.3">
      <c r="A879" s="26" t="str">
        <f t="shared" si="26"/>
        <v>2027덕성여대</v>
      </c>
      <c r="B879" s="26">
        <f>COUNTIFS($A$4:A879,A879)</f>
        <v>10</v>
      </c>
      <c r="C879" s="26" t="str">
        <f t="shared" si="27"/>
        <v>2027덕성여대10</v>
      </c>
      <c r="E879" s="39" t="s">
        <v>148</v>
      </c>
      <c r="F879" s="26" t="s">
        <v>76</v>
      </c>
      <c r="H879" s="27" t="s">
        <v>341</v>
      </c>
      <c r="I879" s="27">
        <v>2027</v>
      </c>
      <c r="J879" s="27" t="s">
        <v>50</v>
      </c>
      <c r="K879" s="27" t="s">
        <v>156</v>
      </c>
      <c r="L879" s="27" t="s">
        <v>24</v>
      </c>
      <c r="M879" s="27" t="s">
        <v>42</v>
      </c>
      <c r="N879" s="29" t="s">
        <v>348</v>
      </c>
      <c r="O879" s="27" t="s">
        <v>22</v>
      </c>
      <c r="P879" s="27" t="s">
        <v>22</v>
      </c>
      <c r="Q879" s="32" t="s">
        <v>349</v>
      </c>
      <c r="R879" s="40"/>
    </row>
    <row r="880" spans="1:18" ht="30" customHeight="1" x14ac:dyDescent="0.3">
      <c r="A880" s="26" t="str">
        <f t="shared" si="26"/>
        <v>2025한양대(ERICA)</v>
      </c>
      <c r="B880" s="26">
        <f>COUNTIFS($A$4:A880,A880)</f>
        <v>1</v>
      </c>
      <c r="C880" s="26" t="str">
        <f t="shared" si="27"/>
        <v>2025한양대(ERICA)1</v>
      </c>
      <c r="E880" s="39" t="s">
        <v>148</v>
      </c>
      <c r="F880" s="26" t="s">
        <v>76</v>
      </c>
      <c r="H880" s="27" t="s">
        <v>350</v>
      </c>
      <c r="I880" s="27">
        <v>2025</v>
      </c>
      <c r="J880" s="27" t="s">
        <v>38</v>
      </c>
      <c r="K880" s="27" t="s">
        <v>172</v>
      </c>
      <c r="L880" s="27" t="s">
        <v>21</v>
      </c>
      <c r="M880" s="27" t="s">
        <v>22</v>
      </c>
      <c r="N880" s="40" t="s">
        <v>307</v>
      </c>
      <c r="O880" s="27" t="s">
        <v>33</v>
      </c>
      <c r="P880" s="27" t="s">
        <v>33</v>
      </c>
      <c r="Q880" s="41"/>
      <c r="R880" s="40"/>
    </row>
    <row r="881" spans="1:18" ht="30" customHeight="1" x14ac:dyDescent="0.3">
      <c r="A881" s="26" t="str">
        <f t="shared" si="26"/>
        <v>2025한양대(ERICA)</v>
      </c>
      <c r="B881" s="26">
        <f>COUNTIFS($A$4:A881,A881)</f>
        <v>2</v>
      </c>
      <c r="C881" s="26" t="str">
        <f t="shared" si="27"/>
        <v>2025한양대(ERICA)2</v>
      </c>
      <c r="E881" s="39" t="s">
        <v>148</v>
      </c>
      <c r="F881" s="26" t="s">
        <v>76</v>
      </c>
      <c r="H881" s="27" t="s">
        <v>350</v>
      </c>
      <c r="I881" s="27">
        <v>2025</v>
      </c>
      <c r="J881" s="27" t="s">
        <v>38</v>
      </c>
      <c r="K881" s="27" t="s">
        <v>172</v>
      </c>
      <c r="L881" s="27" t="s">
        <v>24</v>
      </c>
      <c r="M881" s="27" t="s">
        <v>22</v>
      </c>
      <c r="N881" s="40" t="s">
        <v>351</v>
      </c>
      <c r="O881" s="27" t="s">
        <v>33</v>
      </c>
      <c r="P881" s="27" t="s">
        <v>55</v>
      </c>
      <c r="Q881" s="41"/>
      <c r="R881" s="40"/>
    </row>
    <row r="882" spans="1:18" ht="30" customHeight="1" x14ac:dyDescent="0.3">
      <c r="A882" s="26" t="str">
        <f t="shared" si="26"/>
        <v>2025한양대(ERICA)</v>
      </c>
      <c r="B882" s="26">
        <f>COUNTIFS($A$4:A882,A882)</f>
        <v>3</v>
      </c>
      <c r="C882" s="26" t="str">
        <f t="shared" si="27"/>
        <v>2025한양대(ERICA)3</v>
      </c>
      <c r="E882" s="39" t="s">
        <v>148</v>
      </c>
      <c r="F882" s="26" t="s">
        <v>76</v>
      </c>
      <c r="H882" s="27" t="s">
        <v>350</v>
      </c>
      <c r="I882" s="27">
        <v>2025</v>
      </c>
      <c r="J882" s="27" t="s">
        <v>38</v>
      </c>
      <c r="K882" s="27" t="s">
        <v>172</v>
      </c>
      <c r="L882" s="27" t="s">
        <v>24</v>
      </c>
      <c r="M882" s="27" t="s">
        <v>42</v>
      </c>
      <c r="N882" s="29" t="s">
        <v>352</v>
      </c>
      <c r="O882" s="27" t="s">
        <v>33</v>
      </c>
      <c r="P882" s="27" t="s">
        <v>55</v>
      </c>
      <c r="Q882" s="41"/>
      <c r="R882" s="40"/>
    </row>
    <row r="883" spans="1:18" ht="30" customHeight="1" x14ac:dyDescent="0.3">
      <c r="A883" s="26" t="str">
        <f t="shared" si="26"/>
        <v>2025한양대(ERICA)</v>
      </c>
      <c r="B883" s="26">
        <f>COUNTIFS($A$4:A883,A883)</f>
        <v>4</v>
      </c>
      <c r="C883" s="26" t="str">
        <f t="shared" si="27"/>
        <v>2025한양대(ERICA)4</v>
      </c>
      <c r="E883" s="39" t="s">
        <v>148</v>
      </c>
      <c r="F883" s="26" t="s">
        <v>76</v>
      </c>
      <c r="H883" s="27" t="s">
        <v>350</v>
      </c>
      <c r="I883" s="27">
        <v>2025</v>
      </c>
      <c r="J883" s="27" t="s">
        <v>19</v>
      </c>
      <c r="K883" s="27" t="s">
        <v>76</v>
      </c>
      <c r="L883" s="27" t="s">
        <v>21</v>
      </c>
      <c r="M883" s="27" t="s">
        <v>22</v>
      </c>
      <c r="N883" s="40" t="s">
        <v>33</v>
      </c>
      <c r="O883" s="27" t="s">
        <v>33</v>
      </c>
      <c r="P883" s="27" t="s">
        <v>33</v>
      </c>
      <c r="Q883" s="41"/>
      <c r="R883" s="40"/>
    </row>
    <row r="884" spans="1:18" ht="30" customHeight="1" x14ac:dyDescent="0.3">
      <c r="A884" s="26" t="str">
        <f t="shared" si="26"/>
        <v>2025한양대(ERICA)</v>
      </c>
      <c r="B884" s="26">
        <f>COUNTIFS($A$4:A884,A884)</f>
        <v>5</v>
      </c>
      <c r="C884" s="26" t="str">
        <f t="shared" si="27"/>
        <v>2025한양대(ERICA)5</v>
      </c>
      <c r="E884" s="39" t="s">
        <v>148</v>
      </c>
      <c r="F884" s="26" t="s">
        <v>76</v>
      </c>
      <c r="H884" s="27" t="s">
        <v>350</v>
      </c>
      <c r="I884" s="27">
        <v>2025</v>
      </c>
      <c r="J884" s="27" t="s">
        <v>19</v>
      </c>
      <c r="K884" s="27" t="s">
        <v>76</v>
      </c>
      <c r="L884" s="27" t="s">
        <v>24</v>
      </c>
      <c r="M884" s="27" t="s">
        <v>22</v>
      </c>
      <c r="N884" s="40" t="s">
        <v>33</v>
      </c>
      <c r="O884" s="27" t="s">
        <v>33</v>
      </c>
      <c r="P884" s="27" t="s">
        <v>33</v>
      </c>
      <c r="Q884" s="41"/>
      <c r="R884" s="40"/>
    </row>
    <row r="885" spans="1:18" ht="30" customHeight="1" x14ac:dyDescent="0.3">
      <c r="A885" s="26" t="str">
        <f t="shared" si="26"/>
        <v>2025한양대(ERICA)</v>
      </c>
      <c r="B885" s="26">
        <f>COUNTIFS($A$4:A885,A885)</f>
        <v>6</v>
      </c>
      <c r="C885" s="26" t="str">
        <f t="shared" si="27"/>
        <v>2025한양대(ERICA)6</v>
      </c>
      <c r="E885" s="39" t="s">
        <v>148</v>
      </c>
      <c r="F885" s="26" t="s">
        <v>76</v>
      </c>
      <c r="H885" s="27" t="s">
        <v>350</v>
      </c>
      <c r="I885" s="27">
        <v>2025</v>
      </c>
      <c r="J885" s="27" t="s">
        <v>19</v>
      </c>
      <c r="K885" s="27" t="s">
        <v>353</v>
      </c>
      <c r="L885" s="27" t="s">
        <v>24</v>
      </c>
      <c r="M885" s="27" t="s">
        <v>22</v>
      </c>
      <c r="N885" s="40" t="s">
        <v>33</v>
      </c>
      <c r="O885" s="27" t="s">
        <v>33</v>
      </c>
      <c r="P885" s="27" t="s">
        <v>33</v>
      </c>
      <c r="Q885" s="41"/>
      <c r="R885" s="40"/>
    </row>
    <row r="886" spans="1:18" ht="30" customHeight="1" x14ac:dyDescent="0.3">
      <c r="A886" s="26" t="str">
        <f t="shared" si="26"/>
        <v>2025한양대(ERICA)</v>
      </c>
      <c r="B886" s="26">
        <f>COUNTIFS($A$4:A886,A886)</f>
        <v>7</v>
      </c>
      <c r="C886" s="26" t="str">
        <f t="shared" si="27"/>
        <v>2025한양대(ERICA)7</v>
      </c>
      <c r="E886" s="39" t="s">
        <v>148</v>
      </c>
      <c r="F886" s="26" t="s">
        <v>76</v>
      </c>
      <c r="H886" s="27" t="s">
        <v>350</v>
      </c>
      <c r="I886" s="27">
        <v>2025</v>
      </c>
      <c r="J886" s="27" t="s">
        <v>19</v>
      </c>
      <c r="K886" s="27" t="s">
        <v>354</v>
      </c>
      <c r="L886" s="27" t="s">
        <v>24</v>
      </c>
      <c r="M886" s="27" t="s">
        <v>22</v>
      </c>
      <c r="N886" s="40" t="s">
        <v>33</v>
      </c>
      <c r="O886" s="27" t="s">
        <v>33</v>
      </c>
      <c r="P886" s="27" t="s">
        <v>33</v>
      </c>
      <c r="Q886" s="41"/>
      <c r="R886" s="40"/>
    </row>
    <row r="887" spans="1:18" ht="30" customHeight="1" x14ac:dyDescent="0.3">
      <c r="A887" s="26" t="str">
        <f t="shared" si="26"/>
        <v>2025한양대(ERICA)</v>
      </c>
      <c r="B887" s="26">
        <f>COUNTIFS($A$4:A887,A887)</f>
        <v>8</v>
      </c>
      <c r="C887" s="26" t="str">
        <f t="shared" si="27"/>
        <v>2025한양대(ERICA)8</v>
      </c>
      <c r="E887" s="39" t="s">
        <v>148</v>
      </c>
      <c r="F887" s="26" t="s">
        <v>76</v>
      </c>
      <c r="H887" s="27" t="s">
        <v>350</v>
      </c>
      <c r="I887" s="27">
        <v>2025</v>
      </c>
      <c r="J887" s="27" t="s">
        <v>19</v>
      </c>
      <c r="K887" s="27" t="s">
        <v>355</v>
      </c>
      <c r="L887" s="27" t="s">
        <v>24</v>
      </c>
      <c r="M887" s="27" t="s">
        <v>22</v>
      </c>
      <c r="N887" s="40" t="s">
        <v>33</v>
      </c>
      <c r="O887" s="27" t="s">
        <v>33</v>
      </c>
      <c r="P887" s="27" t="s">
        <v>33</v>
      </c>
      <c r="Q887" s="41"/>
      <c r="R887" s="40"/>
    </row>
    <row r="888" spans="1:18" ht="30" customHeight="1" x14ac:dyDescent="0.3">
      <c r="A888" s="26" t="str">
        <f t="shared" si="26"/>
        <v>2026한양대(ERICA)</v>
      </c>
      <c r="B888" s="26">
        <f>COUNTIFS($A$4:A888,A888)</f>
        <v>1</v>
      </c>
      <c r="C888" s="26" t="str">
        <f t="shared" si="27"/>
        <v>2026한양대(ERICA)1</v>
      </c>
      <c r="E888" s="39" t="s">
        <v>148</v>
      </c>
      <c r="F888" s="26" t="s">
        <v>76</v>
      </c>
      <c r="H888" s="27" t="s">
        <v>350</v>
      </c>
      <c r="I888" s="27">
        <v>2026</v>
      </c>
      <c r="J888" s="27" t="s">
        <v>38</v>
      </c>
      <c r="K888" s="27" t="s">
        <v>172</v>
      </c>
      <c r="L888" s="27" t="s">
        <v>21</v>
      </c>
      <c r="M888" s="27" t="s">
        <v>22</v>
      </c>
      <c r="N888" s="40" t="s">
        <v>307</v>
      </c>
      <c r="O888" s="27" t="s">
        <v>33</v>
      </c>
      <c r="P888" s="27" t="s">
        <v>33</v>
      </c>
      <c r="Q888" s="41"/>
      <c r="R888" s="40"/>
    </row>
    <row r="889" spans="1:18" ht="30" customHeight="1" x14ac:dyDescent="0.3">
      <c r="A889" s="26" t="str">
        <f t="shared" si="26"/>
        <v>2026한양대(ERICA)</v>
      </c>
      <c r="B889" s="26">
        <f>COUNTIFS($A$4:A889,A889)</f>
        <v>2</v>
      </c>
      <c r="C889" s="26" t="str">
        <f t="shared" si="27"/>
        <v>2026한양대(ERICA)2</v>
      </c>
      <c r="E889" s="39" t="s">
        <v>148</v>
      </c>
      <c r="F889" s="26" t="s">
        <v>76</v>
      </c>
      <c r="H889" s="27" t="s">
        <v>350</v>
      </c>
      <c r="I889" s="27">
        <v>2026</v>
      </c>
      <c r="J889" s="27" t="s">
        <v>38</v>
      </c>
      <c r="K889" s="27" t="s">
        <v>172</v>
      </c>
      <c r="L889" s="27" t="s">
        <v>24</v>
      </c>
      <c r="M889" s="27" t="s">
        <v>22</v>
      </c>
      <c r="N889" s="40" t="s">
        <v>307</v>
      </c>
      <c r="O889" s="27" t="s">
        <v>33</v>
      </c>
      <c r="P889" s="27" t="s">
        <v>33</v>
      </c>
      <c r="Q889" s="32" t="s">
        <v>349</v>
      </c>
      <c r="R889" s="40"/>
    </row>
    <row r="890" spans="1:18" ht="30" customHeight="1" x14ac:dyDescent="0.3">
      <c r="A890" s="26" t="str">
        <f t="shared" si="26"/>
        <v>2026한양대(ERICA)</v>
      </c>
      <c r="B890" s="26">
        <f>COUNTIFS($A$4:A890,A890)</f>
        <v>3</v>
      </c>
      <c r="C890" s="26" t="str">
        <f t="shared" si="27"/>
        <v>2026한양대(ERICA)3</v>
      </c>
      <c r="E890" s="39" t="s">
        <v>148</v>
      </c>
      <c r="F890" s="26" t="s">
        <v>76</v>
      </c>
      <c r="H890" s="27" t="s">
        <v>350</v>
      </c>
      <c r="I890" s="27">
        <v>2026</v>
      </c>
      <c r="J890" s="27" t="s">
        <v>38</v>
      </c>
      <c r="K890" s="27" t="s">
        <v>172</v>
      </c>
      <c r="L890" s="27" t="s">
        <v>24</v>
      </c>
      <c r="M890" s="27" t="s">
        <v>42</v>
      </c>
      <c r="N890" s="29" t="s">
        <v>356</v>
      </c>
      <c r="O890" s="27" t="s">
        <v>33</v>
      </c>
      <c r="P890" s="27" t="s">
        <v>33</v>
      </c>
      <c r="Q890" s="32" t="s">
        <v>349</v>
      </c>
      <c r="R890" s="40"/>
    </row>
    <row r="891" spans="1:18" ht="30" customHeight="1" x14ac:dyDescent="0.3">
      <c r="A891" s="26" t="str">
        <f t="shared" si="26"/>
        <v>2026한양대(ERICA)</v>
      </c>
      <c r="B891" s="26">
        <f>COUNTIFS($A$4:A891,A891)</f>
        <v>4</v>
      </c>
      <c r="C891" s="26" t="str">
        <f t="shared" si="27"/>
        <v>2026한양대(ERICA)4</v>
      </c>
      <c r="E891" s="39" t="s">
        <v>148</v>
      </c>
      <c r="F891" s="26" t="s">
        <v>76</v>
      </c>
      <c r="H891" s="27" t="s">
        <v>350</v>
      </c>
      <c r="I891" s="27">
        <v>2026</v>
      </c>
      <c r="J891" s="27" t="s">
        <v>19</v>
      </c>
      <c r="K891" s="27" t="s">
        <v>161</v>
      </c>
      <c r="L891" s="27" t="s">
        <v>21</v>
      </c>
      <c r="M891" s="27" t="s">
        <v>22</v>
      </c>
      <c r="N891" s="40" t="s">
        <v>33</v>
      </c>
      <c r="O891" s="27" t="s">
        <v>33</v>
      </c>
      <c r="P891" s="27" t="s">
        <v>33</v>
      </c>
      <c r="Q891" s="41"/>
      <c r="R891" s="40"/>
    </row>
    <row r="892" spans="1:18" ht="30" customHeight="1" x14ac:dyDescent="0.3">
      <c r="A892" s="26" t="str">
        <f t="shared" si="26"/>
        <v>2026한양대(ERICA)</v>
      </c>
      <c r="B892" s="26">
        <f>COUNTIFS($A$4:A892,A892)</f>
        <v>5</v>
      </c>
      <c r="C892" s="26" t="str">
        <f t="shared" si="27"/>
        <v>2026한양대(ERICA)5</v>
      </c>
      <c r="E892" s="39" t="s">
        <v>148</v>
      </c>
      <c r="F892" s="26" t="s">
        <v>76</v>
      </c>
      <c r="H892" s="27" t="s">
        <v>350</v>
      </c>
      <c r="I892" s="27">
        <v>2026</v>
      </c>
      <c r="J892" s="27" t="s">
        <v>19</v>
      </c>
      <c r="K892" s="27" t="s">
        <v>161</v>
      </c>
      <c r="L892" s="27" t="s">
        <v>24</v>
      </c>
      <c r="M892" s="27" t="s">
        <v>22</v>
      </c>
      <c r="N892" s="40" t="s">
        <v>33</v>
      </c>
      <c r="O892" s="27" t="s">
        <v>33</v>
      </c>
      <c r="P892" s="27" t="s">
        <v>33</v>
      </c>
      <c r="Q892" s="41"/>
      <c r="R892" s="40"/>
    </row>
    <row r="893" spans="1:18" ht="30" customHeight="1" x14ac:dyDescent="0.3">
      <c r="A893" s="26" t="str">
        <f t="shared" si="26"/>
        <v>2026한양대(ERICA)</v>
      </c>
      <c r="B893" s="26">
        <f>COUNTIFS($A$4:A893,A893)</f>
        <v>6</v>
      </c>
      <c r="C893" s="26" t="str">
        <f t="shared" si="27"/>
        <v>2026한양대(ERICA)6</v>
      </c>
      <c r="E893" s="39" t="s">
        <v>148</v>
      </c>
      <c r="F893" s="26" t="s">
        <v>76</v>
      </c>
      <c r="H893" s="27" t="s">
        <v>350</v>
      </c>
      <c r="I893" s="27">
        <v>2026</v>
      </c>
      <c r="J893" s="27" t="s">
        <v>19</v>
      </c>
      <c r="K893" s="27" t="s">
        <v>357</v>
      </c>
      <c r="L893" s="27" t="s">
        <v>21</v>
      </c>
      <c r="M893" s="27" t="s">
        <v>22</v>
      </c>
      <c r="N893" s="40" t="s">
        <v>33</v>
      </c>
      <c r="O893" s="27" t="s">
        <v>33</v>
      </c>
      <c r="P893" s="27" t="s">
        <v>33</v>
      </c>
      <c r="Q893" s="41"/>
      <c r="R893" s="40"/>
    </row>
    <row r="894" spans="1:18" ht="30" customHeight="1" x14ac:dyDescent="0.3">
      <c r="A894" s="26" t="str">
        <f t="shared" si="26"/>
        <v>2026한양대(ERICA)</v>
      </c>
      <c r="B894" s="26">
        <f>COUNTIFS($A$4:A894,A894)</f>
        <v>7</v>
      </c>
      <c r="C894" s="26" t="str">
        <f t="shared" si="27"/>
        <v>2026한양대(ERICA)7</v>
      </c>
      <c r="E894" s="39" t="s">
        <v>148</v>
      </c>
      <c r="F894" s="26" t="s">
        <v>76</v>
      </c>
      <c r="H894" s="27" t="s">
        <v>350</v>
      </c>
      <c r="I894" s="27">
        <v>2026</v>
      </c>
      <c r="J894" s="27" t="s">
        <v>19</v>
      </c>
      <c r="K894" s="27" t="s">
        <v>357</v>
      </c>
      <c r="L894" s="27" t="s">
        <v>24</v>
      </c>
      <c r="M894" s="27" t="s">
        <v>22</v>
      </c>
      <c r="N894" s="40" t="s">
        <v>33</v>
      </c>
      <c r="O894" s="27" t="s">
        <v>33</v>
      </c>
      <c r="P894" s="27" t="s">
        <v>33</v>
      </c>
      <c r="Q894" s="41"/>
      <c r="R894" s="40"/>
    </row>
    <row r="895" spans="1:18" ht="30" customHeight="1" x14ac:dyDescent="0.3">
      <c r="A895" s="26" t="str">
        <f t="shared" si="26"/>
        <v>2026한양대(ERICA)</v>
      </c>
      <c r="B895" s="26">
        <f>COUNTIFS($A$4:A895,A895)</f>
        <v>8</v>
      </c>
      <c r="C895" s="26" t="str">
        <f t="shared" si="27"/>
        <v>2026한양대(ERICA)8</v>
      </c>
      <c r="E895" s="39" t="s">
        <v>148</v>
      </c>
      <c r="F895" s="26" t="s">
        <v>76</v>
      </c>
      <c r="H895" s="27" t="s">
        <v>350</v>
      </c>
      <c r="I895" s="27">
        <v>2026</v>
      </c>
      <c r="J895" s="27" t="s">
        <v>19</v>
      </c>
      <c r="K895" s="27" t="s">
        <v>358</v>
      </c>
      <c r="L895" s="27" t="s">
        <v>95</v>
      </c>
      <c r="M895" s="27" t="s">
        <v>22</v>
      </c>
      <c r="N895" s="40" t="s">
        <v>22</v>
      </c>
      <c r="O895" s="27" t="s">
        <v>22</v>
      </c>
      <c r="P895" s="27" t="s">
        <v>22</v>
      </c>
      <c r="Q895" s="41"/>
      <c r="R895" s="40"/>
    </row>
    <row r="896" spans="1:18" ht="30" customHeight="1" x14ac:dyDescent="0.3">
      <c r="A896" s="26" t="str">
        <f t="shared" si="26"/>
        <v>2026한양대(ERICA)</v>
      </c>
      <c r="B896" s="26">
        <f>COUNTIFS($A$4:A896,A896)</f>
        <v>9</v>
      </c>
      <c r="C896" s="26" t="str">
        <f t="shared" si="27"/>
        <v>2026한양대(ERICA)9</v>
      </c>
      <c r="E896" s="39" t="s">
        <v>148</v>
      </c>
      <c r="F896" s="26" t="s">
        <v>76</v>
      </c>
      <c r="H896" s="27" t="s">
        <v>350</v>
      </c>
      <c r="I896" s="27">
        <v>2026</v>
      </c>
      <c r="J896" s="27" t="s">
        <v>19</v>
      </c>
      <c r="K896" s="27" t="s">
        <v>359</v>
      </c>
      <c r="L896" s="27" t="s">
        <v>24</v>
      </c>
      <c r="M896" s="27" t="s">
        <v>22</v>
      </c>
      <c r="N896" s="40" t="s">
        <v>33</v>
      </c>
      <c r="O896" s="27" t="s">
        <v>33</v>
      </c>
      <c r="P896" s="27" t="s">
        <v>33</v>
      </c>
      <c r="Q896" s="41"/>
      <c r="R896" s="40"/>
    </row>
    <row r="897" spans="1:18" ht="30" customHeight="1" x14ac:dyDescent="0.3">
      <c r="A897" s="26" t="str">
        <f t="shared" si="26"/>
        <v>2027한양대(ERICA)</v>
      </c>
      <c r="B897" s="26">
        <f>COUNTIFS($A$4:A897,A897)</f>
        <v>1</v>
      </c>
      <c r="C897" s="26" t="str">
        <f t="shared" si="27"/>
        <v>2027한양대(ERICA)1</v>
      </c>
      <c r="E897" s="39" t="s">
        <v>148</v>
      </c>
      <c r="F897" s="26" t="s">
        <v>76</v>
      </c>
      <c r="H897" s="27" t="s">
        <v>350</v>
      </c>
      <c r="I897" s="27">
        <v>2027</v>
      </c>
      <c r="J897" s="27" t="s">
        <v>38</v>
      </c>
      <c r="K897" s="27" t="s">
        <v>172</v>
      </c>
      <c r="L897" s="27" t="s">
        <v>21</v>
      </c>
      <c r="M897" s="27" t="s">
        <v>22</v>
      </c>
      <c r="N897" s="40" t="s">
        <v>307</v>
      </c>
      <c r="O897" s="27" t="s">
        <v>33</v>
      </c>
      <c r="P897" s="27" t="s">
        <v>33</v>
      </c>
      <c r="Q897" s="41"/>
      <c r="R897" s="40"/>
    </row>
    <row r="898" spans="1:18" ht="30" customHeight="1" x14ac:dyDescent="0.3">
      <c r="A898" s="26" t="str">
        <f t="shared" si="26"/>
        <v>2027한양대(ERICA)</v>
      </c>
      <c r="B898" s="26">
        <f>COUNTIFS($A$4:A898,A898)</f>
        <v>2</v>
      </c>
      <c r="C898" s="26" t="str">
        <f t="shared" si="27"/>
        <v>2027한양대(ERICA)2</v>
      </c>
      <c r="E898" s="39" t="s">
        <v>148</v>
      </c>
      <c r="F898" s="26" t="s">
        <v>76</v>
      </c>
      <c r="H898" s="27" t="s">
        <v>350</v>
      </c>
      <c r="I898" s="27">
        <v>2027</v>
      </c>
      <c r="J898" s="27" t="s">
        <v>38</v>
      </c>
      <c r="K898" s="27" t="s">
        <v>172</v>
      </c>
      <c r="L898" s="27" t="s">
        <v>24</v>
      </c>
      <c r="M898" s="27" t="s">
        <v>22</v>
      </c>
      <c r="N898" s="40" t="s">
        <v>307</v>
      </c>
      <c r="O898" s="27" t="s">
        <v>33</v>
      </c>
      <c r="P898" s="27" t="s">
        <v>33</v>
      </c>
      <c r="Q898" s="41"/>
      <c r="R898" s="40"/>
    </row>
    <row r="899" spans="1:18" ht="30" customHeight="1" x14ac:dyDescent="0.3">
      <c r="A899" s="26" t="str">
        <f t="shared" si="26"/>
        <v>2027한양대(ERICA)</v>
      </c>
      <c r="B899" s="26">
        <f>COUNTIFS($A$4:A899,A899)</f>
        <v>3</v>
      </c>
      <c r="C899" s="26" t="str">
        <f t="shared" si="27"/>
        <v>2027한양대(ERICA)3</v>
      </c>
      <c r="E899" s="39" t="s">
        <v>148</v>
      </c>
      <c r="F899" s="26" t="s">
        <v>76</v>
      </c>
      <c r="H899" s="27" t="s">
        <v>350</v>
      </c>
      <c r="I899" s="27">
        <v>2027</v>
      </c>
      <c r="J899" s="27" t="s">
        <v>38</v>
      </c>
      <c r="K899" s="27" t="s">
        <v>172</v>
      </c>
      <c r="L899" s="27" t="s">
        <v>24</v>
      </c>
      <c r="M899" s="27" t="s">
        <v>42</v>
      </c>
      <c r="N899" s="29" t="s">
        <v>356</v>
      </c>
      <c r="O899" s="27" t="s">
        <v>33</v>
      </c>
      <c r="P899" s="27" t="s">
        <v>33</v>
      </c>
      <c r="Q899" s="41"/>
      <c r="R899" s="40"/>
    </row>
    <row r="900" spans="1:18" ht="30" customHeight="1" x14ac:dyDescent="0.3">
      <c r="A900" s="26" t="str">
        <f t="shared" si="26"/>
        <v>2027한양대(ERICA)</v>
      </c>
      <c r="B900" s="26">
        <f>COUNTIFS($A$4:A900,A900)</f>
        <v>4</v>
      </c>
      <c r="C900" s="26" t="str">
        <f t="shared" si="27"/>
        <v>2027한양대(ERICA)4</v>
      </c>
      <c r="E900" s="39" t="s">
        <v>148</v>
      </c>
      <c r="F900" s="26" t="s">
        <v>76</v>
      </c>
      <c r="H900" s="27" t="s">
        <v>350</v>
      </c>
      <c r="I900" s="27">
        <v>2027</v>
      </c>
      <c r="J900" s="27" t="s">
        <v>19</v>
      </c>
      <c r="K900" s="27" t="s">
        <v>161</v>
      </c>
      <c r="L900" s="27" t="s">
        <v>21</v>
      </c>
      <c r="M900" s="27" t="s">
        <v>22</v>
      </c>
      <c r="N900" s="40" t="s">
        <v>33</v>
      </c>
      <c r="O900" s="27"/>
      <c r="P900" s="27"/>
      <c r="Q900" s="41"/>
      <c r="R900" s="40"/>
    </row>
    <row r="901" spans="1:18" ht="30" customHeight="1" x14ac:dyDescent="0.3">
      <c r="A901" s="26" t="str">
        <f t="shared" si="26"/>
        <v>2027한양대(ERICA)</v>
      </c>
      <c r="B901" s="26">
        <f>COUNTIFS($A$4:A901,A901)</f>
        <v>5</v>
      </c>
      <c r="C901" s="26" t="str">
        <f t="shared" si="27"/>
        <v>2027한양대(ERICA)5</v>
      </c>
      <c r="E901" s="39" t="s">
        <v>148</v>
      </c>
      <c r="F901" s="26" t="s">
        <v>76</v>
      </c>
      <c r="H901" s="27" t="s">
        <v>350</v>
      </c>
      <c r="I901" s="27">
        <v>2027</v>
      </c>
      <c r="J901" s="27" t="s">
        <v>19</v>
      </c>
      <c r="K901" s="27" t="s">
        <v>161</v>
      </c>
      <c r="L901" s="27" t="s">
        <v>24</v>
      </c>
      <c r="M901" s="27" t="s">
        <v>22</v>
      </c>
      <c r="N901" s="40" t="s">
        <v>33</v>
      </c>
      <c r="O901" s="27"/>
      <c r="P901" s="27"/>
      <c r="Q901" s="41"/>
      <c r="R901" s="40"/>
    </row>
    <row r="902" spans="1:18" ht="30" customHeight="1" x14ac:dyDescent="0.3">
      <c r="A902" s="26" t="str">
        <f t="shared" si="26"/>
        <v>2027한양대(ERICA)</v>
      </c>
      <c r="B902" s="26">
        <f>COUNTIFS($A$4:A902,A902)</f>
        <v>6</v>
      </c>
      <c r="C902" s="26" t="str">
        <f t="shared" si="27"/>
        <v>2027한양대(ERICA)6</v>
      </c>
      <c r="E902" s="39" t="s">
        <v>148</v>
      </c>
      <c r="F902" s="26" t="s">
        <v>76</v>
      </c>
      <c r="H902" s="27" t="s">
        <v>350</v>
      </c>
      <c r="I902" s="27">
        <v>2027</v>
      </c>
      <c r="J902" s="27" t="s">
        <v>19</v>
      </c>
      <c r="K902" s="27" t="s">
        <v>160</v>
      </c>
      <c r="L902" s="27" t="s">
        <v>21</v>
      </c>
      <c r="M902" s="27" t="s">
        <v>22</v>
      </c>
      <c r="N902" s="40" t="s">
        <v>33</v>
      </c>
      <c r="O902" s="27"/>
      <c r="P902" s="27"/>
      <c r="Q902" s="41"/>
      <c r="R902" s="40"/>
    </row>
    <row r="903" spans="1:18" ht="30" customHeight="1" x14ac:dyDescent="0.3">
      <c r="A903" s="26" t="str">
        <f t="shared" si="26"/>
        <v>2027한양대(ERICA)</v>
      </c>
      <c r="B903" s="26">
        <f>COUNTIFS($A$4:A903,A903)</f>
        <v>7</v>
      </c>
      <c r="C903" s="26" t="str">
        <f t="shared" si="27"/>
        <v>2027한양대(ERICA)7</v>
      </c>
      <c r="E903" s="39" t="s">
        <v>148</v>
      </c>
      <c r="F903" s="26" t="s">
        <v>76</v>
      </c>
      <c r="H903" s="27" t="s">
        <v>350</v>
      </c>
      <c r="I903" s="27">
        <v>2027</v>
      </c>
      <c r="J903" s="27" t="s">
        <v>19</v>
      </c>
      <c r="K903" s="27" t="s">
        <v>160</v>
      </c>
      <c r="L903" s="27" t="s">
        <v>24</v>
      </c>
      <c r="M903" s="27" t="s">
        <v>22</v>
      </c>
      <c r="N903" s="40" t="s">
        <v>33</v>
      </c>
      <c r="O903" s="27"/>
      <c r="P903" s="27"/>
      <c r="Q903" s="41"/>
      <c r="R903" s="40"/>
    </row>
    <row r="904" spans="1:18" ht="30" customHeight="1" x14ac:dyDescent="0.3">
      <c r="A904" s="26" t="str">
        <f t="shared" si="26"/>
        <v>2026한양대(ERICA)</v>
      </c>
      <c r="B904" s="26">
        <f>COUNTIFS($A$4:A904,A904)</f>
        <v>10</v>
      </c>
      <c r="C904" s="26" t="str">
        <f t="shared" si="27"/>
        <v>2026한양대(ERICA)10</v>
      </c>
      <c r="E904" s="39" t="s">
        <v>148</v>
      </c>
      <c r="F904" s="26" t="s">
        <v>76</v>
      </c>
      <c r="H904" s="27" t="s">
        <v>350</v>
      </c>
      <c r="I904" s="27">
        <v>2026</v>
      </c>
      <c r="J904" s="27" t="s">
        <v>19</v>
      </c>
      <c r="K904" s="27" t="s">
        <v>358</v>
      </c>
      <c r="L904" s="27" t="s">
        <v>95</v>
      </c>
      <c r="M904" s="27" t="s">
        <v>22</v>
      </c>
      <c r="N904" s="40" t="s">
        <v>22</v>
      </c>
      <c r="O904" s="27" t="s">
        <v>22</v>
      </c>
      <c r="P904" s="27" t="s">
        <v>22</v>
      </c>
      <c r="Q904" s="41"/>
      <c r="R904" s="40"/>
    </row>
    <row r="905" spans="1:18" ht="30" customHeight="1" x14ac:dyDescent="0.3">
      <c r="A905" s="26" t="str">
        <f t="shared" si="26"/>
        <v>2026한양대(ERICA)</v>
      </c>
      <c r="B905" s="26">
        <f>COUNTIFS($A$4:A905,A905)</f>
        <v>11</v>
      </c>
      <c r="C905" s="26" t="str">
        <f t="shared" si="27"/>
        <v>2026한양대(ERICA)11</v>
      </c>
      <c r="E905" s="39" t="s">
        <v>148</v>
      </c>
      <c r="F905" s="26" t="s">
        <v>76</v>
      </c>
      <c r="H905" s="27" t="s">
        <v>350</v>
      </c>
      <c r="I905" s="27">
        <v>2026</v>
      </c>
      <c r="J905" s="27" t="s">
        <v>19</v>
      </c>
      <c r="K905" s="27" t="s">
        <v>359</v>
      </c>
      <c r="L905" s="27" t="s">
        <v>24</v>
      </c>
      <c r="M905" s="27" t="s">
        <v>22</v>
      </c>
      <c r="N905" s="40" t="s">
        <v>33</v>
      </c>
      <c r="O905" s="27" t="s">
        <v>33</v>
      </c>
      <c r="P905" s="27" t="s">
        <v>33</v>
      </c>
      <c r="Q905" s="41"/>
      <c r="R905" s="40"/>
    </row>
    <row r="906" spans="1:18" ht="60" x14ac:dyDescent="0.3">
      <c r="A906" s="26" t="str">
        <f t="shared" ref="A906:A969" si="28">I906&amp;H906</f>
        <v>2025연세대(미래)</v>
      </c>
      <c r="B906" s="26">
        <f>COUNTIFS($A$4:A906,A906)</f>
        <v>1</v>
      </c>
      <c r="C906" s="26" t="str">
        <f t="shared" ref="C906:C969" si="29">A906&amp;B906</f>
        <v>2025연세대(미래)1</v>
      </c>
      <c r="E906" s="39" t="s">
        <v>148</v>
      </c>
      <c r="F906" s="26" t="s">
        <v>76</v>
      </c>
      <c r="H906" s="27" t="s">
        <v>360</v>
      </c>
      <c r="I906" s="27">
        <v>2025</v>
      </c>
      <c r="J906" s="27" t="s">
        <v>38</v>
      </c>
      <c r="K906" s="27" t="s">
        <v>221</v>
      </c>
      <c r="L906" s="27" t="s">
        <v>361</v>
      </c>
      <c r="M906" s="27" t="s">
        <v>22</v>
      </c>
      <c r="N906" s="29" t="s">
        <v>362</v>
      </c>
      <c r="O906" s="27" t="s">
        <v>33</v>
      </c>
      <c r="P906" s="27" t="s">
        <v>33</v>
      </c>
      <c r="Q906" s="41"/>
      <c r="R906" s="40"/>
    </row>
    <row r="907" spans="1:18" ht="36" x14ac:dyDescent="0.3">
      <c r="A907" s="26" t="str">
        <f t="shared" si="28"/>
        <v>2025연세대(미래)</v>
      </c>
      <c r="B907" s="26">
        <f>COUNTIFS($A$4:A907,A907)</f>
        <v>2</v>
      </c>
      <c r="C907" s="26" t="str">
        <f t="shared" si="29"/>
        <v>2025연세대(미래)2</v>
      </c>
      <c r="E907" s="39" t="s">
        <v>148</v>
      </c>
      <c r="F907" s="26" t="s">
        <v>76</v>
      </c>
      <c r="H907" s="27" t="s">
        <v>360</v>
      </c>
      <c r="I907" s="27">
        <v>2025</v>
      </c>
      <c r="J907" s="27" t="s">
        <v>38</v>
      </c>
      <c r="K907" s="27" t="s">
        <v>221</v>
      </c>
      <c r="L907" s="27" t="s">
        <v>24</v>
      </c>
      <c r="M907" s="27" t="s">
        <v>42</v>
      </c>
      <c r="N907" s="29" t="s">
        <v>363</v>
      </c>
      <c r="O907" s="27" t="s">
        <v>217</v>
      </c>
      <c r="P907" s="27" t="s">
        <v>55</v>
      </c>
      <c r="Q907" s="41"/>
      <c r="R907" s="40"/>
    </row>
    <row r="908" spans="1:18" ht="30" customHeight="1" x14ac:dyDescent="0.3">
      <c r="A908" s="26" t="str">
        <f t="shared" si="28"/>
        <v>2025연세대(미래)</v>
      </c>
      <c r="B908" s="26">
        <f>COUNTIFS($A$4:A908,A908)</f>
        <v>3</v>
      </c>
      <c r="C908" s="26" t="str">
        <f t="shared" si="29"/>
        <v>2025연세대(미래)3</v>
      </c>
      <c r="E908" s="39" t="s">
        <v>148</v>
      </c>
      <c r="F908" s="26" t="s">
        <v>76</v>
      </c>
      <c r="H908" s="27" t="s">
        <v>360</v>
      </c>
      <c r="I908" s="27">
        <v>2025</v>
      </c>
      <c r="J908" s="27" t="s">
        <v>19</v>
      </c>
      <c r="K908" s="27" t="s">
        <v>218</v>
      </c>
      <c r="L908" s="27" t="s">
        <v>21</v>
      </c>
      <c r="M908" s="27" t="s">
        <v>22</v>
      </c>
      <c r="N908" s="40" t="s">
        <v>33</v>
      </c>
      <c r="O908" s="27" t="s">
        <v>33</v>
      </c>
      <c r="P908" s="27" t="s">
        <v>33</v>
      </c>
      <c r="Q908" s="41"/>
      <c r="R908" s="40"/>
    </row>
    <row r="909" spans="1:18" ht="24" x14ac:dyDescent="0.3">
      <c r="A909" s="26" t="str">
        <f t="shared" si="28"/>
        <v>2025연세대(미래)</v>
      </c>
      <c r="B909" s="26">
        <f>COUNTIFS($A$4:A909,A909)</f>
        <v>4</v>
      </c>
      <c r="C909" s="26" t="str">
        <f t="shared" si="29"/>
        <v>2025연세대(미래)4</v>
      </c>
      <c r="E909" s="39" t="s">
        <v>148</v>
      </c>
      <c r="F909" s="26" t="s">
        <v>76</v>
      </c>
      <c r="H909" s="27" t="s">
        <v>360</v>
      </c>
      <c r="I909" s="27">
        <v>2025</v>
      </c>
      <c r="J909" s="27" t="s">
        <v>19</v>
      </c>
      <c r="K909" s="27" t="s">
        <v>218</v>
      </c>
      <c r="L909" s="27" t="s">
        <v>361</v>
      </c>
      <c r="M909" s="27" t="s">
        <v>22</v>
      </c>
      <c r="N909" s="29" t="s">
        <v>22</v>
      </c>
      <c r="O909" s="27" t="s">
        <v>364</v>
      </c>
      <c r="P909" s="27" t="s">
        <v>364</v>
      </c>
      <c r="Q909" s="41"/>
      <c r="R909" s="40"/>
    </row>
    <row r="910" spans="1:18" ht="36" x14ac:dyDescent="0.3">
      <c r="A910" s="26" t="str">
        <f t="shared" si="28"/>
        <v>2025연세대(미래)</v>
      </c>
      <c r="B910" s="26">
        <f>COUNTIFS($A$4:A910,A910)</f>
        <v>5</v>
      </c>
      <c r="C910" s="26" t="str">
        <f t="shared" si="29"/>
        <v>2025연세대(미래)5</v>
      </c>
      <c r="E910" s="39" t="s">
        <v>148</v>
      </c>
      <c r="F910" s="26" t="s">
        <v>76</v>
      </c>
      <c r="H910" s="27" t="s">
        <v>360</v>
      </c>
      <c r="I910" s="27">
        <v>2025</v>
      </c>
      <c r="J910" s="27" t="s">
        <v>19</v>
      </c>
      <c r="K910" s="27" t="s">
        <v>218</v>
      </c>
      <c r="L910" s="27" t="s">
        <v>24</v>
      </c>
      <c r="M910" s="27" t="s">
        <v>42</v>
      </c>
      <c r="N910" s="29" t="s">
        <v>363</v>
      </c>
      <c r="O910" s="27" t="s">
        <v>217</v>
      </c>
      <c r="P910" s="27" t="s">
        <v>55</v>
      </c>
      <c r="Q910" s="41"/>
      <c r="R910" s="40"/>
    </row>
    <row r="911" spans="1:18" ht="30" customHeight="1" x14ac:dyDescent="0.3">
      <c r="A911" s="26" t="str">
        <f t="shared" si="28"/>
        <v>2025연세대(미래)</v>
      </c>
      <c r="B911" s="26">
        <f>COUNTIFS($A$4:A911,A911)</f>
        <v>6</v>
      </c>
      <c r="C911" s="26" t="str">
        <f t="shared" si="29"/>
        <v>2025연세대(미래)6</v>
      </c>
      <c r="E911" s="39" t="s">
        <v>148</v>
      </c>
      <c r="F911" s="26" t="s">
        <v>277</v>
      </c>
      <c r="H911" s="27" t="s">
        <v>360</v>
      </c>
      <c r="I911" s="27">
        <v>2025</v>
      </c>
      <c r="J911" s="27" t="s">
        <v>19</v>
      </c>
      <c r="K911" s="27" t="s">
        <v>365</v>
      </c>
      <c r="L911" s="27" t="s">
        <v>361</v>
      </c>
      <c r="M911" s="27" t="s">
        <v>22</v>
      </c>
      <c r="N911" s="29" t="s">
        <v>22</v>
      </c>
      <c r="O911" s="27" t="s">
        <v>364</v>
      </c>
      <c r="P911" s="27" t="s">
        <v>364</v>
      </c>
      <c r="Q911" s="41"/>
      <c r="R911" s="40"/>
    </row>
    <row r="912" spans="1:18" ht="36" x14ac:dyDescent="0.3">
      <c r="A912" s="26" t="str">
        <f t="shared" si="28"/>
        <v>2025연세대(미래)</v>
      </c>
      <c r="B912" s="26">
        <f>COUNTIFS($A$4:A912,A912)</f>
        <v>7</v>
      </c>
      <c r="C912" s="26" t="str">
        <f t="shared" si="29"/>
        <v>2025연세대(미래)7</v>
      </c>
      <c r="E912" s="39" t="s">
        <v>148</v>
      </c>
      <c r="F912" s="26" t="s">
        <v>277</v>
      </c>
      <c r="H912" s="27" t="s">
        <v>360</v>
      </c>
      <c r="I912" s="27">
        <v>2025</v>
      </c>
      <c r="J912" s="27" t="s">
        <v>19</v>
      </c>
      <c r="K912" s="27" t="s">
        <v>365</v>
      </c>
      <c r="L912" s="27" t="s">
        <v>24</v>
      </c>
      <c r="M912" s="27" t="s">
        <v>42</v>
      </c>
      <c r="N912" s="29" t="s">
        <v>366</v>
      </c>
      <c r="O912" s="27" t="s">
        <v>217</v>
      </c>
      <c r="P912" s="27" t="s">
        <v>55</v>
      </c>
      <c r="Q912" s="41"/>
      <c r="R912" s="40"/>
    </row>
    <row r="913" spans="1:18" ht="30" customHeight="1" x14ac:dyDescent="0.3">
      <c r="A913" s="26" t="str">
        <f t="shared" si="28"/>
        <v>2025연세대(미래)</v>
      </c>
      <c r="B913" s="26">
        <f>COUNTIFS($A$4:A913,A913)</f>
        <v>8</v>
      </c>
      <c r="C913" s="26" t="str">
        <f t="shared" si="29"/>
        <v>2025연세대(미래)8</v>
      </c>
      <c r="E913" s="39" t="s">
        <v>148</v>
      </c>
      <c r="F913" s="26" t="s">
        <v>277</v>
      </c>
      <c r="H913" s="27" t="s">
        <v>360</v>
      </c>
      <c r="I913" s="27">
        <v>2025</v>
      </c>
      <c r="J913" s="27" t="s">
        <v>19</v>
      </c>
      <c r="K913" s="27" t="s">
        <v>367</v>
      </c>
      <c r="L913" s="27" t="s">
        <v>94</v>
      </c>
      <c r="M913" s="27" t="s">
        <v>22</v>
      </c>
      <c r="N913" s="40" t="s">
        <v>22</v>
      </c>
      <c r="O913" s="27" t="s">
        <v>22</v>
      </c>
      <c r="P913" s="27" t="s">
        <v>22</v>
      </c>
      <c r="Q913" s="41"/>
      <c r="R913" s="40"/>
    </row>
    <row r="914" spans="1:18" ht="60" x14ac:dyDescent="0.3">
      <c r="A914" s="26" t="str">
        <f t="shared" si="28"/>
        <v>2025연세대(미래)</v>
      </c>
      <c r="B914" s="26">
        <f>COUNTIFS($A$4:A914,A914)</f>
        <v>9</v>
      </c>
      <c r="C914" s="26" t="str">
        <f t="shared" si="29"/>
        <v>2025연세대(미래)9</v>
      </c>
      <c r="E914" s="39" t="s">
        <v>148</v>
      </c>
      <c r="F914" s="26" t="s">
        <v>76</v>
      </c>
      <c r="H914" s="27" t="s">
        <v>360</v>
      </c>
      <c r="I914" s="27">
        <v>2025</v>
      </c>
      <c r="J914" s="27" t="s">
        <v>50</v>
      </c>
      <c r="K914" s="27" t="s">
        <v>368</v>
      </c>
      <c r="L914" s="27" t="s">
        <v>361</v>
      </c>
      <c r="M914" s="27" t="s">
        <v>22</v>
      </c>
      <c r="N914" s="29" t="s">
        <v>369</v>
      </c>
      <c r="O914" s="27" t="s">
        <v>33</v>
      </c>
      <c r="P914" s="27" t="s">
        <v>33</v>
      </c>
      <c r="Q914" s="41"/>
      <c r="R914" s="40"/>
    </row>
    <row r="915" spans="1:18" ht="60" x14ac:dyDescent="0.3">
      <c r="A915" s="26" t="str">
        <f t="shared" si="28"/>
        <v>2025연세대(미래)</v>
      </c>
      <c r="B915" s="26">
        <f>COUNTIFS($A$4:A915,A915)</f>
        <v>10</v>
      </c>
      <c r="C915" s="26" t="str">
        <f t="shared" si="29"/>
        <v>2025연세대(미래)10</v>
      </c>
      <c r="E915" s="39" t="s">
        <v>148</v>
      </c>
      <c r="F915" s="26" t="s">
        <v>76</v>
      </c>
      <c r="H915" s="27" t="s">
        <v>360</v>
      </c>
      <c r="I915" s="27">
        <v>2025</v>
      </c>
      <c r="J915" s="27" t="s">
        <v>50</v>
      </c>
      <c r="K915" s="27" t="s">
        <v>370</v>
      </c>
      <c r="L915" s="27" t="s">
        <v>361</v>
      </c>
      <c r="M915" s="27" t="s">
        <v>22</v>
      </c>
      <c r="N915" s="29" t="s">
        <v>371</v>
      </c>
      <c r="O915" s="27" t="s">
        <v>33</v>
      </c>
      <c r="P915" s="28" t="s">
        <v>28</v>
      </c>
      <c r="Q915" s="41"/>
      <c r="R915" s="40"/>
    </row>
    <row r="916" spans="1:18" ht="36" x14ac:dyDescent="0.3">
      <c r="A916" s="26" t="str">
        <f t="shared" si="28"/>
        <v>2025연세대(미래)</v>
      </c>
      <c r="B916" s="26">
        <f>COUNTIFS($A$4:A916,A916)</f>
        <v>11</v>
      </c>
      <c r="C916" s="26" t="str">
        <f t="shared" si="29"/>
        <v>2025연세대(미래)11</v>
      </c>
      <c r="E916" s="39" t="s">
        <v>148</v>
      </c>
      <c r="F916" s="26" t="s">
        <v>76</v>
      </c>
      <c r="H916" s="27" t="s">
        <v>360</v>
      </c>
      <c r="I916" s="27">
        <v>2025</v>
      </c>
      <c r="J916" s="27" t="s">
        <v>50</v>
      </c>
      <c r="K916" s="27" t="s">
        <v>370</v>
      </c>
      <c r="L916" s="27" t="s">
        <v>24</v>
      </c>
      <c r="M916" s="27" t="s">
        <v>42</v>
      </c>
      <c r="N916" s="29" t="s">
        <v>372</v>
      </c>
      <c r="O916" s="27" t="s">
        <v>217</v>
      </c>
      <c r="P916" s="27" t="s">
        <v>55</v>
      </c>
      <c r="Q916" s="41"/>
      <c r="R916" s="40"/>
    </row>
    <row r="917" spans="1:18" ht="30" customHeight="1" x14ac:dyDescent="0.3">
      <c r="A917" s="26" t="str">
        <f t="shared" si="28"/>
        <v>2026연세대(미래)</v>
      </c>
      <c r="B917" s="26">
        <f>COUNTIFS($A$4:A917,A917)</f>
        <v>1</v>
      </c>
      <c r="C917" s="26" t="str">
        <f t="shared" si="29"/>
        <v>2026연세대(미래)1</v>
      </c>
      <c r="E917" s="39" t="s">
        <v>148</v>
      </c>
      <c r="F917" s="26" t="s">
        <v>76</v>
      </c>
      <c r="H917" s="27" t="s">
        <v>360</v>
      </c>
      <c r="I917" s="27">
        <v>2026</v>
      </c>
      <c r="J917" s="27" t="s">
        <v>38</v>
      </c>
      <c r="K917" s="27" t="s">
        <v>373</v>
      </c>
      <c r="L917" s="27" t="s">
        <v>361</v>
      </c>
      <c r="M917" s="27" t="s">
        <v>22</v>
      </c>
      <c r="N917" s="40" t="s">
        <v>33</v>
      </c>
      <c r="O917" s="27" t="s">
        <v>22</v>
      </c>
      <c r="P917" s="27" t="s">
        <v>22</v>
      </c>
      <c r="Q917" s="32" t="s">
        <v>199</v>
      </c>
      <c r="R917" s="40"/>
    </row>
    <row r="918" spans="1:18" ht="36" x14ac:dyDescent="0.3">
      <c r="A918" s="26" t="str">
        <f t="shared" si="28"/>
        <v>2026연세대(미래)</v>
      </c>
      <c r="B918" s="26">
        <f>COUNTIFS($A$4:A918,A918)</f>
        <v>2</v>
      </c>
      <c r="C918" s="26" t="str">
        <f t="shared" si="29"/>
        <v>2026연세대(미래)2</v>
      </c>
      <c r="E918" s="39" t="s">
        <v>148</v>
      </c>
      <c r="F918" s="26" t="s">
        <v>76</v>
      </c>
      <c r="H918" s="27" t="s">
        <v>360</v>
      </c>
      <c r="I918" s="27">
        <v>2026</v>
      </c>
      <c r="J918" s="27" t="s">
        <v>38</v>
      </c>
      <c r="K918" s="27" t="s">
        <v>373</v>
      </c>
      <c r="L918" s="27" t="s">
        <v>24</v>
      </c>
      <c r="M918" s="27" t="s">
        <v>42</v>
      </c>
      <c r="N918" s="29" t="s">
        <v>366</v>
      </c>
      <c r="O918" s="27" t="s">
        <v>217</v>
      </c>
      <c r="P918" s="27" t="s">
        <v>55</v>
      </c>
      <c r="Q918" s="32" t="s">
        <v>199</v>
      </c>
      <c r="R918" s="40"/>
    </row>
    <row r="919" spans="1:18" ht="60" x14ac:dyDescent="0.3">
      <c r="A919" s="26" t="str">
        <f t="shared" si="28"/>
        <v>2026연세대(미래)</v>
      </c>
      <c r="B919" s="26">
        <f>COUNTIFS($A$4:A919,A919)</f>
        <v>3</v>
      </c>
      <c r="C919" s="26" t="str">
        <f t="shared" si="29"/>
        <v>2026연세대(미래)3</v>
      </c>
      <c r="E919" s="39" t="s">
        <v>148</v>
      </c>
      <c r="F919" s="26" t="s">
        <v>76</v>
      </c>
      <c r="H919" s="27" t="s">
        <v>360</v>
      </c>
      <c r="I919" s="27">
        <v>2026</v>
      </c>
      <c r="J919" s="27" t="s">
        <v>38</v>
      </c>
      <c r="K919" s="27" t="s">
        <v>374</v>
      </c>
      <c r="L919" s="27" t="s">
        <v>361</v>
      </c>
      <c r="M919" s="27" t="s">
        <v>22</v>
      </c>
      <c r="N919" s="29" t="s">
        <v>375</v>
      </c>
      <c r="O919" s="27" t="s">
        <v>22</v>
      </c>
      <c r="P919" s="27" t="s">
        <v>22</v>
      </c>
      <c r="Q919" s="30" t="s">
        <v>285</v>
      </c>
      <c r="R919" s="40"/>
    </row>
    <row r="920" spans="1:18" ht="36" x14ac:dyDescent="0.3">
      <c r="A920" s="26" t="str">
        <f t="shared" si="28"/>
        <v>2026연세대(미래)</v>
      </c>
      <c r="B920" s="26">
        <f>COUNTIFS($A$4:A920,A920)</f>
        <v>4</v>
      </c>
      <c r="C920" s="26" t="str">
        <f t="shared" si="29"/>
        <v>2026연세대(미래)4</v>
      </c>
      <c r="E920" s="39" t="s">
        <v>148</v>
      </c>
      <c r="F920" s="26" t="s">
        <v>76</v>
      </c>
      <c r="H920" s="27" t="s">
        <v>360</v>
      </c>
      <c r="I920" s="27">
        <v>2026</v>
      </c>
      <c r="J920" s="27" t="s">
        <v>38</v>
      </c>
      <c r="K920" s="27" t="s">
        <v>374</v>
      </c>
      <c r="L920" s="27" t="s">
        <v>24</v>
      </c>
      <c r="M920" s="27" t="s">
        <v>42</v>
      </c>
      <c r="N920" s="29" t="s">
        <v>363</v>
      </c>
      <c r="O920" s="27" t="s">
        <v>217</v>
      </c>
      <c r="P920" s="27" t="s">
        <v>55</v>
      </c>
      <c r="Q920" s="41"/>
      <c r="R920" s="40"/>
    </row>
    <row r="921" spans="1:18" ht="30" customHeight="1" x14ac:dyDescent="0.3">
      <c r="A921" s="26" t="str">
        <f t="shared" si="28"/>
        <v>2026연세대(미래)</v>
      </c>
      <c r="B921" s="26">
        <f>COUNTIFS($A$4:A921,A921)</f>
        <v>5</v>
      </c>
      <c r="C921" s="26" t="str">
        <f t="shared" si="29"/>
        <v>2026연세대(미래)5</v>
      </c>
      <c r="E921" s="39" t="s">
        <v>148</v>
      </c>
      <c r="F921" s="26" t="s">
        <v>76</v>
      </c>
      <c r="H921" s="27" t="s">
        <v>360</v>
      </c>
      <c r="I921" s="27">
        <v>2026</v>
      </c>
      <c r="J921" s="27" t="s">
        <v>19</v>
      </c>
      <c r="K921" s="27" t="s">
        <v>218</v>
      </c>
      <c r="L921" s="27" t="s">
        <v>21</v>
      </c>
      <c r="M921" s="27" t="s">
        <v>22</v>
      </c>
      <c r="N921" s="40" t="s">
        <v>33</v>
      </c>
      <c r="O921" s="27" t="s">
        <v>33</v>
      </c>
      <c r="P921" s="27" t="s">
        <v>33</v>
      </c>
      <c r="Q921" s="41"/>
      <c r="R921" s="40"/>
    </row>
    <row r="922" spans="1:18" ht="30" customHeight="1" x14ac:dyDescent="0.3">
      <c r="A922" s="26" t="str">
        <f t="shared" si="28"/>
        <v>2026연세대(미래)</v>
      </c>
      <c r="B922" s="26">
        <f>COUNTIFS($A$4:A922,A922)</f>
        <v>6</v>
      </c>
      <c r="C922" s="26" t="str">
        <f t="shared" si="29"/>
        <v>2026연세대(미래)6</v>
      </c>
      <c r="E922" s="39" t="s">
        <v>148</v>
      </c>
      <c r="F922" s="26" t="s">
        <v>76</v>
      </c>
      <c r="H922" s="27" t="s">
        <v>360</v>
      </c>
      <c r="I922" s="27">
        <v>2026</v>
      </c>
      <c r="J922" s="27" t="s">
        <v>19</v>
      </c>
      <c r="K922" s="27" t="s">
        <v>218</v>
      </c>
      <c r="L922" s="27" t="s">
        <v>361</v>
      </c>
      <c r="M922" s="27" t="s">
        <v>22</v>
      </c>
      <c r="N922" s="29" t="s">
        <v>22</v>
      </c>
      <c r="O922" s="27" t="s">
        <v>364</v>
      </c>
      <c r="P922" s="27" t="s">
        <v>364</v>
      </c>
      <c r="Q922" s="41"/>
      <c r="R922" s="40"/>
    </row>
    <row r="923" spans="1:18" ht="36" x14ac:dyDescent="0.3">
      <c r="A923" s="26" t="str">
        <f t="shared" si="28"/>
        <v>2026연세대(미래)</v>
      </c>
      <c r="B923" s="26">
        <f>COUNTIFS($A$4:A923,A923)</f>
        <v>7</v>
      </c>
      <c r="C923" s="26" t="str">
        <f t="shared" si="29"/>
        <v>2026연세대(미래)7</v>
      </c>
      <c r="E923" s="39" t="s">
        <v>148</v>
      </c>
      <c r="F923" s="26" t="s">
        <v>76</v>
      </c>
      <c r="H923" s="27" t="s">
        <v>360</v>
      </c>
      <c r="I923" s="27">
        <v>2026</v>
      </c>
      <c r="J923" s="27" t="s">
        <v>19</v>
      </c>
      <c r="K923" s="27" t="s">
        <v>218</v>
      </c>
      <c r="L923" s="27" t="s">
        <v>24</v>
      </c>
      <c r="M923" s="27" t="s">
        <v>42</v>
      </c>
      <c r="N923" s="29" t="s">
        <v>363</v>
      </c>
      <c r="O923" s="27" t="s">
        <v>217</v>
      </c>
      <c r="P923" s="27" t="s">
        <v>55</v>
      </c>
      <c r="Q923" s="41"/>
      <c r="R923" s="40"/>
    </row>
    <row r="924" spans="1:18" ht="30" customHeight="1" x14ac:dyDescent="0.3">
      <c r="A924" s="26" t="str">
        <f t="shared" si="28"/>
        <v>2026연세대(미래)</v>
      </c>
      <c r="B924" s="26">
        <f>COUNTIFS($A$4:A924,A924)</f>
        <v>8</v>
      </c>
      <c r="C924" s="26" t="str">
        <f t="shared" si="29"/>
        <v>2026연세대(미래)8</v>
      </c>
      <c r="E924" s="39" t="s">
        <v>148</v>
      </c>
      <c r="F924" s="26" t="s">
        <v>277</v>
      </c>
      <c r="H924" s="27" t="s">
        <v>360</v>
      </c>
      <c r="I924" s="27">
        <v>2026</v>
      </c>
      <c r="J924" s="27" t="s">
        <v>19</v>
      </c>
      <c r="K924" s="27" t="s">
        <v>365</v>
      </c>
      <c r="L924" s="27" t="s">
        <v>361</v>
      </c>
      <c r="M924" s="27" t="s">
        <v>22</v>
      </c>
      <c r="N924" s="40" t="s">
        <v>33</v>
      </c>
      <c r="O924" s="27" t="s">
        <v>22</v>
      </c>
      <c r="P924" s="27" t="s">
        <v>22</v>
      </c>
      <c r="Q924" s="41"/>
      <c r="R924" s="40"/>
    </row>
    <row r="925" spans="1:18" ht="36" x14ac:dyDescent="0.3">
      <c r="A925" s="26" t="str">
        <f t="shared" si="28"/>
        <v>2026연세대(미래)</v>
      </c>
      <c r="B925" s="26">
        <f>COUNTIFS($A$4:A925,A925)</f>
        <v>9</v>
      </c>
      <c r="C925" s="26" t="str">
        <f t="shared" si="29"/>
        <v>2026연세대(미래)9</v>
      </c>
      <c r="E925" s="39" t="s">
        <v>148</v>
      </c>
      <c r="F925" s="26" t="s">
        <v>277</v>
      </c>
      <c r="H925" s="27" t="s">
        <v>360</v>
      </c>
      <c r="I925" s="27">
        <v>2026</v>
      </c>
      <c r="J925" s="27" t="s">
        <v>19</v>
      </c>
      <c r="K925" s="27" t="s">
        <v>365</v>
      </c>
      <c r="L925" s="27" t="s">
        <v>24</v>
      </c>
      <c r="M925" s="27" t="s">
        <v>42</v>
      </c>
      <c r="N925" s="29" t="s">
        <v>376</v>
      </c>
      <c r="O925" s="27" t="s">
        <v>217</v>
      </c>
      <c r="P925" s="27" t="s">
        <v>55</v>
      </c>
      <c r="Q925" s="32" t="s">
        <v>180</v>
      </c>
      <c r="R925" s="40"/>
    </row>
    <row r="926" spans="1:18" ht="30" customHeight="1" x14ac:dyDescent="0.3">
      <c r="A926" s="26" t="str">
        <f t="shared" si="28"/>
        <v>2026연세대(미래)</v>
      </c>
      <c r="B926" s="26">
        <f>COUNTIFS($A$4:A926,A926)</f>
        <v>10</v>
      </c>
      <c r="C926" s="26" t="str">
        <f t="shared" si="29"/>
        <v>2026연세대(미래)10</v>
      </c>
      <c r="E926" s="39" t="s">
        <v>148</v>
      </c>
      <c r="F926" s="26" t="s">
        <v>277</v>
      </c>
      <c r="H926" s="27" t="s">
        <v>360</v>
      </c>
      <c r="I926" s="27">
        <v>2026</v>
      </c>
      <c r="J926" s="27" t="s">
        <v>19</v>
      </c>
      <c r="K926" s="27" t="s">
        <v>367</v>
      </c>
      <c r="L926" s="27" t="s">
        <v>94</v>
      </c>
      <c r="M926" s="27" t="s">
        <v>22</v>
      </c>
      <c r="N926" s="29" t="s">
        <v>22</v>
      </c>
      <c r="O926" s="27" t="s">
        <v>22</v>
      </c>
      <c r="P926" s="27" t="s">
        <v>22</v>
      </c>
      <c r="Q926" s="32"/>
      <c r="R926" s="40"/>
    </row>
    <row r="927" spans="1:18" ht="60" x14ac:dyDescent="0.3">
      <c r="A927" s="26" t="str">
        <f t="shared" si="28"/>
        <v>2026연세대(미래)</v>
      </c>
      <c r="B927" s="26">
        <f>COUNTIFS($A$4:A927,A927)</f>
        <v>11</v>
      </c>
      <c r="C927" s="26" t="str">
        <f t="shared" si="29"/>
        <v>2026연세대(미래)11</v>
      </c>
      <c r="E927" s="39" t="s">
        <v>148</v>
      </c>
      <c r="F927" s="26" t="s">
        <v>76</v>
      </c>
      <c r="H927" s="27" t="s">
        <v>360</v>
      </c>
      <c r="I927" s="27">
        <v>2026</v>
      </c>
      <c r="J927" s="27" t="s">
        <v>50</v>
      </c>
      <c r="K927" s="27" t="s">
        <v>368</v>
      </c>
      <c r="L927" s="27" t="s">
        <v>361</v>
      </c>
      <c r="M927" s="27" t="s">
        <v>22</v>
      </c>
      <c r="N927" s="29" t="s">
        <v>377</v>
      </c>
      <c r="O927" s="27" t="s">
        <v>22</v>
      </c>
      <c r="P927" s="27" t="s">
        <v>22</v>
      </c>
      <c r="Q927" s="41"/>
      <c r="R927" s="40"/>
    </row>
    <row r="928" spans="1:18" ht="60" x14ac:dyDescent="0.3">
      <c r="A928" s="26" t="str">
        <f t="shared" si="28"/>
        <v>2026연세대(미래)</v>
      </c>
      <c r="B928" s="26">
        <f>COUNTIFS($A$4:A928,A928)</f>
        <v>12</v>
      </c>
      <c r="C928" s="26" t="str">
        <f t="shared" si="29"/>
        <v>2026연세대(미래)12</v>
      </c>
      <c r="E928" s="39" t="s">
        <v>148</v>
      </c>
      <c r="F928" s="26" t="s">
        <v>76</v>
      </c>
      <c r="H928" s="27" t="s">
        <v>360</v>
      </c>
      <c r="I928" s="27">
        <v>2026</v>
      </c>
      <c r="J928" s="27" t="s">
        <v>50</v>
      </c>
      <c r="K928" s="27" t="s">
        <v>370</v>
      </c>
      <c r="L928" s="27" t="s">
        <v>361</v>
      </c>
      <c r="M928" s="27" t="s">
        <v>22</v>
      </c>
      <c r="N928" s="29" t="s">
        <v>378</v>
      </c>
      <c r="O928" s="27" t="s">
        <v>22</v>
      </c>
      <c r="P928" s="27" t="s">
        <v>28</v>
      </c>
      <c r="Q928" s="41"/>
      <c r="R928" s="40"/>
    </row>
    <row r="929" spans="1:18" ht="36" x14ac:dyDescent="0.3">
      <c r="A929" s="26" t="str">
        <f t="shared" si="28"/>
        <v>2026연세대(미래)</v>
      </c>
      <c r="B929" s="26">
        <f>COUNTIFS($A$4:A929,A929)</f>
        <v>13</v>
      </c>
      <c r="C929" s="26" t="str">
        <f t="shared" si="29"/>
        <v>2026연세대(미래)13</v>
      </c>
      <c r="E929" s="39" t="s">
        <v>148</v>
      </c>
      <c r="F929" s="26" t="s">
        <v>76</v>
      </c>
      <c r="H929" s="27" t="s">
        <v>360</v>
      </c>
      <c r="I929" s="27">
        <v>2026</v>
      </c>
      <c r="J929" s="27" t="s">
        <v>50</v>
      </c>
      <c r="K929" s="27" t="s">
        <v>370</v>
      </c>
      <c r="L929" s="27" t="s">
        <v>24</v>
      </c>
      <c r="M929" s="27" t="s">
        <v>42</v>
      </c>
      <c r="N929" s="29" t="s">
        <v>372</v>
      </c>
      <c r="O929" s="27" t="s">
        <v>217</v>
      </c>
      <c r="P929" s="27" t="s">
        <v>55</v>
      </c>
      <c r="Q929" s="41"/>
      <c r="R929" s="40"/>
    </row>
    <row r="930" spans="1:18" ht="30" customHeight="1" x14ac:dyDescent="0.3">
      <c r="A930" s="26" t="str">
        <f t="shared" si="28"/>
        <v>2027연세대(미래)</v>
      </c>
      <c r="B930" s="26">
        <f>COUNTIFS($A$4:A930,A930)</f>
        <v>1</v>
      </c>
      <c r="C930" s="26" t="str">
        <f t="shared" si="29"/>
        <v>2027연세대(미래)1</v>
      </c>
      <c r="E930" s="39" t="s">
        <v>148</v>
      </c>
      <c r="F930" s="26" t="s">
        <v>76</v>
      </c>
      <c r="H930" s="27" t="s">
        <v>360</v>
      </c>
      <c r="I930" s="27">
        <v>2027</v>
      </c>
      <c r="J930" s="27" t="s">
        <v>38</v>
      </c>
      <c r="K930" s="27" t="s">
        <v>373</v>
      </c>
      <c r="L930" s="27" t="s">
        <v>361</v>
      </c>
      <c r="M930" s="27" t="s">
        <v>22</v>
      </c>
      <c r="N930" s="40" t="s">
        <v>33</v>
      </c>
      <c r="O930" s="27"/>
      <c r="P930" s="27"/>
      <c r="Q930" s="41"/>
      <c r="R930" s="40"/>
    </row>
    <row r="931" spans="1:18" ht="36" x14ac:dyDescent="0.3">
      <c r="A931" s="26" t="str">
        <f t="shared" si="28"/>
        <v>2027연세대(미래)</v>
      </c>
      <c r="B931" s="26">
        <f>COUNTIFS($A$4:A931,A931)</f>
        <v>2</v>
      </c>
      <c r="C931" s="26" t="str">
        <f t="shared" si="29"/>
        <v>2027연세대(미래)2</v>
      </c>
      <c r="E931" s="39" t="s">
        <v>148</v>
      </c>
      <c r="F931" s="26" t="s">
        <v>76</v>
      </c>
      <c r="H931" s="27" t="s">
        <v>360</v>
      </c>
      <c r="I931" s="27">
        <v>2027</v>
      </c>
      <c r="J931" s="27" t="s">
        <v>38</v>
      </c>
      <c r="K931" s="27" t="s">
        <v>373</v>
      </c>
      <c r="L931" s="27" t="s">
        <v>24</v>
      </c>
      <c r="M931" s="27" t="s">
        <v>42</v>
      </c>
      <c r="N931" s="29" t="s">
        <v>366</v>
      </c>
      <c r="O931" s="27" t="s">
        <v>217</v>
      </c>
      <c r="P931" s="27" t="s">
        <v>55</v>
      </c>
      <c r="Q931" s="41"/>
      <c r="R931" s="40"/>
    </row>
    <row r="932" spans="1:18" ht="30" customHeight="1" x14ac:dyDescent="0.3">
      <c r="A932" s="26" t="str">
        <f t="shared" si="28"/>
        <v>2027연세대(미래)</v>
      </c>
      <c r="B932" s="26">
        <f>COUNTIFS($A$4:A932,A932)</f>
        <v>3</v>
      </c>
      <c r="C932" s="26" t="str">
        <f t="shared" si="29"/>
        <v>2027연세대(미래)3</v>
      </c>
      <c r="E932" s="39" t="s">
        <v>148</v>
      </c>
      <c r="F932" s="26" t="s">
        <v>76</v>
      </c>
      <c r="H932" s="27" t="s">
        <v>360</v>
      </c>
      <c r="I932" s="27">
        <v>2027</v>
      </c>
      <c r="J932" s="27" t="s">
        <v>38</v>
      </c>
      <c r="K932" s="27" t="s">
        <v>374</v>
      </c>
      <c r="L932" s="27" t="s">
        <v>21</v>
      </c>
      <c r="M932" s="27" t="s">
        <v>22</v>
      </c>
      <c r="N932" s="29" t="s">
        <v>379</v>
      </c>
      <c r="O932" s="27" t="s">
        <v>22</v>
      </c>
      <c r="P932" s="27" t="s">
        <v>22</v>
      </c>
      <c r="Q932" s="41"/>
      <c r="R932" s="40"/>
    </row>
    <row r="933" spans="1:18" ht="60" x14ac:dyDescent="0.3">
      <c r="A933" s="26" t="str">
        <f t="shared" si="28"/>
        <v>2027연세대(미래)</v>
      </c>
      <c r="B933" s="26">
        <f>COUNTIFS($A$4:A933,A933)</f>
        <v>4</v>
      </c>
      <c r="C933" s="26" t="str">
        <f t="shared" si="29"/>
        <v>2027연세대(미래)4</v>
      </c>
      <c r="E933" s="39" t="s">
        <v>148</v>
      </c>
      <c r="F933" s="26" t="s">
        <v>76</v>
      </c>
      <c r="H933" s="27" t="s">
        <v>360</v>
      </c>
      <c r="I933" s="27">
        <v>2027</v>
      </c>
      <c r="J933" s="27" t="s">
        <v>38</v>
      </c>
      <c r="K933" s="27" t="s">
        <v>374</v>
      </c>
      <c r="L933" s="27" t="s">
        <v>24</v>
      </c>
      <c r="M933" s="27" t="s">
        <v>22</v>
      </c>
      <c r="N933" s="29" t="s">
        <v>375</v>
      </c>
      <c r="O933" s="27" t="s">
        <v>22</v>
      </c>
      <c r="P933" s="27" t="s">
        <v>22</v>
      </c>
      <c r="Q933" s="41"/>
      <c r="R933" s="40"/>
    </row>
    <row r="934" spans="1:18" ht="36" x14ac:dyDescent="0.3">
      <c r="A934" s="26" t="str">
        <f t="shared" si="28"/>
        <v>2027연세대(미래)</v>
      </c>
      <c r="B934" s="26">
        <f>COUNTIFS($A$4:A934,A934)</f>
        <v>5</v>
      </c>
      <c r="C934" s="26" t="str">
        <f t="shared" si="29"/>
        <v>2027연세대(미래)5</v>
      </c>
      <c r="E934" s="39" t="s">
        <v>148</v>
      </c>
      <c r="F934" s="26" t="s">
        <v>76</v>
      </c>
      <c r="H934" s="27" t="s">
        <v>360</v>
      </c>
      <c r="I934" s="27">
        <v>2027</v>
      </c>
      <c r="J934" s="27" t="s">
        <v>38</v>
      </c>
      <c r="K934" s="27" t="s">
        <v>374</v>
      </c>
      <c r="L934" s="27" t="s">
        <v>24</v>
      </c>
      <c r="M934" s="27" t="s">
        <v>42</v>
      </c>
      <c r="N934" s="29" t="s">
        <v>363</v>
      </c>
      <c r="O934" s="27" t="s">
        <v>217</v>
      </c>
      <c r="P934" s="27" t="s">
        <v>55</v>
      </c>
      <c r="Q934" s="41"/>
      <c r="R934" s="40"/>
    </row>
    <row r="935" spans="1:18" ht="30" customHeight="1" x14ac:dyDescent="0.3">
      <c r="A935" s="26" t="str">
        <f t="shared" si="28"/>
        <v>2027연세대(미래)</v>
      </c>
      <c r="B935" s="26">
        <f>COUNTIFS($A$4:A935,A935)</f>
        <v>6</v>
      </c>
      <c r="C935" s="26" t="str">
        <f t="shared" si="29"/>
        <v>2027연세대(미래)6</v>
      </c>
      <c r="E935" s="39" t="s">
        <v>148</v>
      </c>
      <c r="F935" s="26" t="s">
        <v>76</v>
      </c>
      <c r="H935" s="27" t="s">
        <v>360</v>
      </c>
      <c r="I935" s="27">
        <v>2027</v>
      </c>
      <c r="J935" s="27" t="s">
        <v>19</v>
      </c>
      <c r="K935" s="27" t="s">
        <v>380</v>
      </c>
      <c r="L935" s="27" t="s">
        <v>21</v>
      </c>
      <c r="M935" s="27" t="s">
        <v>22</v>
      </c>
      <c r="N935" s="40" t="s">
        <v>33</v>
      </c>
      <c r="O935" s="27" t="s">
        <v>22</v>
      </c>
      <c r="P935" s="27" t="s">
        <v>22</v>
      </c>
      <c r="Q935" s="41"/>
      <c r="R935" s="40"/>
    </row>
    <row r="936" spans="1:18" ht="30" customHeight="1" x14ac:dyDescent="0.3">
      <c r="A936" s="26" t="str">
        <f t="shared" si="28"/>
        <v>2027연세대(미래)</v>
      </c>
      <c r="B936" s="26">
        <f>COUNTIFS($A$4:A936,A936)</f>
        <v>7</v>
      </c>
      <c r="C936" s="26" t="str">
        <f t="shared" si="29"/>
        <v>2027연세대(미래)7</v>
      </c>
      <c r="E936" s="39" t="s">
        <v>148</v>
      </c>
      <c r="F936" s="26" t="s">
        <v>76</v>
      </c>
      <c r="H936" s="27" t="s">
        <v>360</v>
      </c>
      <c r="I936" s="27">
        <v>2027</v>
      </c>
      <c r="J936" s="27" t="s">
        <v>19</v>
      </c>
      <c r="K936" s="27" t="s">
        <v>380</v>
      </c>
      <c r="L936" s="27" t="s">
        <v>24</v>
      </c>
      <c r="M936" s="27" t="s">
        <v>22</v>
      </c>
      <c r="N936" s="40" t="s">
        <v>33</v>
      </c>
      <c r="O936" s="27" t="s">
        <v>22</v>
      </c>
      <c r="P936" s="27" t="s">
        <v>22</v>
      </c>
      <c r="Q936" s="41"/>
      <c r="R936" s="40"/>
    </row>
    <row r="937" spans="1:18" ht="36" x14ac:dyDescent="0.3">
      <c r="A937" s="26" t="str">
        <f t="shared" si="28"/>
        <v>2027연세대(미래)</v>
      </c>
      <c r="B937" s="26">
        <f>COUNTIFS($A$4:A937,A937)</f>
        <v>8</v>
      </c>
      <c r="C937" s="26" t="str">
        <f t="shared" si="29"/>
        <v>2027연세대(미래)8</v>
      </c>
      <c r="E937" s="39" t="s">
        <v>148</v>
      </c>
      <c r="F937" s="26" t="s">
        <v>76</v>
      </c>
      <c r="H937" s="27" t="s">
        <v>360</v>
      </c>
      <c r="I937" s="27">
        <v>2027</v>
      </c>
      <c r="J937" s="27" t="s">
        <v>19</v>
      </c>
      <c r="K937" s="27" t="s">
        <v>380</v>
      </c>
      <c r="L937" s="27" t="s">
        <v>24</v>
      </c>
      <c r="M937" s="27" t="s">
        <v>42</v>
      </c>
      <c r="N937" s="29" t="s">
        <v>363</v>
      </c>
      <c r="O937" s="27" t="s">
        <v>217</v>
      </c>
      <c r="P937" s="27" t="s">
        <v>55</v>
      </c>
      <c r="Q937" s="41"/>
      <c r="R937" s="40"/>
    </row>
    <row r="938" spans="1:18" ht="30" customHeight="1" x14ac:dyDescent="0.3">
      <c r="A938" s="26" t="str">
        <f t="shared" si="28"/>
        <v>2027연세대(미래)</v>
      </c>
      <c r="B938" s="26">
        <f>COUNTIFS($A$4:A938,A938)</f>
        <v>9</v>
      </c>
      <c r="C938" s="26" t="str">
        <f t="shared" si="29"/>
        <v>2027연세대(미래)9</v>
      </c>
      <c r="E938" s="39" t="s">
        <v>148</v>
      </c>
      <c r="F938" s="26" t="s">
        <v>76</v>
      </c>
      <c r="H938" s="27" t="s">
        <v>360</v>
      </c>
      <c r="I938" s="27">
        <v>2027</v>
      </c>
      <c r="J938" s="27" t="s">
        <v>19</v>
      </c>
      <c r="K938" s="27" t="s">
        <v>381</v>
      </c>
      <c r="L938" s="27" t="s">
        <v>361</v>
      </c>
      <c r="M938" s="27" t="s">
        <v>22</v>
      </c>
      <c r="N938" s="40" t="s">
        <v>33</v>
      </c>
      <c r="O938" s="27" t="s">
        <v>22</v>
      </c>
      <c r="P938" s="27" t="s">
        <v>22</v>
      </c>
      <c r="Q938" s="32" t="s">
        <v>144</v>
      </c>
      <c r="R938" s="40"/>
    </row>
    <row r="939" spans="1:18" ht="30" customHeight="1" x14ac:dyDescent="0.3">
      <c r="A939" s="26" t="str">
        <f t="shared" si="28"/>
        <v>2027연세대(미래)</v>
      </c>
      <c r="B939" s="26">
        <f>COUNTIFS($A$4:A939,A939)</f>
        <v>10</v>
      </c>
      <c r="C939" s="26" t="str">
        <f t="shared" si="29"/>
        <v>2027연세대(미래)10</v>
      </c>
      <c r="E939" s="39" t="s">
        <v>148</v>
      </c>
      <c r="F939" s="26" t="s">
        <v>76</v>
      </c>
      <c r="H939" s="27" t="s">
        <v>360</v>
      </c>
      <c r="I939" s="27">
        <v>2027</v>
      </c>
      <c r="J939" s="27" t="s">
        <v>19</v>
      </c>
      <c r="K939" s="27" t="s">
        <v>365</v>
      </c>
      <c r="L939" s="27" t="s">
        <v>361</v>
      </c>
      <c r="M939" s="27" t="s">
        <v>22</v>
      </c>
      <c r="N939" s="40" t="s">
        <v>22</v>
      </c>
      <c r="O939" s="27" t="s">
        <v>22</v>
      </c>
      <c r="P939" s="27" t="s">
        <v>22</v>
      </c>
      <c r="Q939" s="32"/>
      <c r="R939" s="40"/>
    </row>
    <row r="940" spans="1:18" ht="36" x14ac:dyDescent="0.3">
      <c r="A940" s="26" t="str">
        <f t="shared" si="28"/>
        <v>2027연세대(미래)</v>
      </c>
      <c r="B940" s="26">
        <f>COUNTIFS($A$4:A940,A940)</f>
        <v>11</v>
      </c>
      <c r="C940" s="26" t="str">
        <f t="shared" si="29"/>
        <v>2027연세대(미래)11</v>
      </c>
      <c r="E940" s="39" t="s">
        <v>148</v>
      </c>
      <c r="F940" s="26" t="s">
        <v>76</v>
      </c>
      <c r="H940" s="27" t="s">
        <v>360</v>
      </c>
      <c r="I940" s="27">
        <v>2027</v>
      </c>
      <c r="J940" s="27" t="s">
        <v>19</v>
      </c>
      <c r="K940" s="27" t="s">
        <v>365</v>
      </c>
      <c r="L940" s="27" t="s">
        <v>24</v>
      </c>
      <c r="M940" s="27" t="s">
        <v>42</v>
      </c>
      <c r="N940" s="29" t="s">
        <v>376</v>
      </c>
      <c r="O940" s="27" t="s">
        <v>217</v>
      </c>
      <c r="P940" s="27" t="s">
        <v>55</v>
      </c>
      <c r="Q940" s="32"/>
      <c r="R940" s="40"/>
    </row>
    <row r="941" spans="1:18" ht="30" customHeight="1" x14ac:dyDescent="0.3">
      <c r="A941" s="26" t="str">
        <f t="shared" si="28"/>
        <v>2027연세대(미래)</v>
      </c>
      <c r="B941" s="26">
        <f>COUNTIFS($A$4:A941,A941)</f>
        <v>12</v>
      </c>
      <c r="C941" s="26" t="str">
        <f t="shared" si="29"/>
        <v>2027연세대(미래)12</v>
      </c>
      <c r="E941" s="39" t="s">
        <v>148</v>
      </c>
      <c r="F941" s="26" t="s">
        <v>76</v>
      </c>
      <c r="H941" s="27" t="s">
        <v>360</v>
      </c>
      <c r="I941" s="27">
        <v>2027</v>
      </c>
      <c r="J941" s="27" t="s">
        <v>19</v>
      </c>
      <c r="K941" s="27" t="s">
        <v>367</v>
      </c>
      <c r="L941" s="27" t="s">
        <v>94</v>
      </c>
      <c r="M941" s="27" t="s">
        <v>22</v>
      </c>
      <c r="N941" s="40" t="s">
        <v>22</v>
      </c>
      <c r="O941" s="27" t="s">
        <v>22</v>
      </c>
      <c r="P941" s="27" t="s">
        <v>22</v>
      </c>
      <c r="Q941" s="32"/>
      <c r="R941" s="40"/>
    </row>
    <row r="942" spans="1:18" ht="30" customHeight="1" x14ac:dyDescent="0.3">
      <c r="A942" s="26" t="str">
        <f t="shared" si="28"/>
        <v>2027연세대(미래)</v>
      </c>
      <c r="B942" s="26">
        <f>COUNTIFS($A$4:A942,A942)</f>
        <v>13</v>
      </c>
      <c r="C942" s="26" t="str">
        <f t="shared" si="29"/>
        <v>2027연세대(미래)13</v>
      </c>
      <c r="E942" s="39" t="s">
        <v>148</v>
      </c>
      <c r="F942" s="26" t="s">
        <v>76</v>
      </c>
      <c r="H942" s="27" t="s">
        <v>360</v>
      </c>
      <c r="I942" s="27">
        <v>2027</v>
      </c>
      <c r="J942" s="27" t="s">
        <v>237</v>
      </c>
      <c r="K942" s="27" t="s">
        <v>50</v>
      </c>
      <c r="L942" s="27" t="s">
        <v>21</v>
      </c>
      <c r="M942" s="27" t="s">
        <v>22</v>
      </c>
      <c r="N942" s="40" t="s">
        <v>33</v>
      </c>
      <c r="O942" s="27" t="s">
        <v>22</v>
      </c>
      <c r="P942" s="27" t="s">
        <v>22</v>
      </c>
      <c r="Q942" s="32" t="s">
        <v>72</v>
      </c>
      <c r="R942" s="40"/>
    </row>
    <row r="943" spans="1:18" ht="30" customHeight="1" x14ac:dyDescent="0.3">
      <c r="A943" s="26" t="str">
        <f t="shared" si="28"/>
        <v>2027연세대(미래)</v>
      </c>
      <c r="B943" s="26">
        <f>COUNTIFS($A$4:A943,A943)</f>
        <v>14</v>
      </c>
      <c r="C943" s="26" t="str">
        <f t="shared" si="29"/>
        <v>2027연세대(미래)14</v>
      </c>
      <c r="E943" s="39" t="s">
        <v>148</v>
      </c>
      <c r="F943" s="26" t="s">
        <v>76</v>
      </c>
      <c r="H943" s="27" t="s">
        <v>360</v>
      </c>
      <c r="I943" s="27">
        <v>2027</v>
      </c>
      <c r="J943" s="27" t="s">
        <v>237</v>
      </c>
      <c r="K943" s="27" t="s">
        <v>50</v>
      </c>
      <c r="L943" s="27" t="s">
        <v>24</v>
      </c>
      <c r="M943" s="27" t="s">
        <v>22</v>
      </c>
      <c r="N943" s="40" t="s">
        <v>33</v>
      </c>
      <c r="O943" s="27" t="s">
        <v>22</v>
      </c>
      <c r="P943" s="27" t="s">
        <v>22</v>
      </c>
      <c r="Q943" s="30" t="s">
        <v>382</v>
      </c>
      <c r="R943" s="40"/>
    </row>
    <row r="944" spans="1:18" ht="30" customHeight="1" x14ac:dyDescent="0.3">
      <c r="A944" s="26" t="str">
        <f t="shared" si="28"/>
        <v>2025고려대(세종)</v>
      </c>
      <c r="B944" s="26">
        <f>COUNTIFS($A$4:A944,A944)</f>
        <v>1</v>
      </c>
      <c r="C944" s="26" t="str">
        <f t="shared" si="29"/>
        <v>2025고려대(세종)1</v>
      </c>
      <c r="E944" s="39" t="s">
        <v>148</v>
      </c>
      <c r="F944" s="26" t="s">
        <v>76</v>
      </c>
      <c r="H944" s="27" t="s">
        <v>383</v>
      </c>
      <c r="I944" s="27">
        <v>2025</v>
      </c>
      <c r="J944" s="27" t="s">
        <v>38</v>
      </c>
      <c r="K944" s="27" t="s">
        <v>76</v>
      </c>
      <c r="L944" s="27" t="s">
        <v>21</v>
      </c>
      <c r="M944" s="27" t="s">
        <v>22</v>
      </c>
      <c r="N944" s="40" t="s">
        <v>169</v>
      </c>
      <c r="O944" s="27" t="s">
        <v>33</v>
      </c>
      <c r="P944" s="27" t="s">
        <v>33</v>
      </c>
      <c r="Q944" s="41"/>
      <c r="R944" s="40"/>
    </row>
    <row r="945" spans="1:18" ht="60" x14ac:dyDescent="0.3">
      <c r="A945" s="26" t="str">
        <f t="shared" si="28"/>
        <v>2025고려대(세종)</v>
      </c>
      <c r="B945" s="26">
        <f>COUNTIFS($A$4:A945,A945)</f>
        <v>2</v>
      </c>
      <c r="C945" s="26" t="str">
        <f t="shared" si="29"/>
        <v>2025고려대(세종)2</v>
      </c>
      <c r="E945" s="39" t="s">
        <v>148</v>
      </c>
      <c r="F945" s="26" t="s">
        <v>76</v>
      </c>
      <c r="H945" s="27" t="s">
        <v>383</v>
      </c>
      <c r="I945" s="27">
        <v>2025</v>
      </c>
      <c r="J945" s="27" t="s">
        <v>38</v>
      </c>
      <c r="K945" s="27" t="s">
        <v>76</v>
      </c>
      <c r="L945" s="27" t="s">
        <v>24</v>
      </c>
      <c r="M945" s="27" t="s">
        <v>22</v>
      </c>
      <c r="N945" s="29" t="s">
        <v>384</v>
      </c>
      <c r="O945" s="27" t="s">
        <v>217</v>
      </c>
      <c r="P945" s="27" t="s">
        <v>55</v>
      </c>
      <c r="Q945" s="41"/>
      <c r="R945" s="40"/>
    </row>
    <row r="946" spans="1:18" ht="30" customHeight="1" x14ac:dyDescent="0.3">
      <c r="A946" s="26" t="str">
        <f t="shared" si="28"/>
        <v>2025고려대(세종)</v>
      </c>
      <c r="B946" s="26">
        <f>COUNTIFS($A$4:A946,A946)</f>
        <v>3</v>
      </c>
      <c r="C946" s="26" t="str">
        <f t="shared" si="29"/>
        <v>2025고려대(세종)3</v>
      </c>
      <c r="E946" s="39" t="s">
        <v>148</v>
      </c>
      <c r="F946" s="26" t="s">
        <v>76</v>
      </c>
      <c r="H946" s="27" t="s">
        <v>383</v>
      </c>
      <c r="I946" s="27">
        <v>2025</v>
      </c>
      <c r="J946" s="27" t="s">
        <v>19</v>
      </c>
      <c r="K946" s="27" t="s">
        <v>385</v>
      </c>
      <c r="L946" s="27" t="s">
        <v>21</v>
      </c>
      <c r="M946" s="27" t="s">
        <v>22</v>
      </c>
      <c r="N946" s="40" t="s">
        <v>33</v>
      </c>
      <c r="O946" s="27" t="s">
        <v>33</v>
      </c>
      <c r="P946" s="27" t="s">
        <v>33</v>
      </c>
      <c r="Q946" s="41"/>
      <c r="R946" s="40"/>
    </row>
    <row r="947" spans="1:18" ht="30" customHeight="1" x14ac:dyDescent="0.3">
      <c r="A947" s="26" t="str">
        <f t="shared" si="28"/>
        <v>2025고려대(세종)</v>
      </c>
      <c r="B947" s="26">
        <f>COUNTIFS($A$4:A947,A947)</f>
        <v>4</v>
      </c>
      <c r="C947" s="26" t="str">
        <f t="shared" si="29"/>
        <v>2025고려대(세종)4</v>
      </c>
      <c r="E947" s="39" t="s">
        <v>148</v>
      </c>
      <c r="F947" s="26" t="s">
        <v>76</v>
      </c>
      <c r="H947" s="27" t="s">
        <v>383</v>
      </c>
      <c r="I947" s="27">
        <v>2025</v>
      </c>
      <c r="J947" s="27" t="s">
        <v>19</v>
      </c>
      <c r="K947" s="27" t="s">
        <v>385</v>
      </c>
      <c r="L947" s="27" t="s">
        <v>24</v>
      </c>
      <c r="M947" s="27" t="s">
        <v>22</v>
      </c>
      <c r="N947" s="40" t="s">
        <v>33</v>
      </c>
      <c r="O947" s="27" t="s">
        <v>33</v>
      </c>
      <c r="P947" s="27" t="s">
        <v>33</v>
      </c>
      <c r="Q947" s="41"/>
      <c r="R947" s="40"/>
    </row>
    <row r="948" spans="1:18" ht="30" customHeight="1" x14ac:dyDescent="0.3">
      <c r="A948" s="26" t="str">
        <f t="shared" si="28"/>
        <v>2025고려대(세종)</v>
      </c>
      <c r="B948" s="26">
        <f>COUNTIFS($A$4:A948,A948)</f>
        <v>5</v>
      </c>
      <c r="C948" s="26" t="str">
        <f t="shared" si="29"/>
        <v>2025고려대(세종)5</v>
      </c>
      <c r="E948" s="39" t="s">
        <v>148</v>
      </c>
      <c r="F948" s="26" t="s">
        <v>76</v>
      </c>
      <c r="H948" s="27" t="s">
        <v>383</v>
      </c>
      <c r="I948" s="27">
        <v>2025</v>
      </c>
      <c r="J948" s="27" t="s">
        <v>19</v>
      </c>
      <c r="K948" s="27" t="s">
        <v>385</v>
      </c>
      <c r="L948" s="27" t="s">
        <v>24</v>
      </c>
      <c r="M948" s="27" t="s">
        <v>42</v>
      </c>
      <c r="N948" s="29" t="s">
        <v>386</v>
      </c>
      <c r="O948" s="27" t="s">
        <v>217</v>
      </c>
      <c r="P948" s="27" t="s">
        <v>55</v>
      </c>
      <c r="Q948" s="41"/>
      <c r="R948" s="40"/>
    </row>
    <row r="949" spans="1:18" ht="30" customHeight="1" x14ac:dyDescent="0.3">
      <c r="A949" s="26" t="str">
        <f t="shared" si="28"/>
        <v>2025고려대(세종)</v>
      </c>
      <c r="B949" s="26">
        <f>COUNTIFS($A$4:A949,A949)</f>
        <v>6</v>
      </c>
      <c r="C949" s="26" t="str">
        <f t="shared" si="29"/>
        <v>2025고려대(세종)6</v>
      </c>
      <c r="E949" s="39" t="s">
        <v>148</v>
      </c>
      <c r="F949" s="26" t="s">
        <v>277</v>
      </c>
      <c r="H949" s="27" t="s">
        <v>383</v>
      </c>
      <c r="I949" s="27">
        <v>2025</v>
      </c>
      <c r="J949" s="27" t="s">
        <v>19</v>
      </c>
      <c r="K949" s="27" t="s">
        <v>387</v>
      </c>
      <c r="L949" s="27" t="s">
        <v>21</v>
      </c>
      <c r="M949" s="27" t="s">
        <v>22</v>
      </c>
      <c r="N949" s="40" t="s">
        <v>33</v>
      </c>
      <c r="O949" s="27" t="s">
        <v>33</v>
      </c>
      <c r="P949" s="27" t="s">
        <v>33</v>
      </c>
      <c r="Q949" s="41"/>
      <c r="R949" s="40"/>
    </row>
    <row r="950" spans="1:18" ht="30" customHeight="1" x14ac:dyDescent="0.3">
      <c r="A950" s="26" t="str">
        <f t="shared" si="28"/>
        <v>2025고려대(세종)</v>
      </c>
      <c r="B950" s="26">
        <f>COUNTIFS($A$4:A950,A950)</f>
        <v>7</v>
      </c>
      <c r="C950" s="26" t="str">
        <f t="shared" si="29"/>
        <v>2025고려대(세종)7</v>
      </c>
      <c r="E950" s="39" t="s">
        <v>148</v>
      </c>
      <c r="F950" s="26" t="s">
        <v>277</v>
      </c>
      <c r="H950" s="27" t="s">
        <v>383</v>
      </c>
      <c r="I950" s="27">
        <v>2025</v>
      </c>
      <c r="J950" s="27" t="s">
        <v>19</v>
      </c>
      <c r="K950" s="27" t="s">
        <v>387</v>
      </c>
      <c r="L950" s="27" t="s">
        <v>24</v>
      </c>
      <c r="M950" s="27" t="s">
        <v>22</v>
      </c>
      <c r="N950" s="40" t="s">
        <v>33</v>
      </c>
      <c r="O950" s="27" t="s">
        <v>33</v>
      </c>
      <c r="P950" s="27" t="s">
        <v>33</v>
      </c>
      <c r="Q950" s="41"/>
      <c r="R950" s="40"/>
    </row>
    <row r="951" spans="1:18" ht="30" customHeight="1" x14ac:dyDescent="0.3">
      <c r="A951" s="26" t="str">
        <f t="shared" si="28"/>
        <v>2025고려대(세종)</v>
      </c>
      <c r="B951" s="26">
        <f>COUNTIFS($A$4:A951,A951)</f>
        <v>8</v>
      </c>
      <c r="C951" s="26" t="str">
        <f t="shared" si="29"/>
        <v>2025고려대(세종)8</v>
      </c>
      <c r="E951" s="39" t="s">
        <v>148</v>
      </c>
      <c r="F951" s="26" t="s">
        <v>277</v>
      </c>
      <c r="H951" s="27" t="s">
        <v>383</v>
      </c>
      <c r="I951" s="27">
        <v>2025</v>
      </c>
      <c r="J951" s="27" t="s">
        <v>19</v>
      </c>
      <c r="K951" s="27" t="s">
        <v>387</v>
      </c>
      <c r="L951" s="27" t="s">
        <v>24</v>
      </c>
      <c r="M951" s="27" t="s">
        <v>42</v>
      </c>
      <c r="N951" s="29" t="s">
        <v>386</v>
      </c>
      <c r="O951" s="27" t="s">
        <v>217</v>
      </c>
      <c r="P951" s="27" t="s">
        <v>55</v>
      </c>
      <c r="Q951" s="41"/>
      <c r="R951" s="40"/>
    </row>
    <row r="952" spans="1:18" ht="30" customHeight="1" x14ac:dyDescent="0.3">
      <c r="A952" s="26" t="str">
        <f t="shared" si="28"/>
        <v>2025고려대(세종)</v>
      </c>
      <c r="B952" s="26">
        <f>COUNTIFS($A$4:A952,A952)</f>
        <v>9</v>
      </c>
      <c r="C952" s="26" t="str">
        <f t="shared" si="29"/>
        <v>2025고려대(세종)9</v>
      </c>
      <c r="E952" s="39" t="s">
        <v>148</v>
      </c>
      <c r="F952" s="26" t="s">
        <v>76</v>
      </c>
      <c r="H952" s="27" t="s">
        <v>383</v>
      </c>
      <c r="I952" s="27">
        <v>2025</v>
      </c>
      <c r="J952" s="27" t="s">
        <v>50</v>
      </c>
      <c r="K952" s="27" t="s">
        <v>76</v>
      </c>
      <c r="L952" s="27" t="s">
        <v>21</v>
      </c>
      <c r="M952" s="27" t="s">
        <v>22</v>
      </c>
      <c r="N952" s="40" t="s">
        <v>169</v>
      </c>
      <c r="O952" s="27" t="s">
        <v>33</v>
      </c>
      <c r="P952" s="27" t="s">
        <v>33</v>
      </c>
      <c r="Q952" s="41"/>
      <c r="R952" s="40"/>
    </row>
    <row r="953" spans="1:18" ht="60" x14ac:dyDescent="0.3">
      <c r="A953" s="26" t="str">
        <f t="shared" si="28"/>
        <v>2025고려대(세종)</v>
      </c>
      <c r="B953" s="26">
        <f>COUNTIFS($A$4:A953,A953)</f>
        <v>10</v>
      </c>
      <c r="C953" s="26" t="str">
        <f t="shared" si="29"/>
        <v>2025고려대(세종)10</v>
      </c>
      <c r="E953" s="39" t="s">
        <v>148</v>
      </c>
      <c r="F953" s="26" t="s">
        <v>76</v>
      </c>
      <c r="H953" s="27" t="s">
        <v>383</v>
      </c>
      <c r="I953" s="27">
        <v>2025</v>
      </c>
      <c r="J953" s="27" t="s">
        <v>50</v>
      </c>
      <c r="K953" s="27" t="s">
        <v>76</v>
      </c>
      <c r="L953" s="27" t="s">
        <v>24</v>
      </c>
      <c r="M953" s="27" t="s">
        <v>22</v>
      </c>
      <c r="N953" s="29" t="s">
        <v>384</v>
      </c>
      <c r="O953" s="27" t="s">
        <v>217</v>
      </c>
      <c r="P953" s="27" t="s">
        <v>55</v>
      </c>
      <c r="Q953" s="41"/>
      <c r="R953" s="40"/>
    </row>
    <row r="954" spans="1:18" ht="30" customHeight="1" x14ac:dyDescent="0.3">
      <c r="A954" s="26" t="str">
        <f t="shared" si="28"/>
        <v>2025고려대(세종)</v>
      </c>
      <c r="B954" s="26">
        <f>COUNTIFS($A$4:A954,A954)</f>
        <v>11</v>
      </c>
      <c r="C954" s="26" t="str">
        <f t="shared" si="29"/>
        <v>2025고려대(세종)11</v>
      </c>
      <c r="E954" s="39" t="s">
        <v>148</v>
      </c>
      <c r="F954" s="26" t="s">
        <v>76</v>
      </c>
      <c r="H954" s="27" t="s">
        <v>383</v>
      </c>
      <c r="I954" s="27">
        <v>2025</v>
      </c>
      <c r="J954" s="27" t="s">
        <v>50</v>
      </c>
      <c r="K954" s="27" t="s">
        <v>76</v>
      </c>
      <c r="L954" s="27" t="s">
        <v>24</v>
      </c>
      <c r="M954" s="27" t="s">
        <v>42</v>
      </c>
      <c r="N954" s="29" t="s">
        <v>386</v>
      </c>
      <c r="O954" s="27" t="s">
        <v>217</v>
      </c>
      <c r="P954" s="27" t="s">
        <v>55</v>
      </c>
      <c r="Q954" s="41"/>
      <c r="R954" s="40"/>
    </row>
    <row r="955" spans="1:18" ht="30" customHeight="1" x14ac:dyDescent="0.3">
      <c r="A955" s="26" t="str">
        <f t="shared" si="28"/>
        <v>2025고려대(세종)</v>
      </c>
      <c r="B955" s="26">
        <f>COUNTIFS($A$4:A955,A955)</f>
        <v>12</v>
      </c>
      <c r="C955" s="26" t="str">
        <f t="shared" si="29"/>
        <v>2025고려대(세종)12</v>
      </c>
      <c r="E955" s="39" t="s">
        <v>148</v>
      </c>
      <c r="F955" s="26" t="s">
        <v>277</v>
      </c>
      <c r="H955" s="27" t="s">
        <v>383</v>
      </c>
      <c r="I955" s="27">
        <v>2025</v>
      </c>
      <c r="J955" s="27" t="s">
        <v>50</v>
      </c>
      <c r="K955" s="27" t="s">
        <v>387</v>
      </c>
      <c r="L955" s="27" t="s">
        <v>24</v>
      </c>
      <c r="M955" s="27" t="s">
        <v>42</v>
      </c>
      <c r="N955" s="29" t="s">
        <v>386</v>
      </c>
      <c r="O955" s="27" t="s">
        <v>217</v>
      </c>
      <c r="P955" s="27" t="s">
        <v>55</v>
      </c>
      <c r="Q955" s="41"/>
      <c r="R955" s="40"/>
    </row>
    <row r="956" spans="1:18" ht="30" customHeight="1" x14ac:dyDescent="0.3">
      <c r="A956" s="26" t="str">
        <f t="shared" si="28"/>
        <v>2026고려대(세종)</v>
      </c>
      <c r="B956" s="26">
        <f>COUNTIFS($A$4:A956,A956)</f>
        <v>1</v>
      </c>
      <c r="C956" s="26" t="str">
        <f t="shared" si="29"/>
        <v>2026고려대(세종)1</v>
      </c>
      <c r="E956" s="39" t="s">
        <v>148</v>
      </c>
      <c r="F956" s="26" t="s">
        <v>76</v>
      </c>
      <c r="H956" s="27" t="s">
        <v>383</v>
      </c>
      <c r="I956" s="27">
        <v>2026</v>
      </c>
      <c r="J956" s="27" t="s">
        <v>290</v>
      </c>
      <c r="K956" s="27" t="s">
        <v>17</v>
      </c>
      <c r="L956" s="27" t="s">
        <v>21</v>
      </c>
      <c r="M956" s="27" t="s">
        <v>22</v>
      </c>
      <c r="N956" s="40" t="s">
        <v>169</v>
      </c>
      <c r="O956" s="27" t="s">
        <v>22</v>
      </c>
      <c r="P956" s="27" t="s">
        <v>22</v>
      </c>
      <c r="Q956" s="41"/>
      <c r="R956" s="40"/>
    </row>
    <row r="957" spans="1:18" ht="60" x14ac:dyDescent="0.3">
      <c r="A957" s="26" t="str">
        <f t="shared" si="28"/>
        <v>2026고려대(세종)</v>
      </c>
      <c r="B957" s="26">
        <f>COUNTIFS($A$4:A957,A957)</f>
        <v>2</v>
      </c>
      <c r="C957" s="26" t="str">
        <f t="shared" si="29"/>
        <v>2026고려대(세종)2</v>
      </c>
      <c r="E957" s="39" t="s">
        <v>148</v>
      </c>
      <c r="F957" s="26" t="s">
        <v>76</v>
      </c>
      <c r="H957" s="27" t="s">
        <v>383</v>
      </c>
      <c r="I957" s="27">
        <v>2026</v>
      </c>
      <c r="J957" s="27" t="s">
        <v>290</v>
      </c>
      <c r="K957" s="27" t="s">
        <v>17</v>
      </c>
      <c r="L957" s="27" t="s">
        <v>24</v>
      </c>
      <c r="M957" s="27" t="s">
        <v>22</v>
      </c>
      <c r="N957" s="29" t="s">
        <v>388</v>
      </c>
      <c r="O957" s="27" t="s">
        <v>27</v>
      </c>
      <c r="P957" s="27" t="s">
        <v>28</v>
      </c>
      <c r="Q957" s="30" t="s">
        <v>389</v>
      </c>
      <c r="R957" s="40"/>
    </row>
    <row r="958" spans="1:18" ht="30" customHeight="1" x14ac:dyDescent="0.3">
      <c r="A958" s="26" t="str">
        <f t="shared" si="28"/>
        <v>2026고려대(세종)</v>
      </c>
      <c r="B958" s="26">
        <f>COUNTIFS($A$4:A958,A958)</f>
        <v>3</v>
      </c>
      <c r="C958" s="26" t="str">
        <f t="shared" si="29"/>
        <v>2026고려대(세종)3</v>
      </c>
      <c r="E958" s="39" t="s">
        <v>148</v>
      </c>
      <c r="F958" s="26" t="s">
        <v>76</v>
      </c>
      <c r="H958" s="27" t="s">
        <v>383</v>
      </c>
      <c r="I958" s="27">
        <v>2026</v>
      </c>
      <c r="J958" s="27" t="s">
        <v>273</v>
      </c>
      <c r="K958" s="27" t="s">
        <v>385</v>
      </c>
      <c r="L958" s="27" t="s">
        <v>21</v>
      </c>
      <c r="M958" s="27" t="s">
        <v>22</v>
      </c>
      <c r="N958" s="40" t="s">
        <v>33</v>
      </c>
      <c r="O958" s="27" t="s">
        <v>22</v>
      </c>
      <c r="P958" s="27" t="s">
        <v>22</v>
      </c>
      <c r="Q958" s="41"/>
      <c r="R958" s="40"/>
    </row>
    <row r="959" spans="1:18" ht="30" customHeight="1" x14ac:dyDescent="0.3">
      <c r="A959" s="26" t="str">
        <f t="shared" si="28"/>
        <v>2026고려대(세종)</v>
      </c>
      <c r="B959" s="26">
        <f>COUNTIFS($A$4:A959,A959)</f>
        <v>4</v>
      </c>
      <c r="C959" s="26" t="str">
        <f t="shared" si="29"/>
        <v>2026고려대(세종)4</v>
      </c>
      <c r="E959" s="39" t="s">
        <v>148</v>
      </c>
      <c r="F959" s="26" t="s">
        <v>76</v>
      </c>
      <c r="H959" s="27" t="s">
        <v>383</v>
      </c>
      <c r="I959" s="27">
        <v>2026</v>
      </c>
      <c r="J959" s="27" t="s">
        <v>19</v>
      </c>
      <c r="K959" s="27" t="s">
        <v>385</v>
      </c>
      <c r="L959" s="27" t="s">
        <v>24</v>
      </c>
      <c r="M959" s="27" t="s">
        <v>22</v>
      </c>
      <c r="N959" s="40" t="s">
        <v>33</v>
      </c>
      <c r="O959" s="27" t="s">
        <v>22</v>
      </c>
      <c r="P959" s="27" t="s">
        <v>22</v>
      </c>
      <c r="Q959" s="41"/>
      <c r="R959" s="40"/>
    </row>
    <row r="960" spans="1:18" ht="30" customHeight="1" x14ac:dyDescent="0.3">
      <c r="A960" s="26" t="str">
        <f t="shared" si="28"/>
        <v>2026고려대(세종)</v>
      </c>
      <c r="B960" s="26">
        <f>COUNTIFS($A$4:A960,A960)</f>
        <v>5</v>
      </c>
      <c r="C960" s="26" t="str">
        <f t="shared" si="29"/>
        <v>2026고려대(세종)5</v>
      </c>
      <c r="E960" s="39" t="s">
        <v>148</v>
      </c>
      <c r="F960" s="26" t="s">
        <v>76</v>
      </c>
      <c r="H960" s="27" t="s">
        <v>383</v>
      </c>
      <c r="I960" s="27">
        <v>2026</v>
      </c>
      <c r="J960" s="27" t="s">
        <v>19</v>
      </c>
      <c r="K960" s="27" t="s">
        <v>385</v>
      </c>
      <c r="L960" s="27" t="s">
        <v>24</v>
      </c>
      <c r="M960" s="27" t="s">
        <v>42</v>
      </c>
      <c r="N960" s="29" t="s">
        <v>386</v>
      </c>
      <c r="O960" s="27" t="s">
        <v>217</v>
      </c>
      <c r="P960" s="27" t="s">
        <v>55</v>
      </c>
      <c r="Q960" s="41"/>
      <c r="R960" s="40"/>
    </row>
    <row r="961" spans="1:18" ht="30" customHeight="1" x14ac:dyDescent="0.3">
      <c r="A961" s="26" t="str">
        <f t="shared" si="28"/>
        <v>2026고려대(세종)</v>
      </c>
      <c r="B961" s="26">
        <f>COUNTIFS($A$4:A961,A961)</f>
        <v>6</v>
      </c>
      <c r="C961" s="26" t="str">
        <f t="shared" si="29"/>
        <v>2026고려대(세종)6</v>
      </c>
      <c r="E961" s="39" t="s">
        <v>148</v>
      </c>
      <c r="F961" s="26" t="s">
        <v>277</v>
      </c>
      <c r="H961" s="27" t="s">
        <v>383</v>
      </c>
      <c r="I961" s="27">
        <v>2026</v>
      </c>
      <c r="J961" s="27" t="s">
        <v>273</v>
      </c>
      <c r="K961" s="27" t="s">
        <v>390</v>
      </c>
      <c r="L961" s="27" t="s">
        <v>21</v>
      </c>
      <c r="M961" s="27" t="s">
        <v>22</v>
      </c>
      <c r="N961" s="40" t="s">
        <v>33</v>
      </c>
      <c r="O961" s="27" t="s">
        <v>22</v>
      </c>
      <c r="P961" s="27" t="s">
        <v>22</v>
      </c>
      <c r="Q961" s="41"/>
      <c r="R961" s="40"/>
    </row>
    <row r="962" spans="1:18" ht="30" customHeight="1" x14ac:dyDescent="0.3">
      <c r="A962" s="26" t="str">
        <f t="shared" si="28"/>
        <v>2026고려대(세종)</v>
      </c>
      <c r="B962" s="26">
        <f>COUNTIFS($A$4:A962,A962)</f>
        <v>7</v>
      </c>
      <c r="C962" s="26" t="str">
        <f t="shared" si="29"/>
        <v>2026고려대(세종)7</v>
      </c>
      <c r="E962" s="39" t="s">
        <v>148</v>
      </c>
      <c r="F962" s="26" t="s">
        <v>277</v>
      </c>
      <c r="H962" s="27" t="s">
        <v>383</v>
      </c>
      <c r="I962" s="27">
        <v>2026</v>
      </c>
      <c r="J962" s="27" t="s">
        <v>19</v>
      </c>
      <c r="K962" s="27" t="s">
        <v>390</v>
      </c>
      <c r="L962" s="27" t="s">
        <v>24</v>
      </c>
      <c r="M962" s="27" t="s">
        <v>22</v>
      </c>
      <c r="N962" s="40" t="s">
        <v>33</v>
      </c>
      <c r="O962" s="27" t="s">
        <v>22</v>
      </c>
      <c r="P962" s="27" t="s">
        <v>22</v>
      </c>
      <c r="Q962" s="41"/>
      <c r="R962" s="40"/>
    </row>
    <row r="963" spans="1:18" ht="30" customHeight="1" x14ac:dyDescent="0.3">
      <c r="A963" s="26" t="str">
        <f t="shared" si="28"/>
        <v>2026고려대(세종)</v>
      </c>
      <c r="B963" s="26">
        <f>COUNTIFS($A$4:A963,A963)</f>
        <v>8</v>
      </c>
      <c r="C963" s="26" t="str">
        <f t="shared" si="29"/>
        <v>2026고려대(세종)8</v>
      </c>
      <c r="E963" s="39" t="s">
        <v>148</v>
      </c>
      <c r="F963" s="26" t="s">
        <v>277</v>
      </c>
      <c r="H963" s="27" t="s">
        <v>383</v>
      </c>
      <c r="I963" s="27">
        <v>2026</v>
      </c>
      <c r="J963" s="27" t="s">
        <v>19</v>
      </c>
      <c r="K963" s="27" t="s">
        <v>390</v>
      </c>
      <c r="L963" s="27" t="s">
        <v>24</v>
      </c>
      <c r="M963" s="27" t="s">
        <v>42</v>
      </c>
      <c r="N963" s="29" t="s">
        <v>386</v>
      </c>
      <c r="O963" s="27" t="s">
        <v>217</v>
      </c>
      <c r="P963" s="27" t="s">
        <v>55</v>
      </c>
      <c r="Q963" s="41"/>
      <c r="R963" s="40"/>
    </row>
    <row r="964" spans="1:18" ht="30" customHeight="1" x14ac:dyDescent="0.3">
      <c r="A964" s="26" t="str">
        <f t="shared" si="28"/>
        <v>2026고려대(세종)</v>
      </c>
      <c r="B964" s="26">
        <f>COUNTIFS($A$4:A964,A964)</f>
        <v>9</v>
      </c>
      <c r="C964" s="26" t="str">
        <f t="shared" si="29"/>
        <v>2026고려대(세종)9</v>
      </c>
      <c r="E964" s="39" t="s">
        <v>148</v>
      </c>
      <c r="F964" s="26" t="s">
        <v>76</v>
      </c>
      <c r="H964" s="27" t="s">
        <v>383</v>
      </c>
      <c r="I964" s="27">
        <v>2026</v>
      </c>
      <c r="J964" s="27" t="s">
        <v>50</v>
      </c>
      <c r="K964" s="27" t="s">
        <v>50</v>
      </c>
      <c r="L964" s="27" t="s">
        <v>21</v>
      </c>
      <c r="M964" s="27" t="s">
        <v>22</v>
      </c>
      <c r="N964" s="40" t="s">
        <v>169</v>
      </c>
      <c r="O964" s="27" t="s">
        <v>22</v>
      </c>
      <c r="P964" s="27" t="s">
        <v>22</v>
      </c>
      <c r="Q964" s="41"/>
      <c r="R964" s="40"/>
    </row>
    <row r="965" spans="1:18" ht="60" x14ac:dyDescent="0.3">
      <c r="A965" s="26" t="str">
        <f t="shared" si="28"/>
        <v>2026고려대(세종)</v>
      </c>
      <c r="B965" s="26">
        <f>COUNTIFS($A$4:A965,A965)</f>
        <v>10</v>
      </c>
      <c r="C965" s="26" t="str">
        <f t="shared" si="29"/>
        <v>2026고려대(세종)10</v>
      </c>
      <c r="E965" s="39" t="s">
        <v>148</v>
      </c>
      <c r="F965" s="26" t="s">
        <v>76</v>
      </c>
      <c r="H965" s="27" t="s">
        <v>383</v>
      </c>
      <c r="I965" s="27">
        <v>2026</v>
      </c>
      <c r="J965" s="27" t="s">
        <v>50</v>
      </c>
      <c r="K965" s="27" t="s">
        <v>50</v>
      </c>
      <c r="L965" s="27" t="s">
        <v>24</v>
      </c>
      <c r="M965" s="27" t="s">
        <v>22</v>
      </c>
      <c r="N965" s="29" t="s">
        <v>388</v>
      </c>
      <c r="O965" s="27" t="s">
        <v>27</v>
      </c>
      <c r="P965" s="27" t="s">
        <v>28</v>
      </c>
      <c r="Q965" s="30" t="s">
        <v>389</v>
      </c>
      <c r="R965" s="40"/>
    </row>
    <row r="966" spans="1:18" ht="30" customHeight="1" x14ac:dyDescent="0.3">
      <c r="A966" s="26" t="str">
        <f t="shared" si="28"/>
        <v>2026고려대(세종)</v>
      </c>
      <c r="B966" s="26">
        <f>COUNTIFS($A$4:A966,A966)</f>
        <v>11</v>
      </c>
      <c r="C966" s="26" t="str">
        <f t="shared" si="29"/>
        <v>2026고려대(세종)11</v>
      </c>
      <c r="E966" s="39" t="s">
        <v>148</v>
      </c>
      <c r="F966" s="26" t="s">
        <v>76</v>
      </c>
      <c r="H966" s="27" t="s">
        <v>383</v>
      </c>
      <c r="I966" s="27">
        <v>2026</v>
      </c>
      <c r="J966" s="27" t="s">
        <v>50</v>
      </c>
      <c r="K966" s="27" t="s">
        <v>50</v>
      </c>
      <c r="L966" s="27" t="s">
        <v>24</v>
      </c>
      <c r="M966" s="27" t="s">
        <v>42</v>
      </c>
      <c r="N966" s="29" t="s">
        <v>386</v>
      </c>
      <c r="O966" s="27" t="s">
        <v>217</v>
      </c>
      <c r="P966" s="27" t="s">
        <v>55</v>
      </c>
      <c r="Q966" s="41"/>
      <c r="R966" s="40"/>
    </row>
    <row r="967" spans="1:18" ht="30" customHeight="1" x14ac:dyDescent="0.3">
      <c r="A967" s="26" t="str">
        <f t="shared" si="28"/>
        <v>2026고려대(세종)</v>
      </c>
      <c r="B967" s="26">
        <f>COUNTIFS($A$4:A967,A967)</f>
        <v>12</v>
      </c>
      <c r="C967" s="26" t="str">
        <f t="shared" si="29"/>
        <v>2026고려대(세종)12</v>
      </c>
      <c r="E967" s="39" t="s">
        <v>148</v>
      </c>
      <c r="F967" s="26" t="s">
        <v>277</v>
      </c>
      <c r="H967" s="27" t="s">
        <v>383</v>
      </c>
      <c r="I967" s="27">
        <v>2026</v>
      </c>
      <c r="J967" s="27" t="s">
        <v>50</v>
      </c>
      <c r="K967" s="27" t="s">
        <v>390</v>
      </c>
      <c r="L967" s="27" t="s">
        <v>24</v>
      </c>
      <c r="M967" s="27" t="s">
        <v>42</v>
      </c>
      <c r="N967" s="29" t="s">
        <v>386</v>
      </c>
      <c r="O967" s="27" t="s">
        <v>217</v>
      </c>
      <c r="P967" s="27" t="s">
        <v>55</v>
      </c>
      <c r="Q967" s="41"/>
      <c r="R967" s="40"/>
    </row>
    <row r="968" spans="1:18" ht="30" customHeight="1" x14ac:dyDescent="0.3">
      <c r="A968" s="26" t="str">
        <f t="shared" si="28"/>
        <v>2027고려대(세종)</v>
      </c>
      <c r="B968" s="26">
        <f>COUNTIFS($A$4:A968,A968)</f>
        <v>1</v>
      </c>
      <c r="C968" s="26" t="str">
        <f t="shared" si="29"/>
        <v>2027고려대(세종)1</v>
      </c>
      <c r="E968" s="39" t="s">
        <v>148</v>
      </c>
      <c r="F968" s="26" t="s">
        <v>76</v>
      </c>
      <c r="H968" s="27" t="s">
        <v>383</v>
      </c>
      <c r="I968" s="27">
        <v>2027</v>
      </c>
      <c r="J968" s="27" t="s">
        <v>19</v>
      </c>
      <c r="K968" s="27" t="s">
        <v>17</v>
      </c>
      <c r="L968" s="27" t="s">
        <v>21</v>
      </c>
      <c r="M968" s="27" t="s">
        <v>22</v>
      </c>
      <c r="N968" s="40" t="s">
        <v>169</v>
      </c>
      <c r="O968" s="27" t="s">
        <v>33</v>
      </c>
      <c r="P968" s="27" t="s">
        <v>33</v>
      </c>
      <c r="Q968" s="41"/>
      <c r="R968" s="40"/>
    </row>
    <row r="969" spans="1:18" ht="30" customHeight="1" x14ac:dyDescent="0.3">
      <c r="A969" s="26" t="str">
        <f t="shared" si="28"/>
        <v>2027고려대(세종)</v>
      </c>
      <c r="B969" s="26">
        <f>COUNTIFS($A$4:A969,A969)</f>
        <v>2</v>
      </c>
      <c r="C969" s="26" t="str">
        <f t="shared" si="29"/>
        <v>2027고려대(세종)2</v>
      </c>
      <c r="E969" s="39" t="s">
        <v>148</v>
      </c>
      <c r="F969" s="26" t="s">
        <v>76</v>
      </c>
      <c r="H969" s="27" t="s">
        <v>383</v>
      </c>
      <c r="I969" s="27">
        <v>2027</v>
      </c>
      <c r="J969" s="27" t="s">
        <v>19</v>
      </c>
      <c r="K969" s="27" t="s">
        <v>17</v>
      </c>
      <c r="L969" s="27" t="s">
        <v>24</v>
      </c>
      <c r="M969" s="27" t="s">
        <v>22</v>
      </c>
      <c r="N969" s="40" t="s">
        <v>169</v>
      </c>
      <c r="O969" s="27" t="s">
        <v>33</v>
      </c>
      <c r="P969" s="27" t="s">
        <v>33</v>
      </c>
      <c r="Q969" s="32" t="s">
        <v>391</v>
      </c>
      <c r="R969" s="40"/>
    </row>
    <row r="970" spans="1:18" ht="30" customHeight="1" x14ac:dyDescent="0.3">
      <c r="A970" s="26" t="str">
        <f t="shared" ref="A970:A1033" si="30">I970&amp;H970</f>
        <v>2027고려대(세종)</v>
      </c>
      <c r="B970" s="26">
        <f>COUNTIFS($A$4:A970,A970)</f>
        <v>3</v>
      </c>
      <c r="C970" s="26" t="str">
        <f t="shared" ref="C970:C1033" si="31">A970&amp;B970</f>
        <v>2027고려대(세종)3</v>
      </c>
      <c r="E970" s="39" t="s">
        <v>148</v>
      </c>
      <c r="F970" s="26" t="s">
        <v>76</v>
      </c>
      <c r="H970" s="27" t="s">
        <v>383</v>
      </c>
      <c r="I970" s="27">
        <v>2027</v>
      </c>
      <c r="J970" s="27" t="s">
        <v>19</v>
      </c>
      <c r="K970" s="27" t="s">
        <v>385</v>
      </c>
      <c r="L970" s="27" t="s">
        <v>21</v>
      </c>
      <c r="M970" s="27" t="s">
        <v>22</v>
      </c>
      <c r="N970" s="40" t="s">
        <v>33</v>
      </c>
      <c r="O970" s="27" t="s">
        <v>22</v>
      </c>
      <c r="P970" s="27" t="s">
        <v>22</v>
      </c>
      <c r="Q970" s="41"/>
      <c r="R970" s="40"/>
    </row>
    <row r="971" spans="1:18" ht="30" customHeight="1" x14ac:dyDescent="0.3">
      <c r="A971" s="26" t="str">
        <f t="shared" si="30"/>
        <v>2027고려대(세종)</v>
      </c>
      <c r="B971" s="26">
        <f>COUNTIFS($A$4:A971,A971)</f>
        <v>4</v>
      </c>
      <c r="C971" s="26" t="str">
        <f t="shared" si="31"/>
        <v>2027고려대(세종)4</v>
      </c>
      <c r="E971" s="39" t="s">
        <v>148</v>
      </c>
      <c r="F971" s="26" t="s">
        <v>76</v>
      </c>
      <c r="H971" s="27" t="s">
        <v>383</v>
      </c>
      <c r="I971" s="27">
        <v>2027</v>
      </c>
      <c r="J971" s="27" t="s">
        <v>19</v>
      </c>
      <c r="K971" s="27" t="s">
        <v>385</v>
      </c>
      <c r="L971" s="27" t="s">
        <v>24</v>
      </c>
      <c r="M971" s="27" t="s">
        <v>22</v>
      </c>
      <c r="N971" s="40" t="s">
        <v>33</v>
      </c>
      <c r="O971" s="27" t="s">
        <v>22</v>
      </c>
      <c r="P971" s="27" t="s">
        <v>22</v>
      </c>
      <c r="Q971" s="32" t="s">
        <v>392</v>
      </c>
      <c r="R971" s="40"/>
    </row>
    <row r="972" spans="1:18" ht="30" customHeight="1" x14ac:dyDescent="0.3">
      <c r="A972" s="26" t="str">
        <f t="shared" si="30"/>
        <v>2027고려대(세종)</v>
      </c>
      <c r="B972" s="26">
        <f>COUNTIFS($A$4:A972,A972)</f>
        <v>5</v>
      </c>
      <c r="C972" s="26" t="str">
        <f t="shared" si="31"/>
        <v>2027고려대(세종)5</v>
      </c>
      <c r="E972" s="39" t="s">
        <v>148</v>
      </c>
      <c r="F972" s="26" t="s">
        <v>277</v>
      </c>
      <c r="H972" s="27" t="s">
        <v>383</v>
      </c>
      <c r="I972" s="27">
        <v>2027</v>
      </c>
      <c r="J972" s="27" t="s">
        <v>19</v>
      </c>
      <c r="K972" s="27" t="s">
        <v>390</v>
      </c>
      <c r="L972" s="27" t="s">
        <v>21</v>
      </c>
      <c r="M972" s="27" t="s">
        <v>22</v>
      </c>
      <c r="N972" s="40" t="s">
        <v>33</v>
      </c>
      <c r="O972" s="27" t="s">
        <v>22</v>
      </c>
      <c r="P972" s="27" t="s">
        <v>22</v>
      </c>
      <c r="Q972" s="41"/>
      <c r="R972" s="40"/>
    </row>
    <row r="973" spans="1:18" ht="30" customHeight="1" x14ac:dyDescent="0.3">
      <c r="A973" s="26" t="str">
        <f t="shared" si="30"/>
        <v>2027고려대(세종)</v>
      </c>
      <c r="B973" s="26">
        <f>COUNTIFS($A$4:A973,A973)</f>
        <v>6</v>
      </c>
      <c r="C973" s="26" t="str">
        <f t="shared" si="31"/>
        <v>2027고려대(세종)6</v>
      </c>
      <c r="E973" s="39" t="s">
        <v>148</v>
      </c>
      <c r="F973" s="26" t="s">
        <v>277</v>
      </c>
      <c r="H973" s="27" t="s">
        <v>383</v>
      </c>
      <c r="I973" s="27">
        <v>2027</v>
      </c>
      <c r="J973" s="27" t="s">
        <v>19</v>
      </c>
      <c r="K973" s="27" t="s">
        <v>390</v>
      </c>
      <c r="L973" s="27" t="s">
        <v>24</v>
      </c>
      <c r="M973" s="27" t="s">
        <v>22</v>
      </c>
      <c r="N973" s="40" t="s">
        <v>33</v>
      </c>
      <c r="O973" s="27" t="s">
        <v>22</v>
      </c>
      <c r="P973" s="27" t="s">
        <v>22</v>
      </c>
      <c r="Q973" s="41"/>
      <c r="R973" s="40"/>
    </row>
    <row r="974" spans="1:18" ht="30" customHeight="1" x14ac:dyDescent="0.3">
      <c r="A974" s="26" t="str">
        <f t="shared" si="30"/>
        <v>2027고려대(세종)</v>
      </c>
      <c r="B974" s="26">
        <f>COUNTIFS($A$4:A974,A974)</f>
        <v>7</v>
      </c>
      <c r="C974" s="26" t="str">
        <f t="shared" si="31"/>
        <v>2027고려대(세종)7</v>
      </c>
      <c r="E974" s="39" t="s">
        <v>148</v>
      </c>
      <c r="F974" s="26" t="s">
        <v>277</v>
      </c>
      <c r="H974" s="27" t="s">
        <v>383</v>
      </c>
      <c r="I974" s="27">
        <v>2027</v>
      </c>
      <c r="J974" s="27" t="s">
        <v>19</v>
      </c>
      <c r="K974" s="27" t="s">
        <v>390</v>
      </c>
      <c r="L974" s="27" t="s">
        <v>24</v>
      </c>
      <c r="M974" s="27" t="s">
        <v>42</v>
      </c>
      <c r="N974" s="29" t="s">
        <v>386</v>
      </c>
      <c r="O974" s="27" t="s">
        <v>217</v>
      </c>
      <c r="P974" s="27" t="s">
        <v>55</v>
      </c>
      <c r="Q974" s="41"/>
      <c r="R974" s="40"/>
    </row>
    <row r="975" spans="1:18" ht="30" customHeight="1" x14ac:dyDescent="0.3">
      <c r="A975" s="26" t="str">
        <f t="shared" si="30"/>
        <v>2027고려대(세종)</v>
      </c>
      <c r="B975" s="26">
        <f>COUNTIFS($A$4:A975,A975)</f>
        <v>8</v>
      </c>
      <c r="C975" s="26" t="str">
        <f t="shared" si="31"/>
        <v>2027고려대(세종)8</v>
      </c>
      <c r="E975" s="39" t="s">
        <v>148</v>
      </c>
      <c r="F975" s="26" t="s">
        <v>17</v>
      </c>
      <c r="H975" s="27" t="s">
        <v>383</v>
      </c>
      <c r="I975" s="27">
        <v>2027</v>
      </c>
      <c r="J975" s="27" t="s">
        <v>237</v>
      </c>
      <c r="K975" s="27" t="s">
        <v>17</v>
      </c>
      <c r="L975" s="27" t="s">
        <v>21</v>
      </c>
      <c r="M975" s="27" t="s">
        <v>22</v>
      </c>
      <c r="N975" s="40" t="s">
        <v>169</v>
      </c>
      <c r="O975" s="27" t="s">
        <v>33</v>
      </c>
      <c r="P975" s="27" t="s">
        <v>33</v>
      </c>
      <c r="Q975" s="41"/>
      <c r="R975" s="40"/>
    </row>
    <row r="976" spans="1:18" ht="30" customHeight="1" x14ac:dyDescent="0.3">
      <c r="A976" s="26" t="str">
        <f t="shared" si="30"/>
        <v>2027고려대(세종)</v>
      </c>
      <c r="B976" s="26">
        <f>COUNTIFS($A$4:A976,A976)</f>
        <v>9</v>
      </c>
      <c r="C976" s="26" t="str">
        <f t="shared" si="31"/>
        <v>2027고려대(세종)9</v>
      </c>
      <c r="E976" s="39" t="s">
        <v>148</v>
      </c>
      <c r="F976" s="26" t="s">
        <v>17</v>
      </c>
      <c r="H976" s="27" t="s">
        <v>383</v>
      </c>
      <c r="I976" s="27">
        <v>2027</v>
      </c>
      <c r="J976" s="27" t="s">
        <v>237</v>
      </c>
      <c r="K976" s="27" t="s">
        <v>17</v>
      </c>
      <c r="L976" s="27" t="s">
        <v>24</v>
      </c>
      <c r="M976" s="27" t="s">
        <v>22</v>
      </c>
      <c r="N976" s="40" t="s">
        <v>169</v>
      </c>
      <c r="O976" s="27" t="s">
        <v>33</v>
      </c>
      <c r="P976" s="27" t="s">
        <v>33</v>
      </c>
      <c r="Q976" s="32" t="s">
        <v>391</v>
      </c>
      <c r="R976" s="40"/>
    </row>
    <row r="977" spans="1:18" ht="30" customHeight="1" x14ac:dyDescent="0.3">
      <c r="A977" s="26" t="str">
        <f t="shared" si="30"/>
        <v>2027고려대(세종)</v>
      </c>
      <c r="B977" s="26">
        <f>COUNTIFS($A$4:A977,A977)</f>
        <v>10</v>
      </c>
      <c r="C977" s="26" t="str">
        <f t="shared" si="31"/>
        <v>2027고려대(세종)10</v>
      </c>
      <c r="E977" s="39" t="s">
        <v>148</v>
      </c>
      <c r="F977" s="26" t="s">
        <v>17</v>
      </c>
      <c r="H977" s="27" t="s">
        <v>383</v>
      </c>
      <c r="I977" s="27">
        <v>2027</v>
      </c>
      <c r="J977" s="27" t="s">
        <v>237</v>
      </c>
      <c r="K977" s="27" t="s">
        <v>17</v>
      </c>
      <c r="L977" s="27" t="s">
        <v>24</v>
      </c>
      <c r="M977" s="27" t="s">
        <v>42</v>
      </c>
      <c r="N977" s="29" t="s">
        <v>386</v>
      </c>
      <c r="O977" s="27" t="s">
        <v>217</v>
      </c>
      <c r="P977" s="27" t="s">
        <v>55</v>
      </c>
      <c r="Q977" s="41"/>
      <c r="R977" s="40"/>
    </row>
    <row r="978" spans="1:18" ht="30" customHeight="1" x14ac:dyDescent="0.3">
      <c r="A978" s="26" t="str">
        <f t="shared" si="30"/>
        <v>2027고려대(세종)</v>
      </c>
      <c r="B978" s="26">
        <f>COUNTIFS($A$4:A978,A978)</f>
        <v>11</v>
      </c>
      <c r="C978" s="26" t="str">
        <f t="shared" si="31"/>
        <v>2027고려대(세종)11</v>
      </c>
      <c r="E978" s="39" t="s">
        <v>148</v>
      </c>
      <c r="F978" s="26" t="s">
        <v>277</v>
      </c>
      <c r="H978" s="27" t="s">
        <v>383</v>
      </c>
      <c r="I978" s="27">
        <v>2027</v>
      </c>
      <c r="J978" s="27" t="s">
        <v>237</v>
      </c>
      <c r="K978" s="27" t="s">
        <v>390</v>
      </c>
      <c r="L978" s="27" t="s">
        <v>24</v>
      </c>
      <c r="M978" s="27" t="s">
        <v>42</v>
      </c>
      <c r="N978" s="29" t="s">
        <v>386</v>
      </c>
      <c r="O978" s="27" t="s">
        <v>217</v>
      </c>
      <c r="P978" s="27" t="s">
        <v>55</v>
      </c>
      <c r="Q978" s="41"/>
      <c r="R978" s="40"/>
    </row>
    <row r="979" spans="1:18" ht="96" x14ac:dyDescent="0.3">
      <c r="A979" s="26" t="str">
        <f t="shared" si="30"/>
        <v>2025인천대</v>
      </c>
      <c r="B979" s="26">
        <f>COUNTIFS($A$4:A979,A979)</f>
        <v>1</v>
      </c>
      <c r="C979" s="26" t="str">
        <f t="shared" si="31"/>
        <v>2025인천대1</v>
      </c>
      <c r="E979" s="39" t="s">
        <v>148</v>
      </c>
      <c r="F979" s="26" t="s">
        <v>17</v>
      </c>
      <c r="H979" s="27" t="s">
        <v>393</v>
      </c>
      <c r="I979" s="27">
        <v>2025</v>
      </c>
      <c r="J979" s="27" t="s">
        <v>38</v>
      </c>
      <c r="K979" s="27" t="s">
        <v>234</v>
      </c>
      <c r="L979" s="27" t="s">
        <v>21</v>
      </c>
      <c r="M979" s="27" t="s">
        <v>22</v>
      </c>
      <c r="N979" s="29" t="s">
        <v>394</v>
      </c>
      <c r="O979" s="27" t="s">
        <v>33</v>
      </c>
      <c r="P979" s="27" t="s">
        <v>33</v>
      </c>
      <c r="Q979" s="41"/>
      <c r="R979" s="40"/>
    </row>
    <row r="980" spans="1:18" ht="96" x14ac:dyDescent="0.3">
      <c r="A980" s="26" t="str">
        <f t="shared" si="30"/>
        <v>2025인천대</v>
      </c>
      <c r="B980" s="26">
        <f>COUNTIFS($A$4:A980,A980)</f>
        <v>2</v>
      </c>
      <c r="C980" s="26" t="str">
        <f t="shared" si="31"/>
        <v>2025인천대2</v>
      </c>
      <c r="E980" s="39" t="s">
        <v>148</v>
      </c>
      <c r="F980" s="26" t="s">
        <v>17</v>
      </c>
      <c r="H980" s="27" t="s">
        <v>393</v>
      </c>
      <c r="I980" s="27">
        <v>2025</v>
      </c>
      <c r="J980" s="27" t="s">
        <v>38</v>
      </c>
      <c r="K980" s="27" t="s">
        <v>234</v>
      </c>
      <c r="L980" s="27" t="s">
        <v>24</v>
      </c>
      <c r="M980" s="27" t="s">
        <v>22</v>
      </c>
      <c r="N980" s="29" t="s">
        <v>395</v>
      </c>
      <c r="O980" s="27" t="s">
        <v>33</v>
      </c>
      <c r="P980" s="27" t="s">
        <v>55</v>
      </c>
      <c r="Q980" s="41"/>
      <c r="R980" s="40"/>
    </row>
    <row r="981" spans="1:18" ht="30" customHeight="1" x14ac:dyDescent="0.3">
      <c r="A981" s="26" t="str">
        <f t="shared" si="30"/>
        <v>2025인천대</v>
      </c>
      <c r="B981" s="26">
        <f>COUNTIFS($A$4:A981,A981)</f>
        <v>3</v>
      </c>
      <c r="C981" s="26" t="str">
        <f t="shared" si="31"/>
        <v>2025인천대3</v>
      </c>
      <c r="E981" s="39" t="s">
        <v>148</v>
      </c>
      <c r="F981" s="26" t="s">
        <v>17</v>
      </c>
      <c r="H981" s="27" t="s">
        <v>393</v>
      </c>
      <c r="I981" s="27">
        <v>2025</v>
      </c>
      <c r="J981" s="27" t="s">
        <v>290</v>
      </c>
      <c r="K981" s="27" t="s">
        <v>20</v>
      </c>
      <c r="L981" s="27" t="s">
        <v>21</v>
      </c>
      <c r="M981" s="27" t="s">
        <v>22</v>
      </c>
      <c r="N981" s="40" t="s">
        <v>33</v>
      </c>
      <c r="O981" s="27" t="s">
        <v>33</v>
      </c>
      <c r="P981" s="27" t="s">
        <v>33</v>
      </c>
      <c r="Q981" s="41"/>
      <c r="R981" s="40"/>
    </row>
    <row r="982" spans="1:18" ht="30" customHeight="1" x14ac:dyDescent="0.3">
      <c r="A982" s="26" t="str">
        <f t="shared" si="30"/>
        <v>2025인천대</v>
      </c>
      <c r="B982" s="26">
        <f>COUNTIFS($A$4:A982,A982)</f>
        <v>4</v>
      </c>
      <c r="C982" s="26" t="str">
        <f t="shared" si="31"/>
        <v>2025인천대4</v>
      </c>
      <c r="E982" s="39" t="s">
        <v>148</v>
      </c>
      <c r="F982" s="26" t="s">
        <v>17</v>
      </c>
      <c r="H982" s="27" t="s">
        <v>393</v>
      </c>
      <c r="I982" s="27">
        <v>2025</v>
      </c>
      <c r="J982" s="27" t="s">
        <v>38</v>
      </c>
      <c r="K982" s="27" t="s">
        <v>20</v>
      </c>
      <c r="L982" s="27" t="s">
        <v>24</v>
      </c>
      <c r="M982" s="27" t="s">
        <v>22</v>
      </c>
      <c r="N982" s="40" t="s">
        <v>33</v>
      </c>
      <c r="O982" s="27" t="s">
        <v>33</v>
      </c>
      <c r="P982" s="27" t="s">
        <v>33</v>
      </c>
      <c r="Q982" s="41"/>
      <c r="R982" s="40"/>
    </row>
    <row r="983" spans="1:18" ht="30" customHeight="1" x14ac:dyDescent="0.3">
      <c r="A983" s="26" t="str">
        <f t="shared" si="30"/>
        <v>2025인천대</v>
      </c>
      <c r="B983" s="26">
        <f>COUNTIFS($A$4:A983,A983)</f>
        <v>5</v>
      </c>
      <c r="C983" s="26" t="str">
        <f t="shared" si="31"/>
        <v>2025인천대5</v>
      </c>
      <c r="E983" s="39" t="s">
        <v>148</v>
      </c>
      <c r="F983" s="26" t="s">
        <v>17</v>
      </c>
      <c r="H983" s="27" t="s">
        <v>393</v>
      </c>
      <c r="I983" s="27">
        <v>2025</v>
      </c>
      <c r="J983" s="27" t="s">
        <v>19</v>
      </c>
      <c r="K983" s="27" t="s">
        <v>396</v>
      </c>
      <c r="L983" s="27" t="s">
        <v>21</v>
      </c>
      <c r="M983" s="27" t="s">
        <v>22</v>
      </c>
      <c r="N983" s="40" t="s">
        <v>33</v>
      </c>
      <c r="O983" s="27" t="s">
        <v>33</v>
      </c>
      <c r="P983" s="27" t="s">
        <v>33</v>
      </c>
      <c r="Q983" s="41"/>
      <c r="R983" s="40"/>
    </row>
    <row r="984" spans="1:18" ht="30" customHeight="1" x14ac:dyDescent="0.3">
      <c r="A984" s="26" t="str">
        <f t="shared" si="30"/>
        <v>2025인천대</v>
      </c>
      <c r="B984" s="26">
        <f>COUNTIFS($A$4:A984,A984)</f>
        <v>6</v>
      </c>
      <c r="C984" s="26" t="str">
        <f t="shared" si="31"/>
        <v>2025인천대6</v>
      </c>
      <c r="E984" s="39" t="s">
        <v>148</v>
      </c>
      <c r="F984" s="26" t="s">
        <v>17</v>
      </c>
      <c r="H984" s="27" t="s">
        <v>393</v>
      </c>
      <c r="I984" s="27">
        <v>2025</v>
      </c>
      <c r="J984" s="27" t="s">
        <v>19</v>
      </c>
      <c r="K984" s="27" t="s">
        <v>396</v>
      </c>
      <c r="L984" s="27" t="s">
        <v>24</v>
      </c>
      <c r="M984" s="27" t="s">
        <v>22</v>
      </c>
      <c r="N984" s="40" t="s">
        <v>33</v>
      </c>
      <c r="O984" s="27" t="s">
        <v>33</v>
      </c>
      <c r="P984" s="27" t="s">
        <v>33</v>
      </c>
      <c r="Q984" s="41"/>
      <c r="R984" s="40"/>
    </row>
    <row r="985" spans="1:18" ht="60" x14ac:dyDescent="0.3">
      <c r="A985" s="26" t="str">
        <f t="shared" si="30"/>
        <v>2026인천대</v>
      </c>
      <c r="B985" s="26">
        <f>COUNTIFS($A$4:A985,A985)</f>
        <v>1</v>
      </c>
      <c r="C985" s="26" t="str">
        <f t="shared" si="31"/>
        <v>2026인천대1</v>
      </c>
      <c r="E985" s="39" t="s">
        <v>148</v>
      </c>
      <c r="F985" s="26" t="s">
        <v>17</v>
      </c>
      <c r="H985" s="27" t="s">
        <v>393</v>
      </c>
      <c r="I985" s="27">
        <v>2026</v>
      </c>
      <c r="J985" s="27" t="s">
        <v>38</v>
      </c>
      <c r="K985" s="27" t="s">
        <v>234</v>
      </c>
      <c r="L985" s="27" t="s">
        <v>21</v>
      </c>
      <c r="M985" s="27" t="s">
        <v>22</v>
      </c>
      <c r="N985" s="29" t="s">
        <v>397</v>
      </c>
      <c r="O985" s="27" t="s">
        <v>22</v>
      </c>
      <c r="P985" s="27" t="s">
        <v>22</v>
      </c>
      <c r="Q985" s="32" t="s">
        <v>398</v>
      </c>
      <c r="R985" s="40"/>
    </row>
    <row r="986" spans="1:18" ht="30" customHeight="1" x14ac:dyDescent="0.3">
      <c r="A986" s="26" t="str">
        <f t="shared" si="30"/>
        <v>2026인천대</v>
      </c>
      <c r="B986" s="26">
        <f>COUNTIFS($A$4:A986,A986)</f>
        <v>2</v>
      </c>
      <c r="C986" s="26" t="str">
        <f t="shared" si="31"/>
        <v>2026인천대2</v>
      </c>
      <c r="E986" s="39" t="s">
        <v>148</v>
      </c>
      <c r="F986" s="26" t="s">
        <v>17</v>
      </c>
      <c r="H986" s="27" t="s">
        <v>393</v>
      </c>
      <c r="I986" s="27">
        <v>2026</v>
      </c>
      <c r="J986" s="27" t="s">
        <v>38</v>
      </c>
      <c r="K986" s="27" t="s">
        <v>234</v>
      </c>
      <c r="L986" s="27" t="s">
        <v>24</v>
      </c>
      <c r="M986" s="27" t="s">
        <v>22</v>
      </c>
      <c r="N986" s="40" t="s">
        <v>307</v>
      </c>
      <c r="O986" s="27" t="s">
        <v>22</v>
      </c>
      <c r="P986" s="27" t="s">
        <v>22</v>
      </c>
      <c r="Q986" s="30" t="s">
        <v>399</v>
      </c>
      <c r="R986" s="40"/>
    </row>
    <row r="987" spans="1:18" ht="30" customHeight="1" x14ac:dyDescent="0.3">
      <c r="A987" s="26" t="str">
        <f t="shared" si="30"/>
        <v>2026인천대</v>
      </c>
      <c r="B987" s="26">
        <f>COUNTIFS($A$4:A987,A987)</f>
        <v>3</v>
      </c>
      <c r="C987" s="26" t="str">
        <f t="shared" si="31"/>
        <v>2026인천대3</v>
      </c>
      <c r="E987" s="39" t="s">
        <v>148</v>
      </c>
      <c r="F987" s="26" t="s">
        <v>17</v>
      </c>
      <c r="H987" s="27" t="s">
        <v>393</v>
      </c>
      <c r="I987" s="27">
        <v>2026</v>
      </c>
      <c r="J987" s="27" t="s">
        <v>38</v>
      </c>
      <c r="K987" s="27" t="s">
        <v>20</v>
      </c>
      <c r="L987" s="27" t="s">
        <v>21</v>
      </c>
      <c r="M987" s="27" t="s">
        <v>22</v>
      </c>
      <c r="N987" s="40" t="s">
        <v>33</v>
      </c>
      <c r="O987" s="27" t="s">
        <v>22</v>
      </c>
      <c r="P987" s="27" t="s">
        <v>22</v>
      </c>
      <c r="Q987" s="41"/>
      <c r="R987" s="40"/>
    </row>
    <row r="988" spans="1:18" ht="30" customHeight="1" x14ac:dyDescent="0.3">
      <c r="A988" s="26" t="str">
        <f t="shared" si="30"/>
        <v>2026인천대</v>
      </c>
      <c r="B988" s="26">
        <f>COUNTIFS($A$4:A988,A988)</f>
        <v>4</v>
      </c>
      <c r="C988" s="26" t="str">
        <f t="shared" si="31"/>
        <v>2026인천대4</v>
      </c>
      <c r="E988" s="39" t="s">
        <v>148</v>
      </c>
      <c r="F988" s="26" t="s">
        <v>17</v>
      </c>
      <c r="H988" s="27" t="s">
        <v>393</v>
      </c>
      <c r="I988" s="27">
        <v>2026</v>
      </c>
      <c r="J988" s="27" t="s">
        <v>38</v>
      </c>
      <c r="K988" s="27" t="s">
        <v>20</v>
      </c>
      <c r="L988" s="27" t="s">
        <v>24</v>
      </c>
      <c r="M988" s="27" t="s">
        <v>22</v>
      </c>
      <c r="N988" s="40" t="s">
        <v>33</v>
      </c>
      <c r="O988" s="27" t="s">
        <v>22</v>
      </c>
      <c r="P988" s="27" t="s">
        <v>22</v>
      </c>
      <c r="Q988" s="41"/>
      <c r="R988" s="40"/>
    </row>
    <row r="989" spans="1:18" ht="30" customHeight="1" x14ac:dyDescent="0.3">
      <c r="A989" s="26" t="str">
        <f t="shared" si="30"/>
        <v>2026인천대</v>
      </c>
      <c r="B989" s="26">
        <f>COUNTIFS($A$4:A989,A989)</f>
        <v>5</v>
      </c>
      <c r="C989" s="26" t="str">
        <f t="shared" si="31"/>
        <v>2026인천대5</v>
      </c>
      <c r="E989" s="39" t="s">
        <v>148</v>
      </c>
      <c r="F989" s="26" t="s">
        <v>17</v>
      </c>
      <c r="H989" s="27" t="s">
        <v>393</v>
      </c>
      <c r="I989" s="27">
        <v>2026</v>
      </c>
      <c r="J989" s="27" t="s">
        <v>19</v>
      </c>
      <c r="K989" s="27" t="s">
        <v>396</v>
      </c>
      <c r="L989" s="27" t="s">
        <v>21</v>
      </c>
      <c r="M989" s="27" t="s">
        <v>22</v>
      </c>
      <c r="N989" s="40" t="s">
        <v>33</v>
      </c>
      <c r="O989" s="27" t="s">
        <v>22</v>
      </c>
      <c r="P989" s="27" t="s">
        <v>22</v>
      </c>
      <c r="Q989" s="41"/>
      <c r="R989" s="40"/>
    </row>
    <row r="990" spans="1:18" ht="30" customHeight="1" x14ac:dyDescent="0.3">
      <c r="A990" s="26" t="str">
        <f t="shared" si="30"/>
        <v>2026인천대</v>
      </c>
      <c r="B990" s="26">
        <f>COUNTIFS($A$4:A990,A990)</f>
        <v>6</v>
      </c>
      <c r="C990" s="26" t="str">
        <f t="shared" si="31"/>
        <v>2026인천대6</v>
      </c>
      <c r="E990" s="39" t="s">
        <v>148</v>
      </c>
      <c r="F990" s="26" t="s">
        <v>17</v>
      </c>
      <c r="H990" s="27" t="s">
        <v>393</v>
      </c>
      <c r="I990" s="27">
        <v>2026</v>
      </c>
      <c r="J990" s="27" t="s">
        <v>19</v>
      </c>
      <c r="K990" s="27" t="s">
        <v>396</v>
      </c>
      <c r="L990" s="27" t="s">
        <v>24</v>
      </c>
      <c r="M990" s="27" t="s">
        <v>22</v>
      </c>
      <c r="N990" s="40" t="s">
        <v>33</v>
      </c>
      <c r="O990" s="27" t="s">
        <v>22</v>
      </c>
      <c r="P990" s="27" t="s">
        <v>22</v>
      </c>
      <c r="Q990" s="41"/>
      <c r="R990" s="40"/>
    </row>
    <row r="991" spans="1:18" ht="60" x14ac:dyDescent="0.3">
      <c r="A991" s="26" t="str">
        <f t="shared" si="30"/>
        <v>2027인천대</v>
      </c>
      <c r="B991" s="26">
        <f>COUNTIFS($A$4:A991,A991)</f>
        <v>1</v>
      </c>
      <c r="C991" s="26" t="str">
        <f t="shared" si="31"/>
        <v>2027인천대1</v>
      </c>
      <c r="E991" s="39" t="s">
        <v>148</v>
      </c>
      <c r="F991" s="26" t="s">
        <v>17</v>
      </c>
      <c r="H991" s="27" t="s">
        <v>393</v>
      </c>
      <c r="I991" s="27">
        <v>2027</v>
      </c>
      <c r="J991" s="27" t="s">
        <v>38</v>
      </c>
      <c r="K991" s="27" t="s">
        <v>234</v>
      </c>
      <c r="L991" s="27" t="s">
        <v>21</v>
      </c>
      <c r="M991" s="27" t="s">
        <v>22</v>
      </c>
      <c r="N991" s="29" t="s">
        <v>397</v>
      </c>
      <c r="O991" s="27" t="s">
        <v>22</v>
      </c>
      <c r="P991" s="27" t="s">
        <v>22</v>
      </c>
      <c r="Q991" s="41"/>
      <c r="R991" s="40"/>
    </row>
    <row r="992" spans="1:18" ht="30" customHeight="1" x14ac:dyDescent="0.3">
      <c r="A992" s="26" t="str">
        <f t="shared" si="30"/>
        <v>2027인천대</v>
      </c>
      <c r="B992" s="26">
        <f>COUNTIFS($A$4:A992,A992)</f>
        <v>2</v>
      </c>
      <c r="C992" s="26" t="str">
        <f t="shared" si="31"/>
        <v>2027인천대2</v>
      </c>
      <c r="E992" s="39" t="s">
        <v>148</v>
      </c>
      <c r="F992" s="26" t="s">
        <v>17</v>
      </c>
      <c r="H992" s="27" t="s">
        <v>393</v>
      </c>
      <c r="I992" s="27">
        <v>2027</v>
      </c>
      <c r="J992" s="27" t="s">
        <v>38</v>
      </c>
      <c r="K992" s="27" t="s">
        <v>234</v>
      </c>
      <c r="L992" s="27" t="s">
        <v>95</v>
      </c>
      <c r="M992" s="27" t="s">
        <v>22</v>
      </c>
      <c r="N992" s="40" t="s">
        <v>307</v>
      </c>
      <c r="O992" s="27" t="s">
        <v>22</v>
      </c>
      <c r="P992" s="27" t="s">
        <v>22</v>
      </c>
      <c r="Q992" s="41"/>
      <c r="R992" s="40"/>
    </row>
    <row r="993" spans="1:18" ht="30" customHeight="1" x14ac:dyDescent="0.3">
      <c r="A993" s="26" t="str">
        <f t="shared" si="30"/>
        <v>2027인천대</v>
      </c>
      <c r="B993" s="26">
        <f>COUNTIFS($A$4:A993,A993)</f>
        <v>3</v>
      </c>
      <c r="C993" s="26" t="str">
        <f t="shared" si="31"/>
        <v>2027인천대3</v>
      </c>
      <c r="E993" s="39" t="s">
        <v>148</v>
      </c>
      <c r="F993" s="26" t="s">
        <v>17</v>
      </c>
      <c r="H993" s="27" t="s">
        <v>393</v>
      </c>
      <c r="I993" s="27">
        <v>2027</v>
      </c>
      <c r="J993" s="27" t="s">
        <v>38</v>
      </c>
      <c r="K993" s="27" t="s">
        <v>20</v>
      </c>
      <c r="L993" s="27" t="s">
        <v>21</v>
      </c>
      <c r="M993" s="27" t="s">
        <v>22</v>
      </c>
      <c r="N993" s="40" t="s">
        <v>33</v>
      </c>
      <c r="O993" s="27" t="s">
        <v>22</v>
      </c>
      <c r="P993" s="27" t="s">
        <v>22</v>
      </c>
      <c r="Q993" s="41"/>
      <c r="R993" s="40"/>
    </row>
    <row r="994" spans="1:18" ht="30" customHeight="1" x14ac:dyDescent="0.3">
      <c r="A994" s="26" t="str">
        <f t="shared" si="30"/>
        <v>2027인천대</v>
      </c>
      <c r="B994" s="26">
        <f>COUNTIFS($A$4:A994,A994)</f>
        <v>4</v>
      </c>
      <c r="C994" s="26" t="str">
        <f t="shared" si="31"/>
        <v>2027인천대4</v>
      </c>
      <c r="E994" s="39" t="s">
        <v>148</v>
      </c>
      <c r="F994" s="26" t="s">
        <v>17</v>
      </c>
      <c r="H994" s="27" t="s">
        <v>393</v>
      </c>
      <c r="I994" s="27">
        <v>2027</v>
      </c>
      <c r="J994" s="27" t="s">
        <v>38</v>
      </c>
      <c r="K994" s="27" t="s">
        <v>20</v>
      </c>
      <c r="L994" s="27" t="s">
        <v>24</v>
      </c>
      <c r="M994" s="27" t="s">
        <v>22</v>
      </c>
      <c r="N994" s="40" t="s">
        <v>33</v>
      </c>
      <c r="O994" s="27" t="s">
        <v>22</v>
      </c>
      <c r="P994" s="27" t="s">
        <v>22</v>
      </c>
      <c r="Q994" s="41"/>
      <c r="R994" s="40"/>
    </row>
    <row r="995" spans="1:18" ht="30" customHeight="1" x14ac:dyDescent="0.3">
      <c r="A995" s="26" t="str">
        <f t="shared" si="30"/>
        <v>2027인천대</v>
      </c>
      <c r="B995" s="26">
        <f>COUNTIFS($A$4:A995,A995)</f>
        <v>5</v>
      </c>
      <c r="C995" s="26" t="str">
        <f t="shared" si="31"/>
        <v>2027인천대5</v>
      </c>
      <c r="E995" s="39" t="s">
        <v>148</v>
      </c>
      <c r="F995" s="26" t="s">
        <v>17</v>
      </c>
      <c r="H995" s="27" t="s">
        <v>393</v>
      </c>
      <c r="I995" s="27">
        <v>2027</v>
      </c>
      <c r="J995" s="27" t="s">
        <v>273</v>
      </c>
      <c r="K995" s="27" t="s">
        <v>396</v>
      </c>
      <c r="L995" s="27" t="s">
        <v>94</v>
      </c>
      <c r="M995" s="27" t="s">
        <v>22</v>
      </c>
      <c r="N995" s="40" t="s">
        <v>33</v>
      </c>
      <c r="O995" s="27" t="s">
        <v>22</v>
      </c>
      <c r="P995" s="27" t="s">
        <v>22</v>
      </c>
      <c r="Q995" s="41"/>
      <c r="R995" s="40"/>
    </row>
    <row r="996" spans="1:18" ht="30" customHeight="1" x14ac:dyDescent="0.3">
      <c r="A996" s="26" t="str">
        <f t="shared" si="30"/>
        <v>2027인천대</v>
      </c>
      <c r="B996" s="26">
        <f>COUNTIFS($A$4:A996,A996)</f>
        <v>6</v>
      </c>
      <c r="C996" s="26" t="str">
        <f t="shared" si="31"/>
        <v>2027인천대6</v>
      </c>
      <c r="E996" s="39" t="s">
        <v>148</v>
      </c>
      <c r="F996" s="26" t="s">
        <v>17</v>
      </c>
      <c r="H996" s="27" t="s">
        <v>393</v>
      </c>
      <c r="I996" s="27">
        <v>2027</v>
      </c>
      <c r="J996" s="27" t="s">
        <v>273</v>
      </c>
      <c r="K996" s="27" t="s">
        <v>396</v>
      </c>
      <c r="L996" s="27" t="s">
        <v>24</v>
      </c>
      <c r="M996" s="27" t="s">
        <v>22</v>
      </c>
      <c r="N996" s="40" t="s">
        <v>33</v>
      </c>
      <c r="O996" s="27" t="s">
        <v>22</v>
      </c>
      <c r="P996" s="27" t="s">
        <v>22</v>
      </c>
      <c r="Q996" s="41"/>
      <c r="R996" s="40"/>
    </row>
    <row r="997" spans="1:18" ht="30" customHeight="1" x14ac:dyDescent="0.3">
      <c r="A997" s="26" t="str">
        <f t="shared" si="30"/>
        <v>2025가천대</v>
      </c>
      <c r="B997" s="26">
        <f>COUNTIFS($A$4:A997,A997)</f>
        <v>1</v>
      </c>
      <c r="C997" s="26" t="str">
        <f t="shared" si="31"/>
        <v>2025가천대1</v>
      </c>
      <c r="E997" s="39" t="s">
        <v>148</v>
      </c>
      <c r="F997" s="26" t="s">
        <v>17</v>
      </c>
      <c r="H997" s="27" t="s">
        <v>400</v>
      </c>
      <c r="I997" s="27">
        <v>2025</v>
      </c>
      <c r="J997" s="27" t="s">
        <v>38</v>
      </c>
      <c r="K997" s="27" t="s">
        <v>242</v>
      </c>
      <c r="L997" s="27" t="s">
        <v>21</v>
      </c>
      <c r="M997" s="27" t="s">
        <v>22</v>
      </c>
      <c r="N997" s="40" t="s">
        <v>169</v>
      </c>
      <c r="O997" s="27" t="s">
        <v>33</v>
      </c>
      <c r="P997" s="27" t="s">
        <v>33</v>
      </c>
      <c r="Q997" s="41"/>
      <c r="R997" s="40"/>
    </row>
    <row r="998" spans="1:18" ht="96" x14ac:dyDescent="0.3">
      <c r="A998" s="26" t="str">
        <f t="shared" si="30"/>
        <v>2025가천대</v>
      </c>
      <c r="B998" s="26">
        <f>COUNTIFS($A$4:A998,A998)</f>
        <v>2</v>
      </c>
      <c r="C998" s="26" t="str">
        <f t="shared" si="31"/>
        <v>2025가천대2</v>
      </c>
      <c r="E998" s="39" t="s">
        <v>148</v>
      </c>
      <c r="F998" s="26" t="s">
        <v>17</v>
      </c>
      <c r="H998" s="27" t="s">
        <v>400</v>
      </c>
      <c r="I998" s="27">
        <v>2025</v>
      </c>
      <c r="J998" s="27" t="s">
        <v>38</v>
      </c>
      <c r="K998" s="27" t="s">
        <v>242</v>
      </c>
      <c r="L998" s="27" t="s">
        <v>24</v>
      </c>
      <c r="M998" s="27" t="s">
        <v>22</v>
      </c>
      <c r="N998" s="29" t="s">
        <v>401</v>
      </c>
      <c r="O998" s="27" t="s">
        <v>33</v>
      </c>
      <c r="P998" s="27" t="s">
        <v>33</v>
      </c>
      <c r="Q998" s="41"/>
      <c r="R998" s="42" t="s">
        <v>402</v>
      </c>
    </row>
    <row r="999" spans="1:18" ht="108" x14ac:dyDescent="0.3">
      <c r="A999" s="26" t="str">
        <f t="shared" si="30"/>
        <v>2025가천대</v>
      </c>
      <c r="B999" s="26">
        <f>COUNTIFS($A$4:A999,A999)</f>
        <v>3</v>
      </c>
      <c r="C999" s="26" t="str">
        <f t="shared" si="31"/>
        <v>2025가천대3</v>
      </c>
      <c r="E999" s="39" t="s">
        <v>148</v>
      </c>
      <c r="F999" s="26" t="s">
        <v>17</v>
      </c>
      <c r="H999" s="27" t="s">
        <v>400</v>
      </c>
      <c r="I999" s="27">
        <v>2025</v>
      </c>
      <c r="J999" s="27" t="s">
        <v>38</v>
      </c>
      <c r="K999" s="27" t="s">
        <v>242</v>
      </c>
      <c r="L999" s="27" t="s">
        <v>24</v>
      </c>
      <c r="M999" s="27" t="s">
        <v>42</v>
      </c>
      <c r="N999" s="29" t="s">
        <v>403</v>
      </c>
      <c r="O999" s="27" t="s">
        <v>217</v>
      </c>
      <c r="P999" s="27" t="s">
        <v>55</v>
      </c>
      <c r="Q999" s="41"/>
      <c r="R999" s="40"/>
    </row>
    <row r="1000" spans="1:18" ht="30" customHeight="1" x14ac:dyDescent="0.3">
      <c r="A1000" s="26" t="str">
        <f t="shared" si="30"/>
        <v>2025가천대</v>
      </c>
      <c r="B1000" s="26">
        <f>COUNTIFS($A$4:A1000,A1000)</f>
        <v>4</v>
      </c>
      <c r="C1000" s="26" t="str">
        <f t="shared" si="31"/>
        <v>2025가천대4</v>
      </c>
      <c r="E1000" s="39" t="s">
        <v>148</v>
      </c>
      <c r="F1000" s="26" t="s">
        <v>17</v>
      </c>
      <c r="H1000" s="27" t="s">
        <v>400</v>
      </c>
      <c r="I1000" s="27">
        <v>2025</v>
      </c>
      <c r="J1000" s="27" t="s">
        <v>38</v>
      </c>
      <c r="K1000" s="27" t="s">
        <v>20</v>
      </c>
      <c r="L1000" s="27" t="s">
        <v>21</v>
      </c>
      <c r="M1000" s="27" t="s">
        <v>22</v>
      </c>
      <c r="N1000" s="40" t="s">
        <v>33</v>
      </c>
      <c r="O1000" s="27" t="s">
        <v>33</v>
      </c>
      <c r="P1000" s="27" t="s">
        <v>33</v>
      </c>
      <c r="Q1000" s="41"/>
      <c r="R1000" s="40"/>
    </row>
    <row r="1001" spans="1:18" ht="30" customHeight="1" x14ac:dyDescent="0.3">
      <c r="A1001" s="26" t="str">
        <f t="shared" si="30"/>
        <v>2025가천대</v>
      </c>
      <c r="B1001" s="26">
        <f>COUNTIFS($A$4:A1001,A1001)</f>
        <v>5</v>
      </c>
      <c r="C1001" s="26" t="str">
        <f t="shared" si="31"/>
        <v>2025가천대5</v>
      </c>
      <c r="E1001" s="39" t="s">
        <v>148</v>
      </c>
      <c r="F1001" s="26" t="s">
        <v>17</v>
      </c>
      <c r="H1001" s="27" t="s">
        <v>400</v>
      </c>
      <c r="I1001" s="27">
        <v>2025</v>
      </c>
      <c r="J1001" s="27" t="s">
        <v>38</v>
      </c>
      <c r="K1001" s="27" t="s">
        <v>20</v>
      </c>
      <c r="L1001" s="27" t="s">
        <v>24</v>
      </c>
      <c r="M1001" s="27" t="s">
        <v>22</v>
      </c>
      <c r="N1001" s="40" t="s">
        <v>33</v>
      </c>
      <c r="O1001" s="27" t="s">
        <v>33</v>
      </c>
      <c r="P1001" s="27" t="s">
        <v>33</v>
      </c>
      <c r="Q1001" s="41"/>
      <c r="R1001" s="40"/>
    </row>
    <row r="1002" spans="1:18" ht="108" x14ac:dyDescent="0.3">
      <c r="A1002" s="26" t="str">
        <f t="shared" si="30"/>
        <v>2025가천대</v>
      </c>
      <c r="B1002" s="26">
        <f>COUNTIFS($A$4:A1002,A1002)</f>
        <v>6</v>
      </c>
      <c r="C1002" s="26" t="str">
        <f t="shared" si="31"/>
        <v>2025가천대6</v>
      </c>
      <c r="E1002" s="39" t="s">
        <v>148</v>
      </c>
      <c r="F1002" s="26" t="s">
        <v>17</v>
      </c>
      <c r="H1002" s="27" t="s">
        <v>400</v>
      </c>
      <c r="I1002" s="27">
        <v>2025</v>
      </c>
      <c r="J1002" s="27" t="s">
        <v>19</v>
      </c>
      <c r="K1002" s="27" t="s">
        <v>404</v>
      </c>
      <c r="L1002" s="27" t="s">
        <v>24</v>
      </c>
      <c r="M1002" s="27" t="s">
        <v>42</v>
      </c>
      <c r="N1002" s="29" t="s">
        <v>403</v>
      </c>
      <c r="O1002" s="27" t="s">
        <v>217</v>
      </c>
      <c r="P1002" s="27" t="s">
        <v>55</v>
      </c>
      <c r="Q1002" s="41"/>
      <c r="R1002" s="40"/>
    </row>
    <row r="1003" spans="1:18" ht="30" customHeight="1" x14ac:dyDescent="0.3">
      <c r="A1003" s="26" t="str">
        <f t="shared" si="30"/>
        <v>2025가천대</v>
      </c>
      <c r="B1003" s="26">
        <f>COUNTIFS($A$4:A1003,A1003)</f>
        <v>7</v>
      </c>
      <c r="C1003" s="26" t="str">
        <f t="shared" si="31"/>
        <v>2025가천대7</v>
      </c>
      <c r="E1003" s="39" t="s">
        <v>148</v>
      </c>
      <c r="F1003" s="26" t="s">
        <v>17</v>
      </c>
      <c r="H1003" s="27" t="s">
        <v>400</v>
      </c>
      <c r="I1003" s="27">
        <v>2025</v>
      </c>
      <c r="J1003" s="27" t="s">
        <v>19</v>
      </c>
      <c r="K1003" s="27" t="s">
        <v>405</v>
      </c>
      <c r="L1003" s="27" t="s">
        <v>21</v>
      </c>
      <c r="M1003" s="27" t="s">
        <v>22</v>
      </c>
      <c r="N1003" s="40" t="s">
        <v>33</v>
      </c>
      <c r="O1003" s="27" t="s">
        <v>33</v>
      </c>
      <c r="P1003" s="27" t="s">
        <v>33</v>
      </c>
      <c r="Q1003" s="41"/>
      <c r="R1003" s="40"/>
    </row>
    <row r="1004" spans="1:18" ht="30" customHeight="1" x14ac:dyDescent="0.3">
      <c r="A1004" s="26" t="str">
        <f t="shared" si="30"/>
        <v>2025가천대</v>
      </c>
      <c r="B1004" s="26">
        <f>COUNTIFS($A$4:A1004,A1004)</f>
        <v>8</v>
      </c>
      <c r="C1004" s="26" t="str">
        <f t="shared" si="31"/>
        <v>2025가천대8</v>
      </c>
      <c r="E1004" s="39" t="s">
        <v>148</v>
      </c>
      <c r="F1004" s="26" t="s">
        <v>17</v>
      </c>
      <c r="H1004" s="27" t="s">
        <v>400</v>
      </c>
      <c r="I1004" s="27">
        <v>2025</v>
      </c>
      <c r="J1004" s="27" t="s">
        <v>19</v>
      </c>
      <c r="K1004" s="27" t="s">
        <v>405</v>
      </c>
      <c r="L1004" s="27" t="s">
        <v>24</v>
      </c>
      <c r="M1004" s="27" t="s">
        <v>22</v>
      </c>
      <c r="N1004" s="40" t="s">
        <v>33</v>
      </c>
      <c r="O1004" s="27" t="s">
        <v>33</v>
      </c>
      <c r="P1004" s="27" t="s">
        <v>33</v>
      </c>
      <c r="Q1004" s="41"/>
      <c r="R1004" s="40"/>
    </row>
    <row r="1005" spans="1:18" ht="30" customHeight="1" x14ac:dyDescent="0.3">
      <c r="A1005" s="26" t="str">
        <f t="shared" si="30"/>
        <v>2025가천대</v>
      </c>
      <c r="B1005" s="26">
        <f>COUNTIFS($A$4:A1005,A1005)</f>
        <v>9</v>
      </c>
      <c r="C1005" s="26" t="str">
        <f t="shared" si="31"/>
        <v>2025가천대9</v>
      </c>
      <c r="E1005" s="39" t="s">
        <v>148</v>
      </c>
      <c r="F1005" s="26" t="s">
        <v>17</v>
      </c>
      <c r="H1005" s="27" t="s">
        <v>400</v>
      </c>
      <c r="I1005" s="27">
        <v>2025</v>
      </c>
      <c r="J1005" s="27" t="s">
        <v>19</v>
      </c>
      <c r="K1005" s="27" t="s">
        <v>355</v>
      </c>
      <c r="L1005" s="27" t="s">
        <v>24</v>
      </c>
      <c r="M1005" s="27" t="s">
        <v>22</v>
      </c>
      <c r="N1005" s="40" t="s">
        <v>33</v>
      </c>
      <c r="O1005" s="27" t="s">
        <v>33</v>
      </c>
      <c r="P1005" s="27" t="s">
        <v>33</v>
      </c>
      <c r="Q1005" s="41"/>
      <c r="R1005" s="40"/>
    </row>
    <row r="1006" spans="1:18" ht="30" customHeight="1" x14ac:dyDescent="0.3">
      <c r="A1006" s="26" t="str">
        <f t="shared" si="30"/>
        <v>2025가천대</v>
      </c>
      <c r="B1006" s="26">
        <f>COUNTIFS($A$4:A1006,A1006)</f>
        <v>10</v>
      </c>
      <c r="C1006" s="26" t="str">
        <f t="shared" si="31"/>
        <v>2025가천대10</v>
      </c>
      <c r="E1006" s="39" t="s">
        <v>148</v>
      </c>
      <c r="F1006" s="26" t="s">
        <v>17</v>
      </c>
      <c r="H1006" s="27" t="s">
        <v>400</v>
      </c>
      <c r="I1006" s="27">
        <v>2025</v>
      </c>
      <c r="J1006" s="27" t="s">
        <v>50</v>
      </c>
      <c r="K1006" s="27" t="s">
        <v>50</v>
      </c>
      <c r="L1006" s="27" t="s">
        <v>21</v>
      </c>
      <c r="M1006" s="27" t="s">
        <v>22</v>
      </c>
      <c r="N1006" s="40" t="s">
        <v>406</v>
      </c>
      <c r="O1006" s="27" t="s">
        <v>33</v>
      </c>
      <c r="P1006" s="27" t="s">
        <v>33</v>
      </c>
      <c r="Q1006" s="41"/>
      <c r="R1006" s="40"/>
    </row>
    <row r="1007" spans="1:18" ht="96" x14ac:dyDescent="0.3">
      <c r="A1007" s="26" t="str">
        <f t="shared" si="30"/>
        <v>2025가천대</v>
      </c>
      <c r="B1007" s="26">
        <f>COUNTIFS($A$4:A1007,A1007)</f>
        <v>11</v>
      </c>
      <c r="C1007" s="26" t="str">
        <f t="shared" si="31"/>
        <v>2025가천대11</v>
      </c>
      <c r="E1007" s="39" t="s">
        <v>148</v>
      </c>
      <c r="F1007" s="26" t="s">
        <v>17</v>
      </c>
      <c r="H1007" s="27" t="s">
        <v>400</v>
      </c>
      <c r="I1007" s="27">
        <v>2025</v>
      </c>
      <c r="J1007" s="27" t="s">
        <v>50</v>
      </c>
      <c r="K1007" s="27" t="s">
        <v>50</v>
      </c>
      <c r="L1007" s="27" t="s">
        <v>24</v>
      </c>
      <c r="M1007" s="27" t="s">
        <v>22</v>
      </c>
      <c r="N1007" s="29" t="s">
        <v>407</v>
      </c>
      <c r="O1007" s="27" t="s">
        <v>33</v>
      </c>
      <c r="P1007" s="27" t="s">
        <v>33</v>
      </c>
      <c r="Q1007" s="41"/>
      <c r="R1007" s="42" t="s">
        <v>408</v>
      </c>
    </row>
    <row r="1008" spans="1:18" ht="30" customHeight="1" x14ac:dyDescent="0.3">
      <c r="A1008" s="26" t="str">
        <f t="shared" si="30"/>
        <v>2025가천대</v>
      </c>
      <c r="B1008" s="26">
        <f>COUNTIFS($A$4:A1008,A1008)</f>
        <v>12</v>
      </c>
      <c r="C1008" s="26" t="str">
        <f t="shared" si="31"/>
        <v>2025가천대12</v>
      </c>
      <c r="E1008" s="39" t="s">
        <v>148</v>
      </c>
      <c r="F1008" s="26" t="s">
        <v>17</v>
      </c>
      <c r="H1008" s="27" t="s">
        <v>400</v>
      </c>
      <c r="I1008" s="27">
        <v>2025</v>
      </c>
      <c r="J1008" s="27" t="s">
        <v>50</v>
      </c>
      <c r="K1008" s="27" t="s">
        <v>50</v>
      </c>
      <c r="L1008" s="27" t="s">
        <v>24</v>
      </c>
      <c r="M1008" s="27" t="s">
        <v>42</v>
      </c>
      <c r="N1008" s="29" t="s">
        <v>409</v>
      </c>
      <c r="O1008" s="27" t="s">
        <v>217</v>
      </c>
      <c r="P1008" s="27" t="s">
        <v>55</v>
      </c>
      <c r="Q1008" s="41"/>
      <c r="R1008" s="40"/>
    </row>
    <row r="1009" spans="1:18" ht="30" customHeight="1" x14ac:dyDescent="0.3">
      <c r="A1009" s="26" t="str">
        <f t="shared" si="30"/>
        <v>2026가천대</v>
      </c>
      <c r="B1009" s="26">
        <f>COUNTIFS($A$4:A1009,A1009)</f>
        <v>1</v>
      </c>
      <c r="C1009" s="26" t="str">
        <f t="shared" si="31"/>
        <v>2026가천대1</v>
      </c>
      <c r="E1009" s="39" t="s">
        <v>148</v>
      </c>
      <c r="F1009" s="26" t="s">
        <v>17</v>
      </c>
      <c r="H1009" s="27" t="s">
        <v>400</v>
      </c>
      <c r="I1009" s="27">
        <v>2026</v>
      </c>
      <c r="J1009" s="27" t="s">
        <v>38</v>
      </c>
      <c r="K1009" s="27" t="s">
        <v>242</v>
      </c>
      <c r="L1009" s="27" t="s">
        <v>21</v>
      </c>
      <c r="M1009" s="27" t="s">
        <v>22</v>
      </c>
      <c r="N1009" s="40" t="s">
        <v>169</v>
      </c>
      <c r="O1009" s="27" t="s">
        <v>33</v>
      </c>
      <c r="P1009" s="27" t="s">
        <v>33</v>
      </c>
      <c r="Q1009" s="41"/>
      <c r="R1009" s="40"/>
    </row>
    <row r="1010" spans="1:18" ht="96" x14ac:dyDescent="0.3">
      <c r="A1010" s="26" t="str">
        <f t="shared" si="30"/>
        <v>2026가천대</v>
      </c>
      <c r="B1010" s="26">
        <f>COUNTIFS($A$4:A1010,A1010)</f>
        <v>2</v>
      </c>
      <c r="C1010" s="26" t="str">
        <f t="shared" si="31"/>
        <v>2026가천대2</v>
      </c>
      <c r="E1010" s="39" t="s">
        <v>148</v>
      </c>
      <c r="F1010" s="26" t="s">
        <v>17</v>
      </c>
      <c r="H1010" s="27" t="s">
        <v>400</v>
      </c>
      <c r="I1010" s="27">
        <v>2026</v>
      </c>
      <c r="J1010" s="27" t="s">
        <v>38</v>
      </c>
      <c r="K1010" s="27" t="s">
        <v>242</v>
      </c>
      <c r="L1010" s="27" t="s">
        <v>24</v>
      </c>
      <c r="M1010" s="27" t="s">
        <v>22</v>
      </c>
      <c r="N1010" s="29" t="s">
        <v>401</v>
      </c>
      <c r="O1010" s="27" t="s">
        <v>33</v>
      </c>
      <c r="P1010" s="27" t="s">
        <v>33</v>
      </c>
      <c r="Q1010" s="41"/>
      <c r="R1010" s="42" t="s">
        <v>402</v>
      </c>
    </row>
    <row r="1011" spans="1:18" ht="108" x14ac:dyDescent="0.3">
      <c r="A1011" s="26" t="str">
        <f t="shared" si="30"/>
        <v>2026가천대</v>
      </c>
      <c r="B1011" s="26">
        <f>COUNTIFS($A$4:A1011,A1011)</f>
        <v>3</v>
      </c>
      <c r="C1011" s="26" t="str">
        <f t="shared" si="31"/>
        <v>2026가천대3</v>
      </c>
      <c r="E1011" s="39" t="s">
        <v>148</v>
      </c>
      <c r="F1011" s="26" t="s">
        <v>17</v>
      </c>
      <c r="H1011" s="27" t="s">
        <v>400</v>
      </c>
      <c r="I1011" s="27">
        <v>2026</v>
      </c>
      <c r="J1011" s="27" t="s">
        <v>38</v>
      </c>
      <c r="K1011" s="27" t="s">
        <v>242</v>
      </c>
      <c r="L1011" s="27" t="s">
        <v>24</v>
      </c>
      <c r="M1011" s="27" t="s">
        <v>42</v>
      </c>
      <c r="N1011" s="29" t="s">
        <v>403</v>
      </c>
      <c r="O1011" s="27" t="s">
        <v>217</v>
      </c>
      <c r="P1011" s="27" t="s">
        <v>55</v>
      </c>
      <c r="Q1011" s="41"/>
      <c r="R1011" s="40"/>
    </row>
    <row r="1012" spans="1:18" ht="30" customHeight="1" x14ac:dyDescent="0.3">
      <c r="A1012" s="26" t="str">
        <f t="shared" si="30"/>
        <v>2026가천대</v>
      </c>
      <c r="B1012" s="26">
        <f>COUNTIFS($A$4:A1012,A1012)</f>
        <v>4</v>
      </c>
      <c r="C1012" s="26" t="str">
        <f t="shared" si="31"/>
        <v>2026가천대4</v>
      </c>
      <c r="E1012" s="39" t="s">
        <v>148</v>
      </c>
      <c r="F1012" s="26" t="s">
        <v>17</v>
      </c>
      <c r="H1012" s="27" t="s">
        <v>400</v>
      </c>
      <c r="I1012" s="27">
        <v>2026</v>
      </c>
      <c r="J1012" s="27" t="s">
        <v>38</v>
      </c>
      <c r="K1012" s="27" t="s">
        <v>20</v>
      </c>
      <c r="L1012" s="27" t="s">
        <v>21</v>
      </c>
      <c r="M1012" s="27" t="s">
        <v>22</v>
      </c>
      <c r="N1012" s="40" t="s">
        <v>33</v>
      </c>
      <c r="O1012" s="27" t="s">
        <v>22</v>
      </c>
      <c r="P1012" s="27" t="s">
        <v>22</v>
      </c>
      <c r="Q1012" s="41"/>
      <c r="R1012" s="40"/>
    </row>
    <row r="1013" spans="1:18" ht="30" customHeight="1" x14ac:dyDescent="0.3">
      <c r="A1013" s="26" t="str">
        <f t="shared" si="30"/>
        <v>2026가천대</v>
      </c>
      <c r="B1013" s="26">
        <f>COUNTIFS($A$4:A1013,A1013)</f>
        <v>5</v>
      </c>
      <c r="C1013" s="26" t="str">
        <f t="shared" si="31"/>
        <v>2026가천대5</v>
      </c>
      <c r="E1013" s="39" t="s">
        <v>148</v>
      </c>
      <c r="F1013" s="26" t="s">
        <v>17</v>
      </c>
      <c r="H1013" s="27" t="s">
        <v>400</v>
      </c>
      <c r="I1013" s="27">
        <v>2026</v>
      </c>
      <c r="J1013" s="27" t="s">
        <v>38</v>
      </c>
      <c r="K1013" s="27" t="s">
        <v>20</v>
      </c>
      <c r="L1013" s="27" t="s">
        <v>24</v>
      </c>
      <c r="M1013" s="27" t="s">
        <v>22</v>
      </c>
      <c r="N1013" s="40" t="s">
        <v>33</v>
      </c>
      <c r="O1013" s="27" t="s">
        <v>22</v>
      </c>
      <c r="P1013" s="27" t="s">
        <v>22</v>
      </c>
      <c r="Q1013" s="41"/>
      <c r="R1013" s="40"/>
    </row>
    <row r="1014" spans="1:18" ht="30" customHeight="1" x14ac:dyDescent="0.3">
      <c r="A1014" s="26" t="str">
        <f t="shared" si="30"/>
        <v>2026가천대</v>
      </c>
      <c r="B1014" s="26">
        <f>COUNTIFS($A$4:A1014,A1014)</f>
        <v>6</v>
      </c>
      <c r="C1014" s="26" t="str">
        <f t="shared" si="31"/>
        <v>2026가천대6</v>
      </c>
      <c r="E1014" s="39" t="s">
        <v>148</v>
      </c>
      <c r="F1014" s="26" t="s">
        <v>17</v>
      </c>
      <c r="H1014" s="27" t="s">
        <v>400</v>
      </c>
      <c r="I1014" s="27">
        <v>2026</v>
      </c>
      <c r="J1014" s="27" t="s">
        <v>19</v>
      </c>
      <c r="K1014" s="27" t="s">
        <v>405</v>
      </c>
      <c r="L1014" s="27" t="s">
        <v>21</v>
      </c>
      <c r="M1014" s="27" t="s">
        <v>22</v>
      </c>
      <c r="N1014" s="40" t="s">
        <v>33</v>
      </c>
      <c r="O1014" s="27" t="s">
        <v>22</v>
      </c>
      <c r="P1014" s="27" t="s">
        <v>22</v>
      </c>
      <c r="Q1014" s="41"/>
      <c r="R1014" s="40"/>
    </row>
    <row r="1015" spans="1:18" ht="30" customHeight="1" x14ac:dyDescent="0.3">
      <c r="A1015" s="26" t="str">
        <f t="shared" si="30"/>
        <v>2026가천대</v>
      </c>
      <c r="B1015" s="26">
        <f>COUNTIFS($A$4:A1015,A1015)</f>
        <v>7</v>
      </c>
      <c r="C1015" s="26" t="str">
        <f t="shared" si="31"/>
        <v>2026가천대7</v>
      </c>
      <c r="E1015" s="39" t="s">
        <v>148</v>
      </c>
      <c r="F1015" s="26" t="s">
        <v>17</v>
      </c>
      <c r="H1015" s="27" t="s">
        <v>400</v>
      </c>
      <c r="I1015" s="27">
        <v>2026</v>
      </c>
      <c r="J1015" s="27" t="s">
        <v>19</v>
      </c>
      <c r="K1015" s="27" t="s">
        <v>405</v>
      </c>
      <c r="L1015" s="27" t="s">
        <v>24</v>
      </c>
      <c r="M1015" s="27" t="s">
        <v>22</v>
      </c>
      <c r="N1015" s="40" t="s">
        <v>33</v>
      </c>
      <c r="O1015" s="27" t="s">
        <v>22</v>
      </c>
      <c r="P1015" s="27" t="s">
        <v>22</v>
      </c>
      <c r="Q1015" s="41"/>
      <c r="R1015" s="40"/>
    </row>
    <row r="1016" spans="1:18" ht="108" x14ac:dyDescent="0.3">
      <c r="A1016" s="26" t="str">
        <f t="shared" si="30"/>
        <v>2026가천대</v>
      </c>
      <c r="B1016" s="26">
        <f>COUNTIFS($A$4:A1016,A1016)</f>
        <v>8</v>
      </c>
      <c r="C1016" s="26" t="str">
        <f t="shared" si="31"/>
        <v>2026가천대8</v>
      </c>
      <c r="E1016" s="39" t="s">
        <v>148</v>
      </c>
      <c r="F1016" s="26" t="s">
        <v>17</v>
      </c>
      <c r="H1016" s="27" t="s">
        <v>400</v>
      </c>
      <c r="I1016" s="27">
        <v>2026</v>
      </c>
      <c r="J1016" s="27" t="s">
        <v>19</v>
      </c>
      <c r="K1016" s="27" t="s">
        <v>404</v>
      </c>
      <c r="L1016" s="27" t="s">
        <v>24</v>
      </c>
      <c r="M1016" s="27" t="s">
        <v>42</v>
      </c>
      <c r="N1016" s="29" t="s">
        <v>403</v>
      </c>
      <c r="O1016" s="27" t="s">
        <v>217</v>
      </c>
      <c r="P1016" s="27" t="s">
        <v>55</v>
      </c>
      <c r="Q1016" s="41"/>
      <c r="R1016" s="40"/>
    </row>
    <row r="1017" spans="1:18" ht="30" customHeight="1" x14ac:dyDescent="0.3">
      <c r="A1017" s="26" t="str">
        <f t="shared" si="30"/>
        <v>2026가천대</v>
      </c>
      <c r="B1017" s="26">
        <f>COUNTIFS($A$4:A1017,A1017)</f>
        <v>9</v>
      </c>
      <c r="C1017" s="26" t="str">
        <f t="shared" si="31"/>
        <v>2026가천대9</v>
      </c>
      <c r="E1017" s="39" t="s">
        <v>148</v>
      </c>
      <c r="F1017" s="26" t="s">
        <v>17</v>
      </c>
      <c r="H1017" s="27" t="s">
        <v>400</v>
      </c>
      <c r="I1017" s="27">
        <v>2026</v>
      </c>
      <c r="J1017" s="27" t="s">
        <v>19</v>
      </c>
      <c r="K1017" s="27" t="s">
        <v>355</v>
      </c>
      <c r="L1017" s="27" t="s">
        <v>24</v>
      </c>
      <c r="M1017" s="27" t="s">
        <v>22</v>
      </c>
      <c r="N1017" s="40" t="s">
        <v>33</v>
      </c>
      <c r="O1017" s="27" t="s">
        <v>33</v>
      </c>
      <c r="P1017" s="27" t="s">
        <v>33</v>
      </c>
      <c r="Q1017" s="41"/>
      <c r="R1017" s="40"/>
    </row>
    <row r="1018" spans="1:18" ht="30" customHeight="1" x14ac:dyDescent="0.3">
      <c r="A1018" s="26" t="str">
        <f t="shared" si="30"/>
        <v>2026가천대</v>
      </c>
      <c r="B1018" s="26">
        <f>COUNTIFS($A$4:A1018,A1018)</f>
        <v>10</v>
      </c>
      <c r="C1018" s="26" t="str">
        <f t="shared" si="31"/>
        <v>2026가천대10</v>
      </c>
      <c r="E1018" s="39" t="s">
        <v>148</v>
      </c>
      <c r="F1018" s="26" t="s">
        <v>17</v>
      </c>
      <c r="H1018" s="27" t="s">
        <v>400</v>
      </c>
      <c r="I1018" s="27">
        <v>2026</v>
      </c>
      <c r="J1018" s="27" t="s">
        <v>50</v>
      </c>
      <c r="K1018" s="27" t="s">
        <v>50</v>
      </c>
      <c r="L1018" s="27" t="s">
        <v>21</v>
      </c>
      <c r="M1018" s="27" t="s">
        <v>22</v>
      </c>
      <c r="N1018" s="40" t="s">
        <v>406</v>
      </c>
      <c r="O1018" s="27" t="s">
        <v>33</v>
      </c>
      <c r="P1018" s="27" t="s">
        <v>33</v>
      </c>
      <c r="Q1018" s="41"/>
      <c r="R1018" s="40"/>
    </row>
    <row r="1019" spans="1:18" ht="96" x14ac:dyDescent="0.3">
      <c r="A1019" s="26" t="str">
        <f t="shared" si="30"/>
        <v>2026가천대</v>
      </c>
      <c r="B1019" s="26">
        <f>COUNTIFS($A$4:A1019,A1019)</f>
        <v>11</v>
      </c>
      <c r="C1019" s="26" t="str">
        <f t="shared" si="31"/>
        <v>2026가천대11</v>
      </c>
      <c r="E1019" s="39" t="s">
        <v>148</v>
      </c>
      <c r="F1019" s="26" t="s">
        <v>17</v>
      </c>
      <c r="H1019" s="27" t="s">
        <v>400</v>
      </c>
      <c r="I1019" s="27">
        <v>2026</v>
      </c>
      <c r="J1019" s="27" t="s">
        <v>50</v>
      </c>
      <c r="K1019" s="27" t="s">
        <v>50</v>
      </c>
      <c r="L1019" s="27" t="s">
        <v>24</v>
      </c>
      <c r="M1019" s="27" t="s">
        <v>22</v>
      </c>
      <c r="N1019" s="29" t="s">
        <v>407</v>
      </c>
      <c r="O1019" s="27" t="s">
        <v>33</v>
      </c>
      <c r="P1019" s="27" t="s">
        <v>33</v>
      </c>
      <c r="Q1019" s="41"/>
      <c r="R1019" s="31" t="s">
        <v>408</v>
      </c>
    </row>
    <row r="1020" spans="1:18" ht="30" customHeight="1" x14ac:dyDescent="0.3">
      <c r="A1020" s="26" t="str">
        <f t="shared" si="30"/>
        <v>2026가천대</v>
      </c>
      <c r="B1020" s="26">
        <f>COUNTIFS($A$4:A1020,A1020)</f>
        <v>12</v>
      </c>
      <c r="C1020" s="26" t="str">
        <f t="shared" si="31"/>
        <v>2026가천대12</v>
      </c>
      <c r="E1020" s="39" t="s">
        <v>148</v>
      </c>
      <c r="F1020" s="26" t="s">
        <v>17</v>
      </c>
      <c r="H1020" s="27" t="s">
        <v>400</v>
      </c>
      <c r="I1020" s="27">
        <v>2026</v>
      </c>
      <c r="J1020" s="27" t="s">
        <v>50</v>
      </c>
      <c r="K1020" s="27" t="s">
        <v>50</v>
      </c>
      <c r="L1020" s="27" t="s">
        <v>24</v>
      </c>
      <c r="M1020" s="27" t="s">
        <v>42</v>
      </c>
      <c r="N1020" s="29" t="s">
        <v>409</v>
      </c>
      <c r="O1020" s="27" t="s">
        <v>217</v>
      </c>
      <c r="P1020" s="27" t="s">
        <v>55</v>
      </c>
      <c r="Q1020" s="41"/>
      <c r="R1020" s="40"/>
    </row>
    <row r="1021" spans="1:18" ht="30" customHeight="1" x14ac:dyDescent="0.3">
      <c r="A1021" s="26" t="str">
        <f t="shared" si="30"/>
        <v>2027가천대</v>
      </c>
      <c r="B1021" s="26">
        <f>COUNTIFS($A$4:A1021,A1021)</f>
        <v>1</v>
      </c>
      <c r="C1021" s="26" t="str">
        <f t="shared" si="31"/>
        <v>2027가천대1</v>
      </c>
      <c r="E1021" s="39" t="s">
        <v>148</v>
      </c>
      <c r="F1021" s="26" t="s">
        <v>17</v>
      </c>
      <c r="H1021" s="27" t="s">
        <v>400</v>
      </c>
      <c r="I1021" s="27">
        <v>2027</v>
      </c>
      <c r="J1021" s="27" t="s">
        <v>38</v>
      </c>
      <c r="K1021" s="27" t="s">
        <v>242</v>
      </c>
      <c r="L1021" s="27" t="s">
        <v>21</v>
      </c>
      <c r="M1021" s="27" t="s">
        <v>22</v>
      </c>
      <c r="N1021" s="40" t="s">
        <v>169</v>
      </c>
      <c r="O1021" s="27" t="s">
        <v>33</v>
      </c>
      <c r="P1021" s="27" t="s">
        <v>33</v>
      </c>
      <c r="Q1021" s="41"/>
      <c r="R1021" s="40"/>
    </row>
    <row r="1022" spans="1:18" ht="96" x14ac:dyDescent="0.3">
      <c r="A1022" s="26" t="str">
        <f t="shared" si="30"/>
        <v>2027가천대</v>
      </c>
      <c r="B1022" s="26">
        <f>COUNTIFS($A$4:A1022,A1022)</f>
        <v>2</v>
      </c>
      <c r="C1022" s="26" t="str">
        <f t="shared" si="31"/>
        <v>2027가천대2</v>
      </c>
      <c r="E1022" s="39" t="s">
        <v>148</v>
      </c>
      <c r="F1022" s="26" t="s">
        <v>17</v>
      </c>
      <c r="H1022" s="27" t="s">
        <v>400</v>
      </c>
      <c r="I1022" s="27">
        <v>2027</v>
      </c>
      <c r="J1022" s="27" t="s">
        <v>38</v>
      </c>
      <c r="K1022" s="27" t="s">
        <v>242</v>
      </c>
      <c r="L1022" s="27" t="s">
        <v>24</v>
      </c>
      <c r="M1022" s="27" t="s">
        <v>22</v>
      </c>
      <c r="N1022" s="29" t="s">
        <v>410</v>
      </c>
      <c r="O1022" s="27" t="s">
        <v>33</v>
      </c>
      <c r="P1022" s="27" t="s">
        <v>33</v>
      </c>
      <c r="Q1022" s="32" t="s">
        <v>411</v>
      </c>
      <c r="R1022" s="31" t="s">
        <v>412</v>
      </c>
    </row>
    <row r="1023" spans="1:18" ht="108" x14ac:dyDescent="0.3">
      <c r="A1023" s="26" t="str">
        <f t="shared" si="30"/>
        <v>2027가천대</v>
      </c>
      <c r="B1023" s="26">
        <f>COUNTIFS($A$4:A1023,A1023)</f>
        <v>3</v>
      </c>
      <c r="C1023" s="26" t="str">
        <f t="shared" si="31"/>
        <v>2027가천대3</v>
      </c>
      <c r="E1023" s="39" t="s">
        <v>148</v>
      </c>
      <c r="F1023" s="26" t="s">
        <v>17</v>
      </c>
      <c r="H1023" s="27" t="s">
        <v>400</v>
      </c>
      <c r="I1023" s="27">
        <v>2027</v>
      </c>
      <c r="J1023" s="27" t="s">
        <v>38</v>
      </c>
      <c r="K1023" s="27" t="s">
        <v>242</v>
      </c>
      <c r="L1023" s="27" t="s">
        <v>24</v>
      </c>
      <c r="M1023" s="27" t="s">
        <v>42</v>
      </c>
      <c r="N1023" s="29" t="s">
        <v>403</v>
      </c>
      <c r="O1023" s="27" t="s">
        <v>217</v>
      </c>
      <c r="P1023" s="27" t="s">
        <v>55</v>
      </c>
      <c r="Q1023" s="41"/>
      <c r="R1023" s="40"/>
    </row>
    <row r="1024" spans="1:18" ht="30" customHeight="1" x14ac:dyDescent="0.3">
      <c r="A1024" s="26" t="str">
        <f t="shared" si="30"/>
        <v>2027가천대</v>
      </c>
      <c r="B1024" s="26">
        <f>COUNTIFS($A$4:A1024,A1024)</f>
        <v>4</v>
      </c>
      <c r="C1024" s="26" t="str">
        <f t="shared" si="31"/>
        <v>2027가천대4</v>
      </c>
      <c r="E1024" s="39" t="s">
        <v>148</v>
      </c>
      <c r="F1024" s="26" t="s">
        <v>17</v>
      </c>
      <c r="H1024" s="27" t="s">
        <v>400</v>
      </c>
      <c r="I1024" s="27">
        <v>2027</v>
      </c>
      <c r="J1024" s="27" t="s">
        <v>38</v>
      </c>
      <c r="K1024" s="27" t="s">
        <v>20</v>
      </c>
      <c r="L1024" s="27" t="s">
        <v>21</v>
      </c>
      <c r="M1024" s="27" t="s">
        <v>22</v>
      </c>
      <c r="N1024" s="40" t="s">
        <v>33</v>
      </c>
      <c r="O1024" s="27" t="s">
        <v>22</v>
      </c>
      <c r="P1024" s="27" t="s">
        <v>22</v>
      </c>
      <c r="Q1024" s="41"/>
      <c r="R1024" s="40"/>
    </row>
    <row r="1025" spans="1:18" ht="30" customHeight="1" x14ac:dyDescent="0.3">
      <c r="A1025" s="26" t="str">
        <f t="shared" si="30"/>
        <v>2027가천대</v>
      </c>
      <c r="B1025" s="26">
        <f>COUNTIFS($A$4:A1025,A1025)</f>
        <v>5</v>
      </c>
      <c r="C1025" s="26" t="str">
        <f t="shared" si="31"/>
        <v>2027가천대5</v>
      </c>
      <c r="E1025" s="39" t="s">
        <v>148</v>
      </c>
      <c r="F1025" s="26" t="s">
        <v>17</v>
      </c>
      <c r="H1025" s="27" t="s">
        <v>400</v>
      </c>
      <c r="I1025" s="27">
        <v>2027</v>
      </c>
      <c r="J1025" s="27" t="s">
        <v>38</v>
      </c>
      <c r="K1025" s="27" t="s">
        <v>20</v>
      </c>
      <c r="L1025" s="27" t="s">
        <v>24</v>
      </c>
      <c r="M1025" s="27" t="s">
        <v>22</v>
      </c>
      <c r="N1025" s="40" t="s">
        <v>33</v>
      </c>
      <c r="O1025" s="27" t="s">
        <v>22</v>
      </c>
      <c r="P1025" s="27" t="s">
        <v>22</v>
      </c>
      <c r="Q1025" s="41"/>
      <c r="R1025" s="40"/>
    </row>
    <row r="1026" spans="1:18" ht="60" x14ac:dyDescent="0.3">
      <c r="A1026" s="26" t="str">
        <f t="shared" si="30"/>
        <v>2027가천대</v>
      </c>
      <c r="B1026" s="26">
        <f>COUNTIFS($A$4:A1026,A1026)</f>
        <v>6</v>
      </c>
      <c r="C1026" s="26" t="str">
        <f t="shared" si="31"/>
        <v>2027가천대6</v>
      </c>
      <c r="E1026" s="39" t="s">
        <v>148</v>
      </c>
      <c r="F1026" s="26" t="s">
        <v>17</v>
      </c>
      <c r="H1026" s="27" t="s">
        <v>400</v>
      </c>
      <c r="I1026" s="27">
        <v>2027</v>
      </c>
      <c r="J1026" s="27" t="s">
        <v>19</v>
      </c>
      <c r="K1026" s="27" t="s">
        <v>404</v>
      </c>
      <c r="L1026" s="27" t="s">
        <v>24</v>
      </c>
      <c r="M1026" s="27" t="s">
        <v>42</v>
      </c>
      <c r="N1026" s="29" t="s">
        <v>413</v>
      </c>
      <c r="O1026" s="27" t="s">
        <v>27</v>
      </c>
      <c r="P1026" s="27" t="s">
        <v>55</v>
      </c>
      <c r="Q1026" s="32" t="s">
        <v>414</v>
      </c>
      <c r="R1026" s="40"/>
    </row>
    <row r="1027" spans="1:18" ht="30" customHeight="1" x14ac:dyDescent="0.3">
      <c r="A1027" s="26" t="str">
        <f t="shared" si="30"/>
        <v>2027가천대</v>
      </c>
      <c r="B1027" s="26">
        <f>COUNTIFS($A$4:A1027,A1027)</f>
        <v>7</v>
      </c>
      <c r="C1027" s="26" t="str">
        <f t="shared" si="31"/>
        <v>2027가천대7</v>
      </c>
      <c r="E1027" s="39" t="s">
        <v>148</v>
      </c>
      <c r="F1027" s="26" t="s">
        <v>17</v>
      </c>
      <c r="H1027" s="27" t="s">
        <v>400</v>
      </c>
      <c r="I1027" s="27">
        <v>2027</v>
      </c>
      <c r="J1027" s="27" t="s">
        <v>19</v>
      </c>
      <c r="K1027" s="27" t="s">
        <v>405</v>
      </c>
      <c r="L1027" s="27" t="s">
        <v>21</v>
      </c>
      <c r="M1027" s="27" t="s">
        <v>22</v>
      </c>
      <c r="N1027" s="40" t="s">
        <v>33</v>
      </c>
      <c r="O1027" s="27" t="s">
        <v>22</v>
      </c>
      <c r="P1027" s="27" t="s">
        <v>22</v>
      </c>
      <c r="Q1027" s="41"/>
      <c r="R1027" s="40" t="s">
        <v>415</v>
      </c>
    </row>
    <row r="1028" spans="1:18" ht="30" customHeight="1" x14ac:dyDescent="0.3">
      <c r="A1028" s="26" t="str">
        <f t="shared" si="30"/>
        <v>2027가천대</v>
      </c>
      <c r="B1028" s="26">
        <f>COUNTIFS($A$4:A1028,A1028)</f>
        <v>8</v>
      </c>
      <c r="C1028" s="26" t="str">
        <f t="shared" si="31"/>
        <v>2027가천대8</v>
      </c>
      <c r="E1028" s="39" t="s">
        <v>148</v>
      </c>
      <c r="F1028" s="26" t="s">
        <v>17</v>
      </c>
      <c r="H1028" s="27" t="s">
        <v>400</v>
      </c>
      <c r="I1028" s="27">
        <v>2027</v>
      </c>
      <c r="J1028" s="27" t="s">
        <v>19</v>
      </c>
      <c r="K1028" s="27" t="s">
        <v>405</v>
      </c>
      <c r="L1028" s="27" t="s">
        <v>24</v>
      </c>
      <c r="M1028" s="27" t="s">
        <v>22</v>
      </c>
      <c r="N1028" s="40" t="s">
        <v>33</v>
      </c>
      <c r="O1028" s="27" t="s">
        <v>22</v>
      </c>
      <c r="P1028" s="27" t="s">
        <v>22</v>
      </c>
      <c r="Q1028" s="41"/>
      <c r="R1028" s="40" t="s">
        <v>415</v>
      </c>
    </row>
    <row r="1029" spans="1:18" ht="30" customHeight="1" x14ac:dyDescent="0.3">
      <c r="A1029" s="26" t="str">
        <f t="shared" si="30"/>
        <v>2027가천대</v>
      </c>
      <c r="B1029" s="26">
        <f>COUNTIFS($A$4:A1029,A1029)</f>
        <v>9</v>
      </c>
      <c r="C1029" s="26" t="str">
        <f t="shared" si="31"/>
        <v>2027가천대9</v>
      </c>
      <c r="E1029" s="39" t="s">
        <v>148</v>
      </c>
      <c r="F1029" s="26" t="s">
        <v>17</v>
      </c>
      <c r="H1029" s="27" t="s">
        <v>400</v>
      </c>
      <c r="I1029" s="27">
        <v>2027</v>
      </c>
      <c r="J1029" s="27" t="s">
        <v>50</v>
      </c>
      <c r="K1029" s="27" t="s">
        <v>50</v>
      </c>
      <c r="L1029" s="27" t="s">
        <v>21</v>
      </c>
      <c r="M1029" s="27" t="s">
        <v>22</v>
      </c>
      <c r="N1029" s="40" t="s">
        <v>406</v>
      </c>
      <c r="O1029" s="27" t="s">
        <v>22</v>
      </c>
      <c r="P1029" s="27" t="s">
        <v>22</v>
      </c>
      <c r="Q1029" s="41"/>
      <c r="R1029" s="40"/>
    </row>
    <row r="1030" spans="1:18" ht="96" x14ac:dyDescent="0.3">
      <c r="A1030" s="26" t="str">
        <f t="shared" si="30"/>
        <v>2027가천대</v>
      </c>
      <c r="B1030" s="26">
        <f>COUNTIFS($A$4:A1030,A1030)</f>
        <v>10</v>
      </c>
      <c r="C1030" s="26" t="str">
        <f t="shared" si="31"/>
        <v>2027가천대10</v>
      </c>
      <c r="E1030" s="39" t="s">
        <v>148</v>
      </c>
      <c r="F1030" s="26" t="s">
        <v>17</v>
      </c>
      <c r="H1030" s="27" t="s">
        <v>400</v>
      </c>
      <c r="I1030" s="27">
        <v>2027</v>
      </c>
      <c r="J1030" s="27" t="s">
        <v>50</v>
      </c>
      <c r="K1030" s="27" t="s">
        <v>50</v>
      </c>
      <c r="L1030" s="27" t="s">
        <v>24</v>
      </c>
      <c r="M1030" s="27" t="s">
        <v>22</v>
      </c>
      <c r="N1030" s="29" t="s">
        <v>416</v>
      </c>
      <c r="O1030" s="27" t="s">
        <v>22</v>
      </c>
      <c r="P1030" s="27" t="s">
        <v>22</v>
      </c>
      <c r="Q1030" s="32" t="s">
        <v>411</v>
      </c>
      <c r="R1030" s="31" t="s">
        <v>412</v>
      </c>
    </row>
    <row r="1031" spans="1:18" ht="108" x14ac:dyDescent="0.3">
      <c r="A1031" s="26" t="str">
        <f t="shared" si="30"/>
        <v>2027가천대</v>
      </c>
      <c r="B1031" s="26">
        <f>COUNTIFS($A$4:A1031,A1031)</f>
        <v>11</v>
      </c>
      <c r="C1031" s="26" t="str">
        <f t="shared" si="31"/>
        <v>2027가천대11</v>
      </c>
      <c r="E1031" s="39" t="s">
        <v>148</v>
      </c>
      <c r="F1031" s="26" t="s">
        <v>17</v>
      </c>
      <c r="H1031" s="27" t="s">
        <v>400</v>
      </c>
      <c r="I1031" s="27">
        <v>2027</v>
      </c>
      <c r="J1031" s="27" t="s">
        <v>50</v>
      </c>
      <c r="K1031" s="27" t="s">
        <v>50</v>
      </c>
      <c r="L1031" s="27" t="s">
        <v>24</v>
      </c>
      <c r="M1031" s="27" t="s">
        <v>42</v>
      </c>
      <c r="N1031" s="29" t="s">
        <v>403</v>
      </c>
      <c r="O1031" s="27" t="s">
        <v>217</v>
      </c>
      <c r="P1031" s="27" t="s">
        <v>55</v>
      </c>
      <c r="Q1031" s="32" t="s">
        <v>417</v>
      </c>
      <c r="R1031" s="40"/>
    </row>
    <row r="1032" spans="1:18" ht="30" customHeight="1" x14ac:dyDescent="0.3">
      <c r="A1032" s="26" t="str">
        <f t="shared" si="30"/>
        <v>2025경기대</v>
      </c>
      <c r="B1032" s="26">
        <f>COUNTIFS($A$4:A1032,A1032)</f>
        <v>1</v>
      </c>
      <c r="C1032" s="26" t="str">
        <f t="shared" si="31"/>
        <v>2025경기대1</v>
      </c>
      <c r="E1032" s="39" t="s">
        <v>148</v>
      </c>
      <c r="F1032" s="26" t="s">
        <v>17</v>
      </c>
      <c r="H1032" s="27" t="s">
        <v>418</v>
      </c>
      <c r="I1032" s="27">
        <v>2025</v>
      </c>
      <c r="J1032" s="27" t="s">
        <v>38</v>
      </c>
      <c r="K1032" s="27" t="s">
        <v>234</v>
      </c>
      <c r="L1032" s="27" t="s">
        <v>21</v>
      </c>
      <c r="M1032" s="27" t="s">
        <v>22</v>
      </c>
      <c r="N1032" s="40" t="s">
        <v>419</v>
      </c>
      <c r="O1032" s="27" t="s">
        <v>33</v>
      </c>
      <c r="P1032" s="27" t="s">
        <v>33</v>
      </c>
      <c r="Q1032" s="41"/>
      <c r="R1032" s="40"/>
    </row>
    <row r="1033" spans="1:18" ht="30" customHeight="1" x14ac:dyDescent="0.3">
      <c r="A1033" s="26" t="str">
        <f t="shared" si="30"/>
        <v>2025경기대</v>
      </c>
      <c r="B1033" s="26">
        <f>COUNTIFS($A$4:A1033,A1033)</f>
        <v>2</v>
      </c>
      <c r="C1033" s="26" t="str">
        <f t="shared" si="31"/>
        <v>2025경기대2</v>
      </c>
      <c r="E1033" s="39" t="s">
        <v>148</v>
      </c>
      <c r="F1033" s="26" t="s">
        <v>17</v>
      </c>
      <c r="H1033" s="27" t="s">
        <v>418</v>
      </c>
      <c r="I1033" s="27">
        <v>2025</v>
      </c>
      <c r="J1033" s="27" t="s">
        <v>38</v>
      </c>
      <c r="K1033" s="27" t="s">
        <v>234</v>
      </c>
      <c r="L1033" s="27" t="s">
        <v>24</v>
      </c>
      <c r="M1033" s="27" t="s">
        <v>22</v>
      </c>
      <c r="N1033" s="40" t="s">
        <v>419</v>
      </c>
      <c r="O1033" s="27" t="s">
        <v>33</v>
      </c>
      <c r="P1033" s="27" t="s">
        <v>22</v>
      </c>
      <c r="Q1033" s="41"/>
      <c r="R1033" s="40"/>
    </row>
    <row r="1034" spans="1:18" ht="30" customHeight="1" x14ac:dyDescent="0.3">
      <c r="A1034" s="26" t="str">
        <f t="shared" ref="A1034:A1097" si="32">I1034&amp;H1034</f>
        <v>2025경기대</v>
      </c>
      <c r="B1034" s="26">
        <f>COUNTIFS($A$4:A1034,A1034)</f>
        <v>3</v>
      </c>
      <c r="C1034" s="26" t="str">
        <f t="shared" ref="C1034:C1097" si="33">A1034&amp;B1034</f>
        <v>2025경기대3</v>
      </c>
      <c r="E1034" s="39" t="s">
        <v>148</v>
      </c>
      <c r="F1034" s="26" t="s">
        <v>17</v>
      </c>
      <c r="H1034" s="27" t="s">
        <v>418</v>
      </c>
      <c r="I1034" s="27">
        <v>2025</v>
      </c>
      <c r="J1034" s="27" t="s">
        <v>38</v>
      </c>
      <c r="K1034" s="27" t="s">
        <v>80</v>
      </c>
      <c r="L1034" s="27" t="s">
        <v>21</v>
      </c>
      <c r="M1034" s="27" t="s">
        <v>22</v>
      </c>
      <c r="N1034" s="40" t="s">
        <v>33</v>
      </c>
      <c r="O1034" s="27" t="s">
        <v>33</v>
      </c>
      <c r="P1034" s="27" t="s">
        <v>33</v>
      </c>
      <c r="Q1034" s="41"/>
      <c r="R1034" s="40"/>
    </row>
    <row r="1035" spans="1:18" ht="30" customHeight="1" x14ac:dyDescent="0.3">
      <c r="A1035" s="26" t="str">
        <f t="shared" si="32"/>
        <v>2025경기대</v>
      </c>
      <c r="B1035" s="26">
        <f>COUNTIFS($A$4:A1035,A1035)</f>
        <v>4</v>
      </c>
      <c r="C1035" s="26" t="str">
        <f t="shared" si="33"/>
        <v>2025경기대4</v>
      </c>
      <c r="E1035" s="39" t="s">
        <v>148</v>
      </c>
      <c r="F1035" s="26" t="s">
        <v>17</v>
      </c>
      <c r="H1035" s="27" t="s">
        <v>418</v>
      </c>
      <c r="I1035" s="27">
        <v>2025</v>
      </c>
      <c r="J1035" s="27" t="s">
        <v>38</v>
      </c>
      <c r="K1035" s="27" t="s">
        <v>80</v>
      </c>
      <c r="L1035" s="27" t="s">
        <v>24</v>
      </c>
      <c r="M1035" s="27" t="s">
        <v>22</v>
      </c>
      <c r="N1035" s="40" t="s">
        <v>33</v>
      </c>
      <c r="O1035" s="27" t="s">
        <v>33</v>
      </c>
      <c r="P1035" s="27" t="s">
        <v>33</v>
      </c>
      <c r="Q1035" s="41"/>
      <c r="R1035" s="40"/>
    </row>
    <row r="1036" spans="1:18" ht="30" customHeight="1" x14ac:dyDescent="0.3">
      <c r="A1036" s="26" t="str">
        <f t="shared" si="32"/>
        <v>2025경기대</v>
      </c>
      <c r="B1036" s="26">
        <f>COUNTIFS($A$4:A1036,A1036)</f>
        <v>5</v>
      </c>
      <c r="C1036" s="26" t="str">
        <f t="shared" si="33"/>
        <v>2025경기대5</v>
      </c>
      <c r="E1036" s="39" t="s">
        <v>148</v>
      </c>
      <c r="F1036" s="26" t="s">
        <v>17</v>
      </c>
      <c r="H1036" s="27" t="s">
        <v>418</v>
      </c>
      <c r="I1036" s="27">
        <v>2025</v>
      </c>
      <c r="J1036" s="27" t="s">
        <v>19</v>
      </c>
      <c r="K1036" s="27" t="s">
        <v>420</v>
      </c>
      <c r="L1036" s="27" t="s">
        <v>21</v>
      </c>
      <c r="M1036" s="27" t="s">
        <v>22</v>
      </c>
      <c r="N1036" s="40" t="s">
        <v>33</v>
      </c>
      <c r="O1036" s="27" t="s">
        <v>33</v>
      </c>
      <c r="P1036" s="27" t="s">
        <v>33</v>
      </c>
      <c r="Q1036" s="41"/>
      <c r="R1036" s="40"/>
    </row>
    <row r="1037" spans="1:18" ht="30" customHeight="1" x14ac:dyDescent="0.3">
      <c r="A1037" s="26" t="str">
        <f t="shared" si="32"/>
        <v>2025경기대</v>
      </c>
      <c r="B1037" s="26">
        <f>COUNTIFS($A$4:A1037,A1037)</f>
        <v>6</v>
      </c>
      <c r="C1037" s="26" t="str">
        <f t="shared" si="33"/>
        <v>2025경기대6</v>
      </c>
      <c r="E1037" s="39" t="s">
        <v>148</v>
      </c>
      <c r="F1037" s="26" t="s">
        <v>17</v>
      </c>
      <c r="H1037" s="27" t="s">
        <v>418</v>
      </c>
      <c r="I1037" s="27">
        <v>2025</v>
      </c>
      <c r="J1037" s="27" t="s">
        <v>19</v>
      </c>
      <c r="K1037" s="27" t="s">
        <v>420</v>
      </c>
      <c r="L1037" s="27" t="s">
        <v>24</v>
      </c>
      <c r="M1037" s="27" t="s">
        <v>22</v>
      </c>
      <c r="N1037" s="40" t="s">
        <v>33</v>
      </c>
      <c r="O1037" s="27" t="s">
        <v>33</v>
      </c>
      <c r="P1037" s="27" t="s">
        <v>33</v>
      </c>
      <c r="Q1037" s="41"/>
      <c r="R1037" s="40"/>
    </row>
    <row r="1038" spans="1:18" ht="30" customHeight="1" x14ac:dyDescent="0.3">
      <c r="A1038" s="26" t="str">
        <f t="shared" si="32"/>
        <v>2025경기대</v>
      </c>
      <c r="B1038" s="26">
        <f>COUNTIFS($A$4:A1038,A1038)</f>
        <v>7</v>
      </c>
      <c r="C1038" s="26" t="str">
        <f t="shared" si="33"/>
        <v>2025경기대7</v>
      </c>
      <c r="E1038" s="39" t="s">
        <v>148</v>
      </c>
      <c r="F1038" s="26" t="s">
        <v>17</v>
      </c>
      <c r="H1038" s="27" t="s">
        <v>418</v>
      </c>
      <c r="I1038" s="27">
        <v>2025</v>
      </c>
      <c r="J1038" s="27" t="s">
        <v>19</v>
      </c>
      <c r="K1038" s="27" t="s">
        <v>245</v>
      </c>
      <c r="L1038" s="27" t="s">
        <v>24</v>
      </c>
      <c r="M1038" s="27" t="s">
        <v>22</v>
      </c>
      <c r="N1038" s="40" t="s">
        <v>33</v>
      </c>
      <c r="O1038" s="27" t="s">
        <v>33</v>
      </c>
      <c r="P1038" s="27" t="s">
        <v>33</v>
      </c>
      <c r="Q1038" s="41"/>
      <c r="R1038" s="40"/>
    </row>
    <row r="1039" spans="1:18" ht="30" customHeight="1" x14ac:dyDescent="0.3">
      <c r="A1039" s="26" t="str">
        <f t="shared" si="32"/>
        <v>2025경기대</v>
      </c>
      <c r="B1039" s="26">
        <f>COUNTIFS($A$4:A1039,A1039)</f>
        <v>8</v>
      </c>
      <c r="C1039" s="26" t="str">
        <f t="shared" si="33"/>
        <v>2025경기대8</v>
      </c>
      <c r="E1039" s="39" t="s">
        <v>148</v>
      </c>
      <c r="F1039" s="26" t="s">
        <v>17</v>
      </c>
      <c r="H1039" s="27" t="s">
        <v>418</v>
      </c>
      <c r="I1039" s="27">
        <v>2025</v>
      </c>
      <c r="J1039" s="27" t="s">
        <v>50</v>
      </c>
      <c r="K1039" s="27" t="s">
        <v>156</v>
      </c>
      <c r="L1039" s="27" t="s">
        <v>21</v>
      </c>
      <c r="M1039" s="27" t="s">
        <v>22</v>
      </c>
      <c r="N1039" s="40" t="s">
        <v>33</v>
      </c>
      <c r="O1039" s="27" t="s">
        <v>33</v>
      </c>
      <c r="P1039" s="27" t="s">
        <v>33</v>
      </c>
      <c r="Q1039" s="41"/>
      <c r="R1039" s="40"/>
    </row>
    <row r="1040" spans="1:18" ht="30" customHeight="1" x14ac:dyDescent="0.3">
      <c r="A1040" s="26" t="str">
        <f t="shared" si="32"/>
        <v>2025경기대</v>
      </c>
      <c r="B1040" s="26">
        <f>COUNTIFS($A$4:A1040,A1040)</f>
        <v>9</v>
      </c>
      <c r="C1040" s="26" t="str">
        <f t="shared" si="33"/>
        <v>2025경기대9</v>
      </c>
      <c r="E1040" s="39" t="s">
        <v>148</v>
      </c>
      <c r="F1040" s="26" t="s">
        <v>17</v>
      </c>
      <c r="H1040" s="27" t="s">
        <v>418</v>
      </c>
      <c r="I1040" s="27">
        <v>2025</v>
      </c>
      <c r="J1040" s="27" t="s">
        <v>50</v>
      </c>
      <c r="K1040" s="27" t="s">
        <v>156</v>
      </c>
      <c r="L1040" s="27" t="s">
        <v>24</v>
      </c>
      <c r="M1040" s="27" t="s">
        <v>22</v>
      </c>
      <c r="N1040" s="40" t="s">
        <v>33</v>
      </c>
      <c r="O1040" s="27" t="s">
        <v>33</v>
      </c>
      <c r="P1040" s="27" t="s">
        <v>33</v>
      </c>
      <c r="Q1040" s="41"/>
      <c r="R1040" s="40"/>
    </row>
    <row r="1041" spans="1:18" ht="30" customHeight="1" x14ac:dyDescent="0.3">
      <c r="A1041" s="26" t="str">
        <f t="shared" si="32"/>
        <v>2026경기대</v>
      </c>
      <c r="B1041" s="26">
        <f>COUNTIFS($A$4:A1041,A1041)</f>
        <v>1</v>
      </c>
      <c r="C1041" s="26" t="str">
        <f t="shared" si="33"/>
        <v>2026경기대1</v>
      </c>
      <c r="E1041" s="39" t="s">
        <v>148</v>
      </c>
      <c r="F1041" s="26" t="s">
        <v>17</v>
      </c>
      <c r="H1041" s="27" t="s">
        <v>418</v>
      </c>
      <c r="I1041" s="27">
        <v>2026</v>
      </c>
      <c r="J1041" s="27" t="s">
        <v>38</v>
      </c>
      <c r="K1041" s="27" t="s">
        <v>234</v>
      </c>
      <c r="L1041" s="27" t="s">
        <v>21</v>
      </c>
      <c r="M1041" s="27" t="s">
        <v>22</v>
      </c>
      <c r="N1041" s="40" t="s">
        <v>419</v>
      </c>
      <c r="O1041" s="27" t="s">
        <v>22</v>
      </c>
      <c r="P1041" s="27" t="s">
        <v>22</v>
      </c>
      <c r="Q1041" s="41"/>
      <c r="R1041" s="40"/>
    </row>
    <row r="1042" spans="1:18" ht="30" customHeight="1" x14ac:dyDescent="0.3">
      <c r="A1042" s="26" t="str">
        <f t="shared" si="32"/>
        <v>2026경기대</v>
      </c>
      <c r="B1042" s="26">
        <f>COUNTIFS($A$4:A1042,A1042)</f>
        <v>2</v>
      </c>
      <c r="C1042" s="26" t="str">
        <f t="shared" si="33"/>
        <v>2026경기대2</v>
      </c>
      <c r="E1042" s="39" t="s">
        <v>148</v>
      </c>
      <c r="F1042" s="26" t="s">
        <v>17</v>
      </c>
      <c r="H1042" s="27" t="s">
        <v>418</v>
      </c>
      <c r="I1042" s="27">
        <v>2026</v>
      </c>
      <c r="J1042" s="27" t="s">
        <v>38</v>
      </c>
      <c r="K1042" s="27" t="s">
        <v>234</v>
      </c>
      <c r="L1042" s="27" t="s">
        <v>24</v>
      </c>
      <c r="M1042" s="27" t="s">
        <v>22</v>
      </c>
      <c r="N1042" s="40" t="s">
        <v>419</v>
      </c>
      <c r="O1042" s="27" t="s">
        <v>22</v>
      </c>
      <c r="P1042" s="27" t="s">
        <v>22</v>
      </c>
      <c r="Q1042" s="41"/>
      <c r="R1042" s="40"/>
    </row>
    <row r="1043" spans="1:18" ht="30" customHeight="1" x14ac:dyDescent="0.3">
      <c r="A1043" s="26" t="str">
        <f t="shared" si="32"/>
        <v>2026경기대</v>
      </c>
      <c r="B1043" s="26">
        <f>COUNTIFS($A$4:A1043,A1043)</f>
        <v>3</v>
      </c>
      <c r="C1043" s="26" t="str">
        <f t="shared" si="33"/>
        <v>2026경기대3</v>
      </c>
      <c r="E1043" s="39" t="s">
        <v>148</v>
      </c>
      <c r="F1043" s="26" t="s">
        <v>17</v>
      </c>
      <c r="H1043" s="27" t="s">
        <v>418</v>
      </c>
      <c r="I1043" s="27">
        <v>2026</v>
      </c>
      <c r="J1043" s="27" t="s">
        <v>38</v>
      </c>
      <c r="K1043" s="27" t="s">
        <v>80</v>
      </c>
      <c r="L1043" s="27" t="s">
        <v>21</v>
      </c>
      <c r="M1043" s="27" t="s">
        <v>22</v>
      </c>
      <c r="N1043" s="40" t="s">
        <v>33</v>
      </c>
      <c r="O1043" s="27" t="s">
        <v>22</v>
      </c>
      <c r="P1043" s="27" t="s">
        <v>22</v>
      </c>
      <c r="Q1043" s="41"/>
      <c r="R1043" s="40"/>
    </row>
    <row r="1044" spans="1:18" ht="30" customHeight="1" x14ac:dyDescent="0.3">
      <c r="A1044" s="26" t="str">
        <f t="shared" si="32"/>
        <v>2026경기대</v>
      </c>
      <c r="B1044" s="26">
        <f>COUNTIFS($A$4:A1044,A1044)</f>
        <v>4</v>
      </c>
      <c r="C1044" s="26" t="str">
        <f t="shared" si="33"/>
        <v>2026경기대4</v>
      </c>
      <c r="E1044" s="39" t="s">
        <v>148</v>
      </c>
      <c r="F1044" s="26" t="s">
        <v>17</v>
      </c>
      <c r="H1044" s="27" t="s">
        <v>418</v>
      </c>
      <c r="I1044" s="27">
        <v>2026</v>
      </c>
      <c r="J1044" s="27" t="s">
        <v>38</v>
      </c>
      <c r="K1044" s="27" t="s">
        <v>80</v>
      </c>
      <c r="L1044" s="27" t="s">
        <v>24</v>
      </c>
      <c r="M1044" s="27" t="s">
        <v>22</v>
      </c>
      <c r="N1044" s="40" t="s">
        <v>33</v>
      </c>
      <c r="O1044" s="27" t="s">
        <v>22</v>
      </c>
      <c r="P1044" s="27" t="s">
        <v>22</v>
      </c>
      <c r="Q1044" s="41"/>
      <c r="R1044" s="40"/>
    </row>
    <row r="1045" spans="1:18" ht="30" customHeight="1" x14ac:dyDescent="0.3">
      <c r="A1045" s="26" t="str">
        <f t="shared" si="32"/>
        <v>2026경기대</v>
      </c>
      <c r="B1045" s="26">
        <f>COUNTIFS($A$4:A1045,A1045)</f>
        <v>5</v>
      </c>
      <c r="C1045" s="26" t="str">
        <f t="shared" si="33"/>
        <v>2026경기대5</v>
      </c>
      <c r="E1045" s="39" t="s">
        <v>148</v>
      </c>
      <c r="F1045" s="26" t="s">
        <v>17</v>
      </c>
      <c r="H1045" s="27" t="s">
        <v>418</v>
      </c>
      <c r="I1045" s="27">
        <v>2026</v>
      </c>
      <c r="J1045" s="27" t="s">
        <v>19</v>
      </c>
      <c r="K1045" s="27" t="s">
        <v>420</v>
      </c>
      <c r="L1045" s="27" t="s">
        <v>21</v>
      </c>
      <c r="M1045" s="27" t="s">
        <v>22</v>
      </c>
      <c r="N1045" s="40" t="s">
        <v>33</v>
      </c>
      <c r="O1045" s="27" t="s">
        <v>22</v>
      </c>
      <c r="P1045" s="27" t="s">
        <v>22</v>
      </c>
      <c r="Q1045" s="41"/>
      <c r="R1045" s="40"/>
    </row>
    <row r="1046" spans="1:18" ht="30" customHeight="1" x14ac:dyDescent="0.3">
      <c r="A1046" s="26" t="str">
        <f t="shared" si="32"/>
        <v>2026경기대</v>
      </c>
      <c r="B1046" s="26">
        <f>COUNTIFS($A$4:A1046,A1046)</f>
        <v>6</v>
      </c>
      <c r="C1046" s="26" t="str">
        <f t="shared" si="33"/>
        <v>2026경기대6</v>
      </c>
      <c r="E1046" s="39" t="s">
        <v>148</v>
      </c>
      <c r="F1046" s="26" t="s">
        <v>17</v>
      </c>
      <c r="H1046" s="27" t="s">
        <v>418</v>
      </c>
      <c r="I1046" s="27">
        <v>2026</v>
      </c>
      <c r="J1046" s="27" t="s">
        <v>19</v>
      </c>
      <c r="K1046" s="27" t="s">
        <v>420</v>
      </c>
      <c r="L1046" s="27" t="s">
        <v>24</v>
      </c>
      <c r="M1046" s="27" t="s">
        <v>22</v>
      </c>
      <c r="N1046" s="40" t="s">
        <v>33</v>
      </c>
      <c r="O1046" s="27" t="s">
        <v>22</v>
      </c>
      <c r="P1046" s="27" t="s">
        <v>22</v>
      </c>
      <c r="Q1046" s="41"/>
      <c r="R1046" s="40"/>
    </row>
    <row r="1047" spans="1:18" ht="30" customHeight="1" x14ac:dyDescent="0.3">
      <c r="A1047" s="26" t="str">
        <f t="shared" si="32"/>
        <v>2026경기대</v>
      </c>
      <c r="B1047" s="26">
        <f>COUNTIFS($A$4:A1047,A1047)</f>
        <v>7</v>
      </c>
      <c r="C1047" s="26" t="str">
        <f t="shared" si="33"/>
        <v>2026경기대7</v>
      </c>
      <c r="E1047" s="39" t="s">
        <v>148</v>
      </c>
      <c r="F1047" s="26" t="s">
        <v>17</v>
      </c>
      <c r="H1047" s="27" t="s">
        <v>418</v>
      </c>
      <c r="I1047" s="27">
        <v>2026</v>
      </c>
      <c r="J1047" s="27" t="s">
        <v>19</v>
      </c>
      <c r="K1047" s="27" t="s">
        <v>245</v>
      </c>
      <c r="L1047" s="27" t="s">
        <v>24</v>
      </c>
      <c r="M1047" s="27" t="s">
        <v>22</v>
      </c>
      <c r="N1047" s="40" t="s">
        <v>33</v>
      </c>
      <c r="O1047" s="27" t="s">
        <v>22</v>
      </c>
      <c r="P1047" s="27" t="s">
        <v>22</v>
      </c>
      <c r="Q1047" s="41"/>
      <c r="R1047" s="40"/>
    </row>
    <row r="1048" spans="1:18" ht="30" customHeight="1" x14ac:dyDescent="0.3">
      <c r="A1048" s="26" t="str">
        <f t="shared" si="32"/>
        <v>2026경기대</v>
      </c>
      <c r="B1048" s="26">
        <f>COUNTIFS($A$4:A1048,A1048)</f>
        <v>8</v>
      </c>
      <c r="C1048" s="26" t="str">
        <f t="shared" si="33"/>
        <v>2026경기대8</v>
      </c>
      <c r="E1048" s="39" t="s">
        <v>148</v>
      </c>
      <c r="F1048" s="26" t="s">
        <v>17</v>
      </c>
      <c r="H1048" s="27" t="s">
        <v>418</v>
      </c>
      <c r="I1048" s="27">
        <v>2026</v>
      </c>
      <c r="J1048" s="27" t="s">
        <v>50</v>
      </c>
      <c r="K1048" s="27" t="s">
        <v>156</v>
      </c>
      <c r="L1048" s="27" t="s">
        <v>21</v>
      </c>
      <c r="M1048" s="27" t="s">
        <v>22</v>
      </c>
      <c r="N1048" s="40" t="s">
        <v>33</v>
      </c>
      <c r="O1048" s="27" t="s">
        <v>22</v>
      </c>
      <c r="P1048" s="27" t="s">
        <v>22</v>
      </c>
      <c r="Q1048" s="41"/>
      <c r="R1048" s="40"/>
    </row>
    <row r="1049" spans="1:18" ht="30" customHeight="1" x14ac:dyDescent="0.3">
      <c r="A1049" s="26" t="str">
        <f t="shared" si="32"/>
        <v>2026경기대</v>
      </c>
      <c r="B1049" s="26">
        <f>COUNTIFS($A$4:A1049,A1049)</f>
        <v>9</v>
      </c>
      <c r="C1049" s="26" t="str">
        <f t="shared" si="33"/>
        <v>2026경기대9</v>
      </c>
      <c r="E1049" s="39" t="s">
        <v>148</v>
      </c>
      <c r="F1049" s="26" t="s">
        <v>17</v>
      </c>
      <c r="H1049" s="27" t="s">
        <v>418</v>
      </c>
      <c r="I1049" s="27">
        <v>2026</v>
      </c>
      <c r="J1049" s="27" t="s">
        <v>50</v>
      </c>
      <c r="K1049" s="27" t="s">
        <v>156</v>
      </c>
      <c r="L1049" s="27" t="s">
        <v>24</v>
      </c>
      <c r="M1049" s="27" t="s">
        <v>22</v>
      </c>
      <c r="N1049" s="40" t="s">
        <v>33</v>
      </c>
      <c r="O1049" s="27" t="s">
        <v>22</v>
      </c>
      <c r="P1049" s="27" t="s">
        <v>22</v>
      </c>
      <c r="Q1049" s="41"/>
      <c r="R1049" s="40"/>
    </row>
    <row r="1050" spans="1:18" ht="30" customHeight="1" x14ac:dyDescent="0.3">
      <c r="A1050" s="26" t="str">
        <f t="shared" si="32"/>
        <v>2027경기대</v>
      </c>
      <c r="B1050" s="26">
        <f>COUNTIFS($A$4:A1050,A1050)</f>
        <v>1</v>
      </c>
      <c r="C1050" s="26" t="str">
        <f t="shared" si="33"/>
        <v>2027경기대1</v>
      </c>
      <c r="E1050" s="39" t="s">
        <v>148</v>
      </c>
      <c r="F1050" s="26" t="s">
        <v>17</v>
      </c>
      <c r="H1050" s="27" t="s">
        <v>418</v>
      </c>
      <c r="I1050" s="27">
        <v>2027</v>
      </c>
      <c r="J1050" s="27" t="s">
        <v>38</v>
      </c>
      <c r="K1050" s="27" t="s">
        <v>421</v>
      </c>
      <c r="L1050" s="27" t="s">
        <v>21</v>
      </c>
      <c r="M1050" s="27" t="s">
        <v>22</v>
      </c>
      <c r="N1050" s="40" t="s">
        <v>419</v>
      </c>
      <c r="O1050" s="27" t="s">
        <v>22</v>
      </c>
      <c r="P1050" s="27" t="s">
        <v>22</v>
      </c>
      <c r="Q1050" s="41"/>
      <c r="R1050" s="40"/>
    </row>
    <row r="1051" spans="1:18" ht="30" customHeight="1" x14ac:dyDescent="0.3">
      <c r="A1051" s="26" t="str">
        <f t="shared" si="32"/>
        <v>2027경기대</v>
      </c>
      <c r="B1051" s="26">
        <f>COUNTIFS($A$4:A1051,A1051)</f>
        <v>2</v>
      </c>
      <c r="C1051" s="26" t="str">
        <f t="shared" si="33"/>
        <v>2027경기대2</v>
      </c>
      <c r="E1051" s="39" t="s">
        <v>148</v>
      </c>
      <c r="F1051" s="26" t="s">
        <v>17</v>
      </c>
      <c r="H1051" s="27" t="s">
        <v>418</v>
      </c>
      <c r="I1051" s="27">
        <v>2027</v>
      </c>
      <c r="J1051" s="27" t="s">
        <v>38</v>
      </c>
      <c r="K1051" s="27" t="s">
        <v>421</v>
      </c>
      <c r="L1051" s="27" t="s">
        <v>24</v>
      </c>
      <c r="M1051" s="27" t="s">
        <v>22</v>
      </c>
      <c r="N1051" s="40" t="s">
        <v>419</v>
      </c>
      <c r="O1051" s="27" t="s">
        <v>22</v>
      </c>
      <c r="P1051" s="27" t="s">
        <v>22</v>
      </c>
      <c r="Q1051" s="41"/>
      <c r="R1051" s="40"/>
    </row>
    <row r="1052" spans="1:18" ht="30" customHeight="1" x14ac:dyDescent="0.3">
      <c r="A1052" s="26" t="str">
        <f t="shared" si="32"/>
        <v>2027경기대</v>
      </c>
      <c r="B1052" s="26">
        <f>COUNTIFS($A$4:A1052,A1052)</f>
        <v>3</v>
      </c>
      <c r="C1052" s="26" t="str">
        <f t="shared" si="33"/>
        <v>2027경기대3</v>
      </c>
      <c r="E1052" s="39" t="s">
        <v>148</v>
      </c>
      <c r="F1052" s="26" t="s">
        <v>17</v>
      </c>
      <c r="H1052" s="27" t="s">
        <v>418</v>
      </c>
      <c r="I1052" s="27">
        <v>2027</v>
      </c>
      <c r="J1052" s="27" t="s">
        <v>38</v>
      </c>
      <c r="K1052" s="27" t="s">
        <v>80</v>
      </c>
      <c r="L1052" s="27" t="s">
        <v>21</v>
      </c>
      <c r="M1052" s="27" t="s">
        <v>22</v>
      </c>
      <c r="N1052" s="40" t="s">
        <v>22</v>
      </c>
      <c r="O1052" s="27" t="s">
        <v>22</v>
      </c>
      <c r="P1052" s="27" t="s">
        <v>22</v>
      </c>
      <c r="Q1052" s="41"/>
      <c r="R1052" s="40"/>
    </row>
    <row r="1053" spans="1:18" ht="30" customHeight="1" x14ac:dyDescent="0.3">
      <c r="A1053" s="26" t="str">
        <f t="shared" si="32"/>
        <v>2027경기대</v>
      </c>
      <c r="B1053" s="26">
        <f>COUNTIFS($A$4:A1053,A1053)</f>
        <v>4</v>
      </c>
      <c r="C1053" s="26" t="str">
        <f t="shared" si="33"/>
        <v>2027경기대4</v>
      </c>
      <c r="E1053" s="39" t="s">
        <v>148</v>
      </c>
      <c r="F1053" s="26" t="s">
        <v>17</v>
      </c>
      <c r="H1053" s="27" t="s">
        <v>418</v>
      </c>
      <c r="I1053" s="27">
        <v>2027</v>
      </c>
      <c r="J1053" s="27" t="s">
        <v>38</v>
      </c>
      <c r="K1053" s="27" t="s">
        <v>80</v>
      </c>
      <c r="L1053" s="27" t="s">
        <v>24</v>
      </c>
      <c r="M1053" s="27" t="s">
        <v>22</v>
      </c>
      <c r="N1053" s="40" t="s">
        <v>22</v>
      </c>
      <c r="O1053" s="27" t="s">
        <v>22</v>
      </c>
      <c r="P1053" s="27" t="s">
        <v>22</v>
      </c>
      <c r="Q1053" s="41"/>
      <c r="R1053" s="40"/>
    </row>
    <row r="1054" spans="1:18" ht="30" customHeight="1" x14ac:dyDescent="0.3">
      <c r="A1054" s="26" t="str">
        <f t="shared" si="32"/>
        <v>2027경기대</v>
      </c>
      <c r="B1054" s="26">
        <f>COUNTIFS($A$4:A1054,A1054)</f>
        <v>5</v>
      </c>
      <c r="C1054" s="26" t="str">
        <f t="shared" si="33"/>
        <v>2027경기대5</v>
      </c>
      <c r="E1054" s="39" t="s">
        <v>148</v>
      </c>
      <c r="F1054" s="26" t="s">
        <v>17</v>
      </c>
      <c r="H1054" s="27" t="s">
        <v>418</v>
      </c>
      <c r="I1054" s="27">
        <v>2027</v>
      </c>
      <c r="J1054" s="27" t="s">
        <v>19</v>
      </c>
      <c r="K1054" s="27" t="s">
        <v>420</v>
      </c>
      <c r="L1054" s="27" t="s">
        <v>21</v>
      </c>
      <c r="M1054" s="27" t="s">
        <v>22</v>
      </c>
      <c r="N1054" s="40" t="s">
        <v>33</v>
      </c>
      <c r="O1054" s="27" t="s">
        <v>22</v>
      </c>
      <c r="P1054" s="27" t="s">
        <v>22</v>
      </c>
      <c r="Q1054" s="41"/>
      <c r="R1054" s="40"/>
    </row>
    <row r="1055" spans="1:18" ht="30" customHeight="1" x14ac:dyDescent="0.3">
      <c r="A1055" s="26" t="str">
        <f t="shared" si="32"/>
        <v>2027경기대</v>
      </c>
      <c r="B1055" s="26">
        <f>COUNTIFS($A$4:A1055,A1055)</f>
        <v>6</v>
      </c>
      <c r="C1055" s="26" t="str">
        <f t="shared" si="33"/>
        <v>2027경기대6</v>
      </c>
      <c r="E1055" s="39" t="s">
        <v>148</v>
      </c>
      <c r="F1055" s="26" t="s">
        <v>17</v>
      </c>
      <c r="H1055" s="27" t="s">
        <v>418</v>
      </c>
      <c r="I1055" s="27">
        <v>2027</v>
      </c>
      <c r="J1055" s="27" t="s">
        <v>19</v>
      </c>
      <c r="K1055" s="27" t="s">
        <v>420</v>
      </c>
      <c r="L1055" s="27" t="s">
        <v>24</v>
      </c>
      <c r="M1055" s="27" t="s">
        <v>22</v>
      </c>
      <c r="N1055" s="40" t="s">
        <v>33</v>
      </c>
      <c r="O1055" s="27" t="s">
        <v>22</v>
      </c>
      <c r="P1055" s="27" t="s">
        <v>22</v>
      </c>
      <c r="Q1055" s="41"/>
      <c r="R1055" s="40"/>
    </row>
    <row r="1056" spans="1:18" ht="30" customHeight="1" x14ac:dyDescent="0.3">
      <c r="A1056" s="26" t="str">
        <f t="shared" si="32"/>
        <v>2027경기대</v>
      </c>
      <c r="B1056" s="26">
        <f>COUNTIFS($A$4:A1056,A1056)</f>
        <v>7</v>
      </c>
      <c r="C1056" s="26" t="str">
        <f t="shared" si="33"/>
        <v>2027경기대7</v>
      </c>
      <c r="E1056" s="39" t="s">
        <v>148</v>
      </c>
      <c r="F1056" s="26" t="s">
        <v>17</v>
      </c>
      <c r="H1056" s="27" t="s">
        <v>418</v>
      </c>
      <c r="I1056" s="27">
        <v>2027</v>
      </c>
      <c r="J1056" s="27" t="s">
        <v>19</v>
      </c>
      <c r="K1056" s="27" t="s">
        <v>245</v>
      </c>
      <c r="L1056" s="27" t="s">
        <v>24</v>
      </c>
      <c r="M1056" s="27" t="s">
        <v>22</v>
      </c>
      <c r="N1056" s="40" t="s">
        <v>33</v>
      </c>
      <c r="O1056" s="27" t="s">
        <v>22</v>
      </c>
      <c r="P1056" s="27" t="s">
        <v>22</v>
      </c>
      <c r="Q1056" s="41"/>
      <c r="R1056" s="40"/>
    </row>
    <row r="1057" spans="1:18" ht="30" customHeight="1" x14ac:dyDescent="0.3">
      <c r="A1057" s="26" t="str">
        <f t="shared" si="32"/>
        <v>2027경기대</v>
      </c>
      <c r="B1057" s="26">
        <f>COUNTIFS($A$4:A1057,A1057)</f>
        <v>8</v>
      </c>
      <c r="C1057" s="26" t="str">
        <f t="shared" si="33"/>
        <v>2027경기대8</v>
      </c>
      <c r="E1057" s="39" t="s">
        <v>148</v>
      </c>
      <c r="F1057" s="26" t="s">
        <v>17</v>
      </c>
      <c r="H1057" s="27" t="s">
        <v>418</v>
      </c>
      <c r="I1057" s="27">
        <v>2027</v>
      </c>
      <c r="J1057" s="27" t="s">
        <v>50</v>
      </c>
      <c r="K1057" s="27" t="s">
        <v>156</v>
      </c>
      <c r="L1057" s="27" t="s">
        <v>21</v>
      </c>
      <c r="M1057" s="27" t="s">
        <v>22</v>
      </c>
      <c r="N1057" s="40" t="s">
        <v>33</v>
      </c>
      <c r="O1057" s="27" t="s">
        <v>22</v>
      </c>
      <c r="P1057" s="27" t="s">
        <v>22</v>
      </c>
      <c r="Q1057" s="41"/>
      <c r="R1057" s="40"/>
    </row>
    <row r="1058" spans="1:18" ht="30" customHeight="1" x14ac:dyDescent="0.3">
      <c r="A1058" s="26" t="str">
        <f t="shared" si="32"/>
        <v>2027경기대</v>
      </c>
      <c r="B1058" s="26">
        <f>COUNTIFS($A$4:A1058,A1058)</f>
        <v>9</v>
      </c>
      <c r="C1058" s="26" t="str">
        <f t="shared" si="33"/>
        <v>2027경기대9</v>
      </c>
      <c r="E1058" s="39" t="s">
        <v>148</v>
      </c>
      <c r="F1058" s="26" t="s">
        <v>17</v>
      </c>
      <c r="H1058" s="27" t="s">
        <v>418</v>
      </c>
      <c r="I1058" s="27">
        <v>2027</v>
      </c>
      <c r="J1058" s="27" t="s">
        <v>50</v>
      </c>
      <c r="K1058" s="27" t="s">
        <v>156</v>
      </c>
      <c r="L1058" s="27" t="s">
        <v>24</v>
      </c>
      <c r="M1058" s="27" t="s">
        <v>22</v>
      </c>
      <c r="N1058" s="40" t="s">
        <v>33</v>
      </c>
      <c r="O1058" s="27" t="s">
        <v>22</v>
      </c>
      <c r="P1058" s="27" t="s">
        <v>22</v>
      </c>
      <c r="Q1058" s="41"/>
      <c r="R1058" s="40"/>
    </row>
    <row r="1059" spans="1:18" ht="30" customHeight="1" x14ac:dyDescent="0.3">
      <c r="A1059" s="26" t="str">
        <f t="shared" si="32"/>
        <v>2025서울과기대</v>
      </c>
      <c r="B1059" s="26">
        <f>COUNTIFS($A$4:A1059,A1059)</f>
        <v>1</v>
      </c>
      <c r="C1059" s="26" t="str">
        <f t="shared" si="33"/>
        <v>2025서울과기대1</v>
      </c>
      <c r="E1059" s="39" t="s">
        <v>148</v>
      </c>
      <c r="F1059" s="26" t="s">
        <v>17</v>
      </c>
      <c r="H1059" s="27" t="s">
        <v>422</v>
      </c>
      <c r="I1059" s="27">
        <v>2025</v>
      </c>
      <c r="J1059" s="27" t="s">
        <v>38</v>
      </c>
      <c r="K1059" s="27" t="s">
        <v>183</v>
      </c>
      <c r="L1059" s="27" t="s">
        <v>21</v>
      </c>
      <c r="M1059" s="27" t="s">
        <v>22</v>
      </c>
      <c r="N1059" s="40" t="s">
        <v>307</v>
      </c>
      <c r="O1059" s="27" t="s">
        <v>33</v>
      </c>
      <c r="P1059" s="27" t="s">
        <v>33</v>
      </c>
      <c r="Q1059" s="41"/>
      <c r="R1059" s="40"/>
    </row>
    <row r="1060" spans="1:18" ht="30" customHeight="1" x14ac:dyDescent="0.3">
      <c r="A1060" s="26" t="str">
        <f t="shared" si="32"/>
        <v>2025서울과기대</v>
      </c>
      <c r="B1060" s="26">
        <f>COUNTIFS($A$4:A1060,A1060)</f>
        <v>2</v>
      </c>
      <c r="C1060" s="26" t="str">
        <f t="shared" si="33"/>
        <v>2025서울과기대2</v>
      </c>
      <c r="E1060" s="39" t="s">
        <v>148</v>
      </c>
      <c r="F1060" s="26" t="s">
        <v>17</v>
      </c>
      <c r="H1060" s="27" t="s">
        <v>422</v>
      </c>
      <c r="I1060" s="27">
        <v>2025</v>
      </c>
      <c r="J1060" s="27" t="s">
        <v>38</v>
      </c>
      <c r="K1060" s="27" t="s">
        <v>183</v>
      </c>
      <c r="L1060" s="27" t="s">
        <v>24</v>
      </c>
      <c r="M1060" s="27" t="s">
        <v>22</v>
      </c>
      <c r="N1060" s="40" t="s">
        <v>307</v>
      </c>
      <c r="O1060" s="27" t="s">
        <v>33</v>
      </c>
      <c r="P1060" s="27" t="s">
        <v>33</v>
      </c>
      <c r="Q1060" s="41"/>
      <c r="R1060" s="40"/>
    </row>
    <row r="1061" spans="1:18" ht="30" customHeight="1" x14ac:dyDescent="0.3">
      <c r="A1061" s="26" t="str">
        <f t="shared" si="32"/>
        <v>2025서울과기대</v>
      </c>
      <c r="B1061" s="26">
        <f>COUNTIFS($A$4:A1061,A1061)</f>
        <v>3</v>
      </c>
      <c r="C1061" s="26" t="str">
        <f t="shared" si="33"/>
        <v>2025서울과기대3</v>
      </c>
      <c r="E1061" s="39" t="s">
        <v>148</v>
      </c>
      <c r="F1061" s="26" t="s">
        <v>17</v>
      </c>
      <c r="H1061" s="27" t="s">
        <v>422</v>
      </c>
      <c r="I1061" s="27">
        <v>2025</v>
      </c>
      <c r="J1061" s="27" t="s">
        <v>19</v>
      </c>
      <c r="K1061" s="27" t="s">
        <v>218</v>
      </c>
      <c r="L1061" s="27" t="s">
        <v>21</v>
      </c>
      <c r="M1061" s="27" t="s">
        <v>22</v>
      </c>
      <c r="N1061" s="40" t="s">
        <v>33</v>
      </c>
      <c r="O1061" s="27" t="s">
        <v>33</v>
      </c>
      <c r="P1061" s="27" t="s">
        <v>33</v>
      </c>
      <c r="Q1061" s="41"/>
      <c r="R1061" s="40"/>
    </row>
    <row r="1062" spans="1:18" ht="30" customHeight="1" x14ac:dyDescent="0.3">
      <c r="A1062" s="26" t="str">
        <f t="shared" si="32"/>
        <v>2025서울과기대</v>
      </c>
      <c r="B1062" s="26">
        <f>COUNTIFS($A$4:A1062,A1062)</f>
        <v>4</v>
      </c>
      <c r="C1062" s="26" t="str">
        <f t="shared" si="33"/>
        <v>2025서울과기대4</v>
      </c>
      <c r="E1062" s="39" t="s">
        <v>148</v>
      </c>
      <c r="F1062" s="26" t="s">
        <v>17</v>
      </c>
      <c r="H1062" s="27" t="s">
        <v>422</v>
      </c>
      <c r="I1062" s="27">
        <v>2025</v>
      </c>
      <c r="J1062" s="27" t="s">
        <v>19</v>
      </c>
      <c r="K1062" s="27" t="s">
        <v>218</v>
      </c>
      <c r="L1062" s="27" t="s">
        <v>24</v>
      </c>
      <c r="M1062" s="27" t="s">
        <v>22</v>
      </c>
      <c r="N1062" s="40" t="s">
        <v>33</v>
      </c>
      <c r="O1062" s="27" t="s">
        <v>33</v>
      </c>
      <c r="P1062" s="27" t="s">
        <v>33</v>
      </c>
      <c r="Q1062" s="41"/>
      <c r="R1062" s="40"/>
    </row>
    <row r="1063" spans="1:18" ht="30" customHeight="1" x14ac:dyDescent="0.3">
      <c r="A1063" s="26" t="str">
        <f t="shared" si="32"/>
        <v>2025서울과기대</v>
      </c>
      <c r="B1063" s="26">
        <f>COUNTIFS($A$4:A1063,A1063)</f>
        <v>5</v>
      </c>
      <c r="C1063" s="26" t="str">
        <f t="shared" si="33"/>
        <v>2025서울과기대5</v>
      </c>
      <c r="E1063" s="39" t="s">
        <v>148</v>
      </c>
      <c r="F1063" s="26" t="s">
        <v>17</v>
      </c>
      <c r="H1063" s="27" t="s">
        <v>422</v>
      </c>
      <c r="I1063" s="27">
        <v>2025</v>
      </c>
      <c r="J1063" s="27" t="s">
        <v>19</v>
      </c>
      <c r="K1063" s="27" t="s">
        <v>423</v>
      </c>
      <c r="L1063" s="27" t="s">
        <v>24</v>
      </c>
      <c r="M1063" s="27" t="s">
        <v>22</v>
      </c>
      <c r="N1063" s="40" t="s">
        <v>33</v>
      </c>
      <c r="O1063" s="27" t="s">
        <v>33</v>
      </c>
      <c r="P1063" s="27" t="s">
        <v>33</v>
      </c>
      <c r="Q1063" s="41"/>
      <c r="R1063" s="40"/>
    </row>
    <row r="1064" spans="1:18" ht="30" customHeight="1" x14ac:dyDescent="0.3">
      <c r="A1064" s="26" t="str">
        <f t="shared" si="32"/>
        <v>2025서울과기대</v>
      </c>
      <c r="B1064" s="26">
        <f>COUNTIFS($A$4:A1064,A1064)</f>
        <v>6</v>
      </c>
      <c r="C1064" s="26" t="str">
        <f t="shared" si="33"/>
        <v>2025서울과기대6</v>
      </c>
      <c r="E1064" s="39" t="s">
        <v>148</v>
      </c>
      <c r="F1064" s="26" t="s">
        <v>17</v>
      </c>
      <c r="H1064" s="27" t="s">
        <v>422</v>
      </c>
      <c r="I1064" s="27">
        <v>2025</v>
      </c>
      <c r="J1064" s="27" t="s">
        <v>50</v>
      </c>
      <c r="K1064" s="27" t="s">
        <v>237</v>
      </c>
      <c r="L1064" s="27" t="s">
        <v>21</v>
      </c>
      <c r="M1064" s="27" t="s">
        <v>22</v>
      </c>
      <c r="N1064" s="40" t="s">
        <v>33</v>
      </c>
      <c r="O1064" s="27" t="s">
        <v>33</v>
      </c>
      <c r="P1064" s="27" t="s">
        <v>33</v>
      </c>
      <c r="Q1064" s="41"/>
      <c r="R1064" s="40"/>
    </row>
    <row r="1065" spans="1:18" ht="30" customHeight="1" x14ac:dyDescent="0.3">
      <c r="A1065" s="26" t="str">
        <f t="shared" si="32"/>
        <v>2025서울과기대</v>
      </c>
      <c r="B1065" s="26">
        <f>COUNTIFS($A$4:A1065,A1065)</f>
        <v>7</v>
      </c>
      <c r="C1065" s="26" t="str">
        <f t="shared" si="33"/>
        <v>2025서울과기대7</v>
      </c>
      <c r="E1065" s="39" t="s">
        <v>148</v>
      </c>
      <c r="F1065" s="26" t="s">
        <v>17</v>
      </c>
      <c r="H1065" s="27" t="s">
        <v>422</v>
      </c>
      <c r="I1065" s="27">
        <v>2025</v>
      </c>
      <c r="J1065" s="27" t="s">
        <v>50</v>
      </c>
      <c r="K1065" s="27" t="s">
        <v>237</v>
      </c>
      <c r="L1065" s="27" t="s">
        <v>24</v>
      </c>
      <c r="M1065" s="27" t="s">
        <v>22</v>
      </c>
      <c r="N1065" s="40" t="s">
        <v>33</v>
      </c>
      <c r="O1065" s="27" t="s">
        <v>33</v>
      </c>
      <c r="P1065" s="27" t="s">
        <v>33</v>
      </c>
      <c r="Q1065" s="41"/>
      <c r="R1065" s="40"/>
    </row>
    <row r="1066" spans="1:18" ht="30" customHeight="1" x14ac:dyDescent="0.3">
      <c r="A1066" s="26" t="str">
        <f t="shared" si="32"/>
        <v>2026서울과기대</v>
      </c>
      <c r="B1066" s="26">
        <f>COUNTIFS($A$4:A1066,A1066)</f>
        <v>1</v>
      </c>
      <c r="C1066" s="26" t="str">
        <f t="shared" si="33"/>
        <v>2026서울과기대1</v>
      </c>
      <c r="E1066" s="39" t="s">
        <v>148</v>
      </c>
      <c r="F1066" s="26" t="s">
        <v>17</v>
      </c>
      <c r="H1066" s="27" t="s">
        <v>422</v>
      </c>
      <c r="I1066" s="27">
        <v>2026</v>
      </c>
      <c r="J1066" s="27" t="s">
        <v>38</v>
      </c>
      <c r="K1066" s="27" t="s">
        <v>183</v>
      </c>
      <c r="L1066" s="27" t="s">
        <v>21</v>
      </c>
      <c r="M1066" s="27" t="s">
        <v>22</v>
      </c>
      <c r="N1066" s="40" t="s">
        <v>307</v>
      </c>
      <c r="O1066" s="27" t="s">
        <v>33</v>
      </c>
      <c r="P1066" s="27" t="s">
        <v>33</v>
      </c>
      <c r="Q1066" s="41"/>
      <c r="R1066" s="40"/>
    </row>
    <row r="1067" spans="1:18" ht="30" customHeight="1" x14ac:dyDescent="0.3">
      <c r="A1067" s="26" t="str">
        <f t="shared" si="32"/>
        <v>2026서울과기대</v>
      </c>
      <c r="B1067" s="26">
        <f>COUNTIFS($A$4:A1067,A1067)</f>
        <v>2</v>
      </c>
      <c r="C1067" s="26" t="str">
        <f t="shared" si="33"/>
        <v>2026서울과기대2</v>
      </c>
      <c r="E1067" s="39" t="s">
        <v>148</v>
      </c>
      <c r="F1067" s="26" t="s">
        <v>17</v>
      </c>
      <c r="H1067" s="27" t="s">
        <v>422</v>
      </c>
      <c r="I1067" s="27">
        <v>2026</v>
      </c>
      <c r="J1067" s="27" t="s">
        <v>38</v>
      </c>
      <c r="K1067" s="27" t="s">
        <v>183</v>
      </c>
      <c r="L1067" s="27" t="s">
        <v>24</v>
      </c>
      <c r="M1067" s="27" t="s">
        <v>22</v>
      </c>
      <c r="N1067" s="40" t="s">
        <v>307</v>
      </c>
      <c r="O1067" s="27" t="s">
        <v>33</v>
      </c>
      <c r="P1067" s="27" t="s">
        <v>33</v>
      </c>
      <c r="Q1067" s="41"/>
      <c r="R1067" s="40"/>
    </row>
    <row r="1068" spans="1:18" ht="30" customHeight="1" x14ac:dyDescent="0.3">
      <c r="A1068" s="26" t="str">
        <f t="shared" si="32"/>
        <v>2026서울과기대</v>
      </c>
      <c r="B1068" s="26">
        <f>COUNTIFS($A$4:A1068,A1068)</f>
        <v>3</v>
      </c>
      <c r="C1068" s="26" t="str">
        <f t="shared" si="33"/>
        <v>2026서울과기대3</v>
      </c>
      <c r="E1068" s="39" t="s">
        <v>148</v>
      </c>
      <c r="F1068" s="26" t="s">
        <v>17</v>
      </c>
      <c r="H1068" s="27" t="s">
        <v>422</v>
      </c>
      <c r="I1068" s="27">
        <v>2026</v>
      </c>
      <c r="J1068" s="27" t="s">
        <v>19</v>
      </c>
      <c r="K1068" s="27" t="s">
        <v>218</v>
      </c>
      <c r="L1068" s="27" t="s">
        <v>21</v>
      </c>
      <c r="M1068" s="27" t="s">
        <v>22</v>
      </c>
      <c r="N1068" s="40" t="s">
        <v>33</v>
      </c>
      <c r="O1068" s="27" t="s">
        <v>33</v>
      </c>
      <c r="P1068" s="27" t="s">
        <v>33</v>
      </c>
      <c r="Q1068" s="41"/>
      <c r="R1068" s="40"/>
    </row>
    <row r="1069" spans="1:18" ht="30" customHeight="1" x14ac:dyDescent="0.3">
      <c r="A1069" s="26" t="str">
        <f t="shared" si="32"/>
        <v>2026서울과기대</v>
      </c>
      <c r="B1069" s="26">
        <f>COUNTIFS($A$4:A1069,A1069)</f>
        <v>4</v>
      </c>
      <c r="C1069" s="26" t="str">
        <f t="shared" si="33"/>
        <v>2026서울과기대4</v>
      </c>
      <c r="E1069" s="39" t="s">
        <v>148</v>
      </c>
      <c r="F1069" s="26" t="s">
        <v>17</v>
      </c>
      <c r="H1069" s="27" t="s">
        <v>422</v>
      </c>
      <c r="I1069" s="27">
        <v>2026</v>
      </c>
      <c r="J1069" s="27" t="s">
        <v>19</v>
      </c>
      <c r="K1069" s="27" t="s">
        <v>218</v>
      </c>
      <c r="L1069" s="27" t="s">
        <v>24</v>
      </c>
      <c r="M1069" s="27" t="s">
        <v>22</v>
      </c>
      <c r="N1069" s="40" t="s">
        <v>33</v>
      </c>
      <c r="O1069" s="27" t="s">
        <v>33</v>
      </c>
      <c r="P1069" s="27" t="s">
        <v>33</v>
      </c>
      <c r="Q1069" s="41"/>
      <c r="R1069" s="40"/>
    </row>
    <row r="1070" spans="1:18" ht="30" customHeight="1" x14ac:dyDescent="0.3">
      <c r="A1070" s="26" t="str">
        <f t="shared" si="32"/>
        <v>2026서울과기대</v>
      </c>
      <c r="B1070" s="26">
        <f>COUNTIFS($A$4:A1070,A1070)</f>
        <v>5</v>
      </c>
      <c r="C1070" s="26" t="str">
        <f t="shared" si="33"/>
        <v>2026서울과기대5</v>
      </c>
      <c r="E1070" s="39" t="s">
        <v>148</v>
      </c>
      <c r="F1070" s="26" t="s">
        <v>17</v>
      </c>
      <c r="H1070" s="27" t="s">
        <v>422</v>
      </c>
      <c r="I1070" s="27">
        <v>2026</v>
      </c>
      <c r="J1070" s="27" t="s">
        <v>19</v>
      </c>
      <c r="K1070" s="27" t="s">
        <v>423</v>
      </c>
      <c r="L1070" s="27" t="s">
        <v>24</v>
      </c>
      <c r="M1070" s="27" t="s">
        <v>22</v>
      </c>
      <c r="N1070" s="40" t="s">
        <v>33</v>
      </c>
      <c r="O1070" s="27" t="s">
        <v>33</v>
      </c>
      <c r="P1070" s="27" t="s">
        <v>33</v>
      </c>
      <c r="Q1070" s="41"/>
      <c r="R1070" s="40"/>
    </row>
    <row r="1071" spans="1:18" ht="30" customHeight="1" x14ac:dyDescent="0.3">
      <c r="A1071" s="26" t="str">
        <f t="shared" si="32"/>
        <v>2026서울과기대</v>
      </c>
      <c r="B1071" s="26">
        <f>COUNTIFS($A$4:A1071,A1071)</f>
        <v>6</v>
      </c>
      <c r="C1071" s="26" t="str">
        <f t="shared" si="33"/>
        <v>2026서울과기대6</v>
      </c>
      <c r="E1071" s="39" t="s">
        <v>148</v>
      </c>
      <c r="F1071" s="26" t="s">
        <v>17</v>
      </c>
      <c r="H1071" s="27" t="s">
        <v>422</v>
      </c>
      <c r="I1071" s="27">
        <v>2026</v>
      </c>
      <c r="J1071" s="27" t="s">
        <v>50</v>
      </c>
      <c r="K1071" s="27" t="s">
        <v>237</v>
      </c>
      <c r="L1071" s="27" t="s">
        <v>21</v>
      </c>
      <c r="M1071" s="27" t="s">
        <v>22</v>
      </c>
      <c r="N1071" s="40" t="s">
        <v>33</v>
      </c>
      <c r="O1071" s="27" t="s">
        <v>33</v>
      </c>
      <c r="P1071" s="27" t="s">
        <v>33</v>
      </c>
      <c r="Q1071" s="41"/>
      <c r="R1071" s="40"/>
    </row>
    <row r="1072" spans="1:18" ht="30" customHeight="1" x14ac:dyDescent="0.3">
      <c r="A1072" s="26" t="str">
        <f t="shared" si="32"/>
        <v>2026서울과기대</v>
      </c>
      <c r="B1072" s="26">
        <f>COUNTIFS($A$4:A1072,A1072)</f>
        <v>7</v>
      </c>
      <c r="C1072" s="26" t="str">
        <f t="shared" si="33"/>
        <v>2026서울과기대7</v>
      </c>
      <c r="E1072" s="39" t="s">
        <v>148</v>
      </c>
      <c r="F1072" s="26" t="s">
        <v>17</v>
      </c>
      <c r="H1072" s="27" t="s">
        <v>422</v>
      </c>
      <c r="I1072" s="27">
        <v>2026</v>
      </c>
      <c r="J1072" s="27" t="s">
        <v>50</v>
      </c>
      <c r="K1072" s="27" t="s">
        <v>237</v>
      </c>
      <c r="L1072" s="27" t="s">
        <v>24</v>
      </c>
      <c r="M1072" s="27" t="s">
        <v>22</v>
      </c>
      <c r="N1072" s="40" t="s">
        <v>33</v>
      </c>
      <c r="O1072" s="27" t="s">
        <v>33</v>
      </c>
      <c r="P1072" s="27" t="s">
        <v>33</v>
      </c>
      <c r="Q1072" s="41"/>
      <c r="R1072" s="40"/>
    </row>
    <row r="1073" spans="1:18" ht="30" customHeight="1" x14ac:dyDescent="0.3">
      <c r="A1073" s="26" t="str">
        <f t="shared" si="32"/>
        <v>2027서울과기대</v>
      </c>
      <c r="B1073" s="26">
        <f>COUNTIFS($A$4:A1073,A1073)</f>
        <v>1</v>
      </c>
      <c r="C1073" s="26" t="str">
        <f t="shared" si="33"/>
        <v>2027서울과기대1</v>
      </c>
      <c r="E1073" s="39" t="s">
        <v>148</v>
      </c>
      <c r="F1073" s="26" t="s">
        <v>17</v>
      </c>
      <c r="H1073" s="27" t="s">
        <v>422</v>
      </c>
      <c r="I1073" s="27">
        <v>2027</v>
      </c>
      <c r="J1073" s="27" t="s">
        <v>38</v>
      </c>
      <c r="K1073" s="27" t="s">
        <v>183</v>
      </c>
      <c r="L1073" s="27" t="s">
        <v>21</v>
      </c>
      <c r="M1073" s="27" t="s">
        <v>22</v>
      </c>
      <c r="N1073" s="40" t="s">
        <v>307</v>
      </c>
      <c r="O1073" s="27" t="s">
        <v>33</v>
      </c>
      <c r="P1073" s="27" t="s">
        <v>33</v>
      </c>
      <c r="Q1073" s="41"/>
      <c r="R1073" s="40"/>
    </row>
    <row r="1074" spans="1:18" ht="30" customHeight="1" x14ac:dyDescent="0.3">
      <c r="A1074" s="26" t="str">
        <f t="shared" si="32"/>
        <v>2027서울과기대</v>
      </c>
      <c r="B1074" s="26">
        <f>COUNTIFS($A$4:A1074,A1074)</f>
        <v>2</v>
      </c>
      <c r="C1074" s="26" t="str">
        <f t="shared" si="33"/>
        <v>2027서울과기대2</v>
      </c>
      <c r="E1074" s="39" t="s">
        <v>148</v>
      </c>
      <c r="F1074" s="26" t="s">
        <v>17</v>
      </c>
      <c r="H1074" s="27" t="s">
        <v>422</v>
      </c>
      <c r="I1074" s="27">
        <v>2027</v>
      </c>
      <c r="J1074" s="27" t="s">
        <v>38</v>
      </c>
      <c r="K1074" s="27" t="s">
        <v>183</v>
      </c>
      <c r="L1074" s="27" t="s">
        <v>24</v>
      </c>
      <c r="M1074" s="27" t="s">
        <v>22</v>
      </c>
      <c r="N1074" s="40" t="s">
        <v>307</v>
      </c>
      <c r="O1074" s="27" t="s">
        <v>33</v>
      </c>
      <c r="P1074" s="27" t="s">
        <v>33</v>
      </c>
      <c r="Q1074" s="41"/>
      <c r="R1074" s="40"/>
    </row>
    <row r="1075" spans="1:18" ht="30" customHeight="1" x14ac:dyDescent="0.3">
      <c r="A1075" s="26" t="str">
        <f t="shared" si="32"/>
        <v>2027서울과기대</v>
      </c>
      <c r="B1075" s="26">
        <f>COUNTIFS($A$4:A1075,A1075)</f>
        <v>3</v>
      </c>
      <c r="C1075" s="26" t="str">
        <f t="shared" si="33"/>
        <v>2027서울과기대3</v>
      </c>
      <c r="E1075" s="39" t="s">
        <v>148</v>
      </c>
      <c r="F1075" s="26" t="s">
        <v>17</v>
      </c>
      <c r="H1075" s="27" t="s">
        <v>422</v>
      </c>
      <c r="I1075" s="27">
        <v>2027</v>
      </c>
      <c r="J1075" s="27" t="s">
        <v>19</v>
      </c>
      <c r="K1075" s="27" t="s">
        <v>218</v>
      </c>
      <c r="L1075" s="27" t="s">
        <v>21</v>
      </c>
      <c r="M1075" s="27" t="s">
        <v>22</v>
      </c>
      <c r="N1075" s="40" t="s">
        <v>33</v>
      </c>
      <c r="O1075" s="27" t="s">
        <v>33</v>
      </c>
      <c r="P1075" s="27" t="s">
        <v>33</v>
      </c>
      <c r="Q1075" s="41"/>
      <c r="R1075" s="40"/>
    </row>
    <row r="1076" spans="1:18" ht="30" customHeight="1" x14ac:dyDescent="0.3">
      <c r="A1076" s="26" t="str">
        <f t="shared" si="32"/>
        <v>2027서울과기대</v>
      </c>
      <c r="B1076" s="26">
        <f>COUNTIFS($A$4:A1076,A1076)</f>
        <v>4</v>
      </c>
      <c r="C1076" s="26" t="str">
        <f t="shared" si="33"/>
        <v>2027서울과기대4</v>
      </c>
      <c r="E1076" s="39" t="s">
        <v>148</v>
      </c>
      <c r="F1076" s="26" t="s">
        <v>17</v>
      </c>
      <c r="H1076" s="27" t="s">
        <v>422</v>
      </c>
      <c r="I1076" s="27">
        <v>2027</v>
      </c>
      <c r="J1076" s="27" t="s">
        <v>19</v>
      </c>
      <c r="K1076" s="27" t="s">
        <v>218</v>
      </c>
      <c r="L1076" s="27" t="s">
        <v>24</v>
      </c>
      <c r="M1076" s="27" t="s">
        <v>22</v>
      </c>
      <c r="N1076" s="40" t="s">
        <v>33</v>
      </c>
      <c r="O1076" s="27" t="s">
        <v>33</v>
      </c>
      <c r="P1076" s="27" t="s">
        <v>33</v>
      </c>
      <c r="Q1076" s="41"/>
      <c r="R1076" s="40"/>
    </row>
    <row r="1077" spans="1:18" ht="30" customHeight="1" x14ac:dyDescent="0.3">
      <c r="A1077" s="26" t="str">
        <f t="shared" si="32"/>
        <v>2027서울과기대</v>
      </c>
      <c r="B1077" s="26">
        <f>COUNTIFS($A$4:A1077,A1077)</f>
        <v>5</v>
      </c>
      <c r="C1077" s="26" t="str">
        <f t="shared" si="33"/>
        <v>2027서울과기대5</v>
      </c>
      <c r="E1077" s="39" t="s">
        <v>148</v>
      </c>
      <c r="F1077" s="26" t="s">
        <v>17</v>
      </c>
      <c r="H1077" s="27" t="s">
        <v>422</v>
      </c>
      <c r="I1077" s="27">
        <v>2027</v>
      </c>
      <c r="J1077" s="27" t="s">
        <v>19</v>
      </c>
      <c r="K1077" s="27" t="s">
        <v>423</v>
      </c>
      <c r="L1077" s="27" t="s">
        <v>24</v>
      </c>
      <c r="M1077" s="27" t="s">
        <v>22</v>
      </c>
      <c r="N1077" s="40" t="s">
        <v>33</v>
      </c>
      <c r="O1077" s="27" t="s">
        <v>33</v>
      </c>
      <c r="P1077" s="27" t="s">
        <v>33</v>
      </c>
      <c r="Q1077" s="41"/>
      <c r="R1077" s="40"/>
    </row>
    <row r="1078" spans="1:18" ht="30" customHeight="1" x14ac:dyDescent="0.3">
      <c r="A1078" s="26" t="str">
        <f t="shared" si="32"/>
        <v>2027서울과기대</v>
      </c>
      <c r="B1078" s="26">
        <f>COUNTIFS($A$4:A1078,A1078)</f>
        <v>6</v>
      </c>
      <c r="C1078" s="26" t="str">
        <f t="shared" si="33"/>
        <v>2027서울과기대6</v>
      </c>
      <c r="E1078" s="39" t="s">
        <v>148</v>
      </c>
      <c r="F1078" s="26" t="s">
        <v>17</v>
      </c>
      <c r="H1078" s="27" t="s">
        <v>422</v>
      </c>
      <c r="I1078" s="27">
        <v>2027</v>
      </c>
      <c r="J1078" s="27" t="s">
        <v>50</v>
      </c>
      <c r="K1078" s="27" t="s">
        <v>237</v>
      </c>
      <c r="L1078" s="27" t="s">
        <v>21</v>
      </c>
      <c r="M1078" s="27" t="s">
        <v>22</v>
      </c>
      <c r="N1078" s="40" t="s">
        <v>33</v>
      </c>
      <c r="O1078" s="27" t="s">
        <v>33</v>
      </c>
      <c r="P1078" s="27" t="s">
        <v>33</v>
      </c>
      <c r="Q1078" s="41"/>
      <c r="R1078" s="40"/>
    </row>
    <row r="1079" spans="1:18" ht="30" customHeight="1" x14ac:dyDescent="0.3">
      <c r="A1079" s="26" t="str">
        <f t="shared" si="32"/>
        <v>2027서울과기대</v>
      </c>
      <c r="B1079" s="26">
        <f>COUNTIFS($A$4:A1079,A1079)</f>
        <v>7</v>
      </c>
      <c r="C1079" s="26" t="str">
        <f t="shared" si="33"/>
        <v>2027서울과기대7</v>
      </c>
      <c r="E1079" s="39" t="s">
        <v>148</v>
      </c>
      <c r="F1079" s="26" t="s">
        <v>17</v>
      </c>
      <c r="H1079" s="27" t="s">
        <v>422</v>
      </c>
      <c r="I1079" s="27">
        <v>2027</v>
      </c>
      <c r="J1079" s="27" t="s">
        <v>50</v>
      </c>
      <c r="K1079" s="27" t="s">
        <v>237</v>
      </c>
      <c r="L1079" s="27" t="s">
        <v>24</v>
      </c>
      <c r="M1079" s="27" t="s">
        <v>22</v>
      </c>
      <c r="N1079" s="40" t="s">
        <v>33</v>
      </c>
      <c r="O1079" s="27" t="s">
        <v>33</v>
      </c>
      <c r="P1079" s="27" t="s">
        <v>33</v>
      </c>
      <c r="Q1079" s="41"/>
      <c r="R1079" s="40"/>
    </row>
    <row r="1080" spans="1:18" ht="30" customHeight="1" x14ac:dyDescent="0.3">
      <c r="A1080" s="26" t="str">
        <f t="shared" si="32"/>
        <v>2025한국항공대</v>
      </c>
      <c r="B1080" s="26">
        <f>COUNTIFS($A$4:A1080,A1080)</f>
        <v>1</v>
      </c>
      <c r="C1080" s="26" t="str">
        <f t="shared" si="33"/>
        <v>2025한국항공대1</v>
      </c>
      <c r="E1080" s="39" t="s">
        <v>148</v>
      </c>
      <c r="F1080" s="26" t="s">
        <v>17</v>
      </c>
      <c r="H1080" s="27" t="s">
        <v>424</v>
      </c>
      <c r="I1080" s="27">
        <v>2025</v>
      </c>
      <c r="J1080" s="27" t="s">
        <v>38</v>
      </c>
      <c r="K1080" s="27" t="s">
        <v>234</v>
      </c>
      <c r="L1080" s="27" t="s">
        <v>21</v>
      </c>
      <c r="M1080" s="27" t="s">
        <v>22</v>
      </c>
      <c r="N1080" s="40" t="s">
        <v>169</v>
      </c>
      <c r="O1080" s="27" t="s">
        <v>33</v>
      </c>
      <c r="P1080" s="27" t="s">
        <v>33</v>
      </c>
      <c r="Q1080" s="41"/>
      <c r="R1080" s="40"/>
    </row>
    <row r="1081" spans="1:18" ht="30" customHeight="1" x14ac:dyDescent="0.3">
      <c r="A1081" s="26" t="str">
        <f t="shared" si="32"/>
        <v>2025한국항공대</v>
      </c>
      <c r="B1081" s="26">
        <f>COUNTIFS($A$4:A1081,A1081)</f>
        <v>2</v>
      </c>
      <c r="C1081" s="26" t="str">
        <f t="shared" si="33"/>
        <v>2025한국항공대2</v>
      </c>
      <c r="E1081" s="39" t="s">
        <v>148</v>
      </c>
      <c r="F1081" s="26" t="s">
        <v>17</v>
      </c>
      <c r="H1081" s="27" t="s">
        <v>424</v>
      </c>
      <c r="I1081" s="27">
        <v>2025</v>
      </c>
      <c r="J1081" s="27" t="s">
        <v>38</v>
      </c>
      <c r="K1081" s="27" t="s">
        <v>234</v>
      </c>
      <c r="L1081" s="27" t="s">
        <v>24</v>
      </c>
      <c r="M1081" s="27" t="s">
        <v>22</v>
      </c>
      <c r="N1081" s="40" t="s">
        <v>169</v>
      </c>
      <c r="O1081" s="27" t="s">
        <v>33</v>
      </c>
      <c r="P1081" s="27" t="s">
        <v>33</v>
      </c>
      <c r="Q1081" s="41"/>
      <c r="R1081" s="40"/>
    </row>
    <row r="1082" spans="1:18" ht="30" customHeight="1" x14ac:dyDescent="0.3">
      <c r="A1082" s="26" t="str">
        <f t="shared" si="32"/>
        <v>2025한국항공대</v>
      </c>
      <c r="B1082" s="26">
        <f>COUNTIFS($A$4:A1082,A1082)</f>
        <v>3</v>
      </c>
      <c r="C1082" s="26" t="str">
        <f t="shared" si="33"/>
        <v>2025한국항공대3</v>
      </c>
      <c r="E1082" s="39" t="s">
        <v>148</v>
      </c>
      <c r="F1082" s="26" t="s">
        <v>17</v>
      </c>
      <c r="H1082" s="27" t="s">
        <v>424</v>
      </c>
      <c r="I1082" s="27">
        <v>2025</v>
      </c>
      <c r="J1082" s="27" t="s">
        <v>38</v>
      </c>
      <c r="K1082" s="27" t="s">
        <v>80</v>
      </c>
      <c r="L1082" s="27" t="s">
        <v>21</v>
      </c>
      <c r="M1082" s="27" t="s">
        <v>22</v>
      </c>
      <c r="N1082" s="40" t="s">
        <v>33</v>
      </c>
      <c r="O1082" s="27" t="s">
        <v>33</v>
      </c>
      <c r="P1082" s="27" t="s">
        <v>33</v>
      </c>
      <c r="Q1082" s="41"/>
      <c r="R1082" s="40"/>
    </row>
    <row r="1083" spans="1:18" ht="30" customHeight="1" x14ac:dyDescent="0.3">
      <c r="A1083" s="26" t="str">
        <f t="shared" si="32"/>
        <v>2025한국항공대</v>
      </c>
      <c r="B1083" s="26">
        <f>COUNTIFS($A$4:A1083,A1083)</f>
        <v>4</v>
      </c>
      <c r="C1083" s="26" t="str">
        <f t="shared" si="33"/>
        <v>2025한국항공대4</v>
      </c>
      <c r="E1083" s="39" t="s">
        <v>148</v>
      </c>
      <c r="F1083" s="26" t="s">
        <v>17</v>
      </c>
      <c r="H1083" s="27" t="s">
        <v>424</v>
      </c>
      <c r="I1083" s="27">
        <v>2025</v>
      </c>
      <c r="J1083" s="27" t="s">
        <v>38</v>
      </c>
      <c r="K1083" s="27" t="s">
        <v>80</v>
      </c>
      <c r="L1083" s="27" t="s">
        <v>24</v>
      </c>
      <c r="M1083" s="27" t="s">
        <v>22</v>
      </c>
      <c r="N1083" s="40" t="s">
        <v>33</v>
      </c>
      <c r="O1083" s="27" t="s">
        <v>33</v>
      </c>
      <c r="P1083" s="27" t="s">
        <v>33</v>
      </c>
      <c r="Q1083" s="41"/>
      <c r="R1083" s="40"/>
    </row>
    <row r="1084" spans="1:18" ht="30" customHeight="1" x14ac:dyDescent="0.3">
      <c r="A1084" s="26" t="str">
        <f t="shared" si="32"/>
        <v>2025한국항공대</v>
      </c>
      <c r="B1084" s="26">
        <f>COUNTIFS($A$4:A1084,A1084)</f>
        <v>5</v>
      </c>
      <c r="C1084" s="26" t="str">
        <f t="shared" si="33"/>
        <v>2025한국항공대5</v>
      </c>
      <c r="E1084" s="39" t="s">
        <v>148</v>
      </c>
      <c r="F1084" s="26" t="s">
        <v>17</v>
      </c>
      <c r="H1084" s="27" t="s">
        <v>424</v>
      </c>
      <c r="I1084" s="27">
        <v>2025</v>
      </c>
      <c r="J1084" s="27" t="s">
        <v>19</v>
      </c>
      <c r="K1084" s="27" t="s">
        <v>184</v>
      </c>
      <c r="L1084" s="27" t="s">
        <v>21</v>
      </c>
      <c r="M1084" s="27" t="s">
        <v>22</v>
      </c>
      <c r="N1084" s="40" t="s">
        <v>33</v>
      </c>
      <c r="O1084" s="27" t="s">
        <v>33</v>
      </c>
      <c r="P1084" s="27" t="s">
        <v>33</v>
      </c>
      <c r="Q1084" s="41"/>
      <c r="R1084" s="40"/>
    </row>
    <row r="1085" spans="1:18" ht="30" customHeight="1" x14ac:dyDescent="0.3">
      <c r="A1085" s="26" t="str">
        <f t="shared" si="32"/>
        <v>2025한국항공대</v>
      </c>
      <c r="B1085" s="26">
        <f>COUNTIFS($A$4:A1085,A1085)</f>
        <v>6</v>
      </c>
      <c r="C1085" s="26" t="str">
        <f t="shared" si="33"/>
        <v>2025한국항공대6</v>
      </c>
      <c r="E1085" s="39" t="s">
        <v>148</v>
      </c>
      <c r="F1085" s="26" t="s">
        <v>17</v>
      </c>
      <c r="H1085" s="27" t="s">
        <v>424</v>
      </c>
      <c r="I1085" s="27">
        <v>2025</v>
      </c>
      <c r="J1085" s="27" t="s">
        <v>19</v>
      </c>
      <c r="K1085" s="27" t="s">
        <v>184</v>
      </c>
      <c r="L1085" s="27" t="s">
        <v>24</v>
      </c>
      <c r="M1085" s="27" t="s">
        <v>22</v>
      </c>
      <c r="N1085" s="40" t="s">
        <v>33</v>
      </c>
      <c r="O1085" s="27" t="s">
        <v>33</v>
      </c>
      <c r="P1085" s="27" t="s">
        <v>33</v>
      </c>
      <c r="Q1085" s="41"/>
      <c r="R1085" s="40"/>
    </row>
    <row r="1086" spans="1:18" ht="30" customHeight="1" x14ac:dyDescent="0.3">
      <c r="A1086" s="26" t="str">
        <f t="shared" si="32"/>
        <v>2025한국항공대</v>
      </c>
      <c r="B1086" s="26">
        <f>COUNTIFS($A$4:A1086,A1086)</f>
        <v>7</v>
      </c>
      <c r="C1086" s="26" t="str">
        <f t="shared" si="33"/>
        <v>2025한국항공대7</v>
      </c>
      <c r="E1086" s="39" t="s">
        <v>148</v>
      </c>
      <c r="F1086" s="26" t="s">
        <v>17</v>
      </c>
      <c r="H1086" s="27" t="s">
        <v>424</v>
      </c>
      <c r="I1086" s="27">
        <v>2025</v>
      </c>
      <c r="J1086" s="27" t="s">
        <v>50</v>
      </c>
      <c r="K1086" s="27" t="s">
        <v>156</v>
      </c>
      <c r="L1086" s="27" t="s">
        <v>21</v>
      </c>
      <c r="M1086" s="27" t="s">
        <v>22</v>
      </c>
      <c r="N1086" s="40" t="s">
        <v>169</v>
      </c>
      <c r="O1086" s="27" t="s">
        <v>33</v>
      </c>
      <c r="P1086" s="27" t="s">
        <v>33</v>
      </c>
      <c r="Q1086" s="41"/>
      <c r="R1086" s="40"/>
    </row>
    <row r="1087" spans="1:18" ht="30" customHeight="1" x14ac:dyDescent="0.3">
      <c r="A1087" s="26" t="str">
        <f t="shared" si="32"/>
        <v>2025한국항공대</v>
      </c>
      <c r="B1087" s="26">
        <f>COUNTIFS($A$4:A1087,A1087)</f>
        <v>8</v>
      </c>
      <c r="C1087" s="26" t="str">
        <f t="shared" si="33"/>
        <v>2025한국항공대8</v>
      </c>
      <c r="E1087" s="39" t="s">
        <v>148</v>
      </c>
      <c r="F1087" s="26" t="s">
        <v>17</v>
      </c>
      <c r="H1087" s="27" t="s">
        <v>424</v>
      </c>
      <c r="I1087" s="27">
        <v>2025</v>
      </c>
      <c r="J1087" s="27" t="s">
        <v>50</v>
      </c>
      <c r="K1087" s="27" t="s">
        <v>156</v>
      </c>
      <c r="L1087" s="27" t="s">
        <v>24</v>
      </c>
      <c r="M1087" s="27" t="s">
        <v>22</v>
      </c>
      <c r="N1087" s="40" t="s">
        <v>169</v>
      </c>
      <c r="O1087" s="27" t="s">
        <v>33</v>
      </c>
      <c r="P1087" s="27" t="s">
        <v>33</v>
      </c>
      <c r="Q1087" s="41"/>
      <c r="R1087" s="40"/>
    </row>
    <row r="1088" spans="1:18" ht="30" customHeight="1" x14ac:dyDescent="0.3">
      <c r="A1088" s="26" t="str">
        <f t="shared" si="32"/>
        <v>2026한국항공대</v>
      </c>
      <c r="B1088" s="26">
        <f>COUNTIFS($A$4:A1088,A1088)</f>
        <v>1</v>
      </c>
      <c r="C1088" s="26" t="str">
        <f t="shared" si="33"/>
        <v>2026한국항공대1</v>
      </c>
      <c r="E1088" s="39" t="s">
        <v>148</v>
      </c>
      <c r="F1088" s="26" t="s">
        <v>17</v>
      </c>
      <c r="H1088" s="27" t="s">
        <v>424</v>
      </c>
      <c r="I1088" s="27">
        <v>2026</v>
      </c>
      <c r="J1088" s="27" t="s">
        <v>38</v>
      </c>
      <c r="K1088" s="27" t="s">
        <v>234</v>
      </c>
      <c r="L1088" s="27" t="s">
        <v>94</v>
      </c>
      <c r="M1088" s="27" t="s">
        <v>22</v>
      </c>
      <c r="N1088" s="40" t="s">
        <v>169</v>
      </c>
      <c r="O1088" s="27" t="s">
        <v>33</v>
      </c>
      <c r="P1088" s="27" t="s">
        <v>33</v>
      </c>
      <c r="Q1088" s="41"/>
      <c r="R1088" s="40"/>
    </row>
    <row r="1089" spans="1:18" ht="30" customHeight="1" x14ac:dyDescent="0.3">
      <c r="A1089" s="26" t="str">
        <f t="shared" si="32"/>
        <v>2026한국항공대</v>
      </c>
      <c r="B1089" s="26">
        <f>COUNTIFS($A$4:A1089,A1089)</f>
        <v>2</v>
      </c>
      <c r="C1089" s="26" t="str">
        <f t="shared" si="33"/>
        <v>2026한국항공대2</v>
      </c>
      <c r="E1089" s="39" t="s">
        <v>148</v>
      </c>
      <c r="F1089" s="26" t="s">
        <v>17</v>
      </c>
      <c r="H1089" s="27" t="s">
        <v>424</v>
      </c>
      <c r="I1089" s="27">
        <v>2026</v>
      </c>
      <c r="J1089" s="27" t="s">
        <v>38</v>
      </c>
      <c r="K1089" s="27" t="s">
        <v>234</v>
      </c>
      <c r="L1089" s="27" t="s">
        <v>24</v>
      </c>
      <c r="M1089" s="27" t="s">
        <v>22</v>
      </c>
      <c r="N1089" s="40" t="s">
        <v>169</v>
      </c>
      <c r="O1089" s="27" t="s">
        <v>33</v>
      </c>
      <c r="P1089" s="27" t="s">
        <v>33</v>
      </c>
      <c r="Q1089" s="41"/>
      <c r="R1089" s="40"/>
    </row>
    <row r="1090" spans="1:18" ht="30" customHeight="1" x14ac:dyDescent="0.3">
      <c r="A1090" s="26" t="str">
        <f t="shared" si="32"/>
        <v>2026한국항공대</v>
      </c>
      <c r="B1090" s="26">
        <f>COUNTIFS($A$4:A1090,A1090)</f>
        <v>3</v>
      </c>
      <c r="C1090" s="26" t="str">
        <f t="shared" si="33"/>
        <v>2026한국항공대3</v>
      </c>
      <c r="E1090" s="39" t="s">
        <v>148</v>
      </c>
      <c r="F1090" s="26" t="s">
        <v>17</v>
      </c>
      <c r="H1090" s="27" t="s">
        <v>424</v>
      </c>
      <c r="I1090" s="27">
        <v>2026</v>
      </c>
      <c r="J1090" s="27" t="s">
        <v>38</v>
      </c>
      <c r="K1090" s="27" t="s">
        <v>80</v>
      </c>
      <c r="L1090" s="27" t="s">
        <v>21</v>
      </c>
      <c r="M1090" s="27" t="s">
        <v>22</v>
      </c>
      <c r="N1090" s="40" t="s">
        <v>33</v>
      </c>
      <c r="O1090" s="27" t="s">
        <v>33</v>
      </c>
      <c r="P1090" s="27" t="s">
        <v>33</v>
      </c>
      <c r="Q1090" s="41"/>
      <c r="R1090" s="40"/>
    </row>
    <row r="1091" spans="1:18" ht="30" customHeight="1" x14ac:dyDescent="0.3">
      <c r="A1091" s="26" t="str">
        <f t="shared" si="32"/>
        <v>2026한국항공대</v>
      </c>
      <c r="B1091" s="26">
        <f>COUNTIFS($A$4:A1091,A1091)</f>
        <v>4</v>
      </c>
      <c r="C1091" s="26" t="str">
        <f t="shared" si="33"/>
        <v>2026한국항공대4</v>
      </c>
      <c r="E1091" s="39" t="s">
        <v>148</v>
      </c>
      <c r="F1091" s="26" t="s">
        <v>17</v>
      </c>
      <c r="H1091" s="27" t="s">
        <v>424</v>
      </c>
      <c r="I1091" s="27">
        <v>2026</v>
      </c>
      <c r="J1091" s="27" t="s">
        <v>38</v>
      </c>
      <c r="K1091" s="27" t="s">
        <v>80</v>
      </c>
      <c r="L1091" s="27" t="s">
        <v>24</v>
      </c>
      <c r="M1091" s="27" t="s">
        <v>22</v>
      </c>
      <c r="N1091" s="40" t="s">
        <v>33</v>
      </c>
      <c r="O1091" s="27" t="s">
        <v>33</v>
      </c>
      <c r="P1091" s="27" t="s">
        <v>33</v>
      </c>
      <c r="Q1091" s="41"/>
      <c r="R1091" s="40"/>
    </row>
    <row r="1092" spans="1:18" ht="30" customHeight="1" x14ac:dyDescent="0.3">
      <c r="A1092" s="26" t="str">
        <f t="shared" si="32"/>
        <v>2026한국항공대</v>
      </c>
      <c r="B1092" s="26">
        <f>COUNTIFS($A$4:A1092,A1092)</f>
        <v>5</v>
      </c>
      <c r="C1092" s="26" t="str">
        <f t="shared" si="33"/>
        <v>2026한국항공대5</v>
      </c>
      <c r="E1092" s="39" t="s">
        <v>148</v>
      </c>
      <c r="F1092" s="26" t="s">
        <v>17</v>
      </c>
      <c r="H1092" s="27" t="s">
        <v>424</v>
      </c>
      <c r="I1092" s="27">
        <v>2026</v>
      </c>
      <c r="J1092" s="27" t="s">
        <v>19</v>
      </c>
      <c r="K1092" s="27" t="s">
        <v>184</v>
      </c>
      <c r="L1092" s="27" t="s">
        <v>21</v>
      </c>
      <c r="M1092" s="27" t="s">
        <v>22</v>
      </c>
      <c r="N1092" s="40" t="s">
        <v>33</v>
      </c>
      <c r="O1092" s="27" t="s">
        <v>33</v>
      </c>
      <c r="P1092" s="27" t="s">
        <v>33</v>
      </c>
      <c r="Q1092" s="41"/>
      <c r="R1092" s="40"/>
    </row>
    <row r="1093" spans="1:18" ht="30" customHeight="1" x14ac:dyDescent="0.3">
      <c r="A1093" s="26" t="str">
        <f t="shared" si="32"/>
        <v>2026한국항공대</v>
      </c>
      <c r="B1093" s="26">
        <f>COUNTIFS($A$4:A1093,A1093)</f>
        <v>6</v>
      </c>
      <c r="C1093" s="26" t="str">
        <f t="shared" si="33"/>
        <v>2026한국항공대6</v>
      </c>
      <c r="E1093" s="39" t="s">
        <v>148</v>
      </c>
      <c r="F1093" s="26" t="s">
        <v>17</v>
      </c>
      <c r="H1093" s="27" t="s">
        <v>424</v>
      </c>
      <c r="I1093" s="27">
        <v>2026</v>
      </c>
      <c r="J1093" s="27" t="s">
        <v>19</v>
      </c>
      <c r="K1093" s="27" t="s">
        <v>184</v>
      </c>
      <c r="L1093" s="27" t="s">
        <v>24</v>
      </c>
      <c r="M1093" s="27" t="s">
        <v>22</v>
      </c>
      <c r="N1093" s="40" t="s">
        <v>33</v>
      </c>
      <c r="O1093" s="27" t="s">
        <v>33</v>
      </c>
      <c r="P1093" s="27" t="s">
        <v>33</v>
      </c>
      <c r="Q1093" s="41"/>
      <c r="R1093" s="40"/>
    </row>
    <row r="1094" spans="1:18" ht="30" customHeight="1" x14ac:dyDescent="0.3">
      <c r="A1094" s="26" t="str">
        <f t="shared" si="32"/>
        <v>2026한국항공대</v>
      </c>
      <c r="B1094" s="26">
        <f>COUNTIFS($A$4:A1094,A1094)</f>
        <v>7</v>
      </c>
      <c r="C1094" s="26" t="str">
        <f t="shared" si="33"/>
        <v>2026한국항공대7</v>
      </c>
      <c r="E1094" s="39" t="s">
        <v>148</v>
      </c>
      <c r="F1094" s="26" t="s">
        <v>17</v>
      </c>
      <c r="H1094" s="27" t="s">
        <v>424</v>
      </c>
      <c r="I1094" s="27">
        <v>2026</v>
      </c>
      <c r="J1094" s="27" t="s">
        <v>50</v>
      </c>
      <c r="K1094" s="27" t="s">
        <v>156</v>
      </c>
      <c r="L1094" s="27" t="s">
        <v>21</v>
      </c>
      <c r="M1094" s="27" t="s">
        <v>22</v>
      </c>
      <c r="N1094" s="40" t="s">
        <v>169</v>
      </c>
      <c r="O1094" s="27" t="s">
        <v>33</v>
      </c>
      <c r="P1094" s="27" t="s">
        <v>33</v>
      </c>
      <c r="Q1094" s="41"/>
      <c r="R1094" s="40"/>
    </row>
    <row r="1095" spans="1:18" ht="30" customHeight="1" x14ac:dyDescent="0.3">
      <c r="A1095" s="26" t="str">
        <f t="shared" si="32"/>
        <v>2026한국항공대</v>
      </c>
      <c r="B1095" s="26">
        <f>COUNTIFS($A$4:A1095,A1095)</f>
        <v>8</v>
      </c>
      <c r="C1095" s="26" t="str">
        <f t="shared" si="33"/>
        <v>2026한국항공대8</v>
      </c>
      <c r="E1095" s="39" t="s">
        <v>148</v>
      </c>
      <c r="F1095" s="26" t="s">
        <v>17</v>
      </c>
      <c r="H1095" s="27" t="s">
        <v>424</v>
      </c>
      <c r="I1095" s="27">
        <v>2026</v>
      </c>
      <c r="J1095" s="27" t="s">
        <v>50</v>
      </c>
      <c r="K1095" s="27" t="s">
        <v>156</v>
      </c>
      <c r="L1095" s="27" t="s">
        <v>24</v>
      </c>
      <c r="M1095" s="27" t="s">
        <v>22</v>
      </c>
      <c r="N1095" s="40" t="s">
        <v>169</v>
      </c>
      <c r="O1095" s="27" t="s">
        <v>33</v>
      </c>
      <c r="P1095" s="27" t="s">
        <v>33</v>
      </c>
      <c r="Q1095" s="41"/>
      <c r="R1095" s="40"/>
    </row>
    <row r="1096" spans="1:18" ht="30" customHeight="1" x14ac:dyDescent="0.3">
      <c r="A1096" s="26" t="str">
        <f t="shared" si="32"/>
        <v>2027한국항공대</v>
      </c>
      <c r="B1096" s="26">
        <f>COUNTIFS($A$4:A1096,A1096)</f>
        <v>1</v>
      </c>
      <c r="C1096" s="26" t="str">
        <f t="shared" si="33"/>
        <v>2027한국항공대1</v>
      </c>
      <c r="E1096" s="39" t="s">
        <v>148</v>
      </c>
      <c r="F1096" s="26" t="s">
        <v>17</v>
      </c>
      <c r="H1096" s="27" t="s">
        <v>424</v>
      </c>
      <c r="I1096" s="27">
        <v>2027</v>
      </c>
      <c r="J1096" s="27" t="s">
        <v>38</v>
      </c>
      <c r="K1096" s="27" t="s">
        <v>234</v>
      </c>
      <c r="L1096" s="27" t="s">
        <v>94</v>
      </c>
      <c r="M1096" s="27" t="s">
        <v>22</v>
      </c>
      <c r="N1096" s="40" t="s">
        <v>169</v>
      </c>
      <c r="O1096" s="27" t="s">
        <v>33</v>
      </c>
      <c r="P1096" s="27" t="s">
        <v>33</v>
      </c>
      <c r="Q1096" s="41"/>
      <c r="R1096" s="40"/>
    </row>
    <row r="1097" spans="1:18" ht="30" customHeight="1" x14ac:dyDescent="0.3">
      <c r="A1097" s="26" t="str">
        <f t="shared" si="32"/>
        <v>2027한국항공대</v>
      </c>
      <c r="B1097" s="26">
        <f>COUNTIFS($A$4:A1097,A1097)</f>
        <v>2</v>
      </c>
      <c r="C1097" s="26" t="str">
        <f t="shared" si="33"/>
        <v>2027한국항공대2</v>
      </c>
      <c r="E1097" s="39" t="s">
        <v>148</v>
      </c>
      <c r="F1097" s="26" t="s">
        <v>17</v>
      </c>
      <c r="H1097" s="27" t="s">
        <v>424</v>
      </c>
      <c r="I1097" s="27">
        <v>2027</v>
      </c>
      <c r="J1097" s="27" t="s">
        <v>38</v>
      </c>
      <c r="K1097" s="27" t="s">
        <v>234</v>
      </c>
      <c r="L1097" s="27" t="s">
        <v>24</v>
      </c>
      <c r="M1097" s="27" t="s">
        <v>22</v>
      </c>
      <c r="N1097" s="40" t="s">
        <v>169</v>
      </c>
      <c r="O1097" s="27" t="s">
        <v>33</v>
      </c>
      <c r="P1097" s="27" t="s">
        <v>33</v>
      </c>
      <c r="Q1097" s="41"/>
      <c r="R1097" s="40"/>
    </row>
    <row r="1098" spans="1:18" ht="30" customHeight="1" x14ac:dyDescent="0.3">
      <c r="A1098" s="26" t="str">
        <f t="shared" ref="A1098:A1161" si="34">I1098&amp;H1098</f>
        <v>2027한국항공대</v>
      </c>
      <c r="B1098" s="26">
        <f>COUNTIFS($A$4:A1098,A1098)</f>
        <v>3</v>
      </c>
      <c r="C1098" s="26" t="str">
        <f t="shared" ref="C1098:C1161" si="35">A1098&amp;B1098</f>
        <v>2027한국항공대3</v>
      </c>
      <c r="E1098" s="39" t="s">
        <v>148</v>
      </c>
      <c r="F1098" s="26" t="s">
        <v>17</v>
      </c>
      <c r="H1098" s="27" t="s">
        <v>424</v>
      </c>
      <c r="I1098" s="27">
        <v>2027</v>
      </c>
      <c r="J1098" s="27" t="s">
        <v>38</v>
      </c>
      <c r="K1098" s="27" t="s">
        <v>80</v>
      </c>
      <c r="L1098" s="27" t="s">
        <v>21</v>
      </c>
      <c r="M1098" s="27" t="s">
        <v>22</v>
      </c>
      <c r="N1098" s="40" t="s">
        <v>33</v>
      </c>
      <c r="O1098" s="27" t="s">
        <v>33</v>
      </c>
      <c r="P1098" s="27" t="s">
        <v>33</v>
      </c>
      <c r="Q1098" s="41"/>
      <c r="R1098" s="40"/>
    </row>
    <row r="1099" spans="1:18" ht="30" customHeight="1" x14ac:dyDescent="0.3">
      <c r="A1099" s="26" t="str">
        <f t="shared" si="34"/>
        <v>2027한국항공대</v>
      </c>
      <c r="B1099" s="26">
        <f>COUNTIFS($A$4:A1099,A1099)</f>
        <v>4</v>
      </c>
      <c r="C1099" s="26" t="str">
        <f t="shared" si="35"/>
        <v>2027한국항공대4</v>
      </c>
      <c r="E1099" s="39" t="s">
        <v>148</v>
      </c>
      <c r="F1099" s="26" t="s">
        <v>17</v>
      </c>
      <c r="H1099" s="27" t="s">
        <v>424</v>
      </c>
      <c r="I1099" s="27">
        <v>2027</v>
      </c>
      <c r="J1099" s="27" t="s">
        <v>38</v>
      </c>
      <c r="K1099" s="27" t="s">
        <v>80</v>
      </c>
      <c r="L1099" s="27" t="s">
        <v>24</v>
      </c>
      <c r="M1099" s="27" t="s">
        <v>22</v>
      </c>
      <c r="N1099" s="40" t="s">
        <v>33</v>
      </c>
      <c r="O1099" s="27" t="s">
        <v>33</v>
      </c>
      <c r="P1099" s="27" t="s">
        <v>33</v>
      </c>
      <c r="Q1099" s="41"/>
      <c r="R1099" s="40"/>
    </row>
    <row r="1100" spans="1:18" ht="30" customHeight="1" x14ac:dyDescent="0.3">
      <c r="A1100" s="26" t="str">
        <f t="shared" si="34"/>
        <v>2027한국항공대</v>
      </c>
      <c r="B1100" s="26">
        <f>COUNTIFS($A$4:A1100,A1100)</f>
        <v>5</v>
      </c>
      <c r="C1100" s="26" t="str">
        <f t="shared" si="35"/>
        <v>2027한국항공대5</v>
      </c>
      <c r="E1100" s="39" t="s">
        <v>148</v>
      </c>
      <c r="F1100" s="26" t="s">
        <v>17</v>
      </c>
      <c r="H1100" s="27" t="s">
        <v>424</v>
      </c>
      <c r="I1100" s="27">
        <v>2027</v>
      </c>
      <c r="J1100" s="27" t="s">
        <v>19</v>
      </c>
      <c r="K1100" s="27" t="s">
        <v>184</v>
      </c>
      <c r="L1100" s="27" t="s">
        <v>21</v>
      </c>
      <c r="M1100" s="27" t="s">
        <v>22</v>
      </c>
      <c r="N1100" s="40" t="s">
        <v>33</v>
      </c>
      <c r="O1100" s="27" t="s">
        <v>33</v>
      </c>
      <c r="P1100" s="27" t="s">
        <v>33</v>
      </c>
      <c r="Q1100" s="41"/>
      <c r="R1100" s="40"/>
    </row>
    <row r="1101" spans="1:18" ht="30" customHeight="1" x14ac:dyDescent="0.3">
      <c r="A1101" s="26" t="str">
        <f t="shared" si="34"/>
        <v>2027한국항공대</v>
      </c>
      <c r="B1101" s="26">
        <f>COUNTIFS($A$4:A1101,A1101)</f>
        <v>6</v>
      </c>
      <c r="C1101" s="26" t="str">
        <f t="shared" si="35"/>
        <v>2027한국항공대6</v>
      </c>
      <c r="E1101" s="39" t="s">
        <v>148</v>
      </c>
      <c r="F1101" s="26" t="s">
        <v>17</v>
      </c>
      <c r="H1101" s="27" t="s">
        <v>424</v>
      </c>
      <c r="I1101" s="27">
        <v>2027</v>
      </c>
      <c r="J1101" s="27" t="s">
        <v>19</v>
      </c>
      <c r="K1101" s="27" t="s">
        <v>184</v>
      </c>
      <c r="L1101" s="27" t="s">
        <v>24</v>
      </c>
      <c r="M1101" s="27" t="s">
        <v>22</v>
      </c>
      <c r="N1101" s="40" t="s">
        <v>33</v>
      </c>
      <c r="O1101" s="27" t="s">
        <v>33</v>
      </c>
      <c r="P1101" s="27" t="s">
        <v>33</v>
      </c>
      <c r="Q1101" s="41"/>
      <c r="R1101" s="40"/>
    </row>
    <row r="1102" spans="1:18" ht="30" customHeight="1" x14ac:dyDescent="0.3">
      <c r="A1102" s="26" t="str">
        <f t="shared" si="34"/>
        <v>2027한국항공대</v>
      </c>
      <c r="B1102" s="26">
        <f>COUNTIFS($A$4:A1102,A1102)</f>
        <v>7</v>
      </c>
      <c r="C1102" s="26" t="str">
        <f t="shared" si="35"/>
        <v>2027한국항공대7</v>
      </c>
      <c r="E1102" s="39" t="s">
        <v>148</v>
      </c>
      <c r="F1102" s="26" t="s">
        <v>17</v>
      </c>
      <c r="H1102" s="27" t="s">
        <v>424</v>
      </c>
      <c r="I1102" s="27">
        <v>2027</v>
      </c>
      <c r="J1102" s="27" t="s">
        <v>50</v>
      </c>
      <c r="K1102" s="27" t="s">
        <v>156</v>
      </c>
      <c r="L1102" s="27" t="s">
        <v>21</v>
      </c>
      <c r="M1102" s="27" t="s">
        <v>22</v>
      </c>
      <c r="N1102" s="40" t="s">
        <v>169</v>
      </c>
      <c r="O1102" s="27" t="s">
        <v>33</v>
      </c>
      <c r="P1102" s="27" t="s">
        <v>33</v>
      </c>
      <c r="Q1102" s="41"/>
      <c r="R1102" s="40"/>
    </row>
    <row r="1103" spans="1:18" ht="30" customHeight="1" x14ac:dyDescent="0.3">
      <c r="A1103" s="26" t="str">
        <f t="shared" si="34"/>
        <v>2027한국항공대</v>
      </c>
      <c r="B1103" s="26">
        <f>COUNTIFS($A$4:A1103,A1103)</f>
        <v>8</v>
      </c>
      <c r="C1103" s="26" t="str">
        <f t="shared" si="35"/>
        <v>2027한국항공대8</v>
      </c>
      <c r="E1103" s="39" t="s">
        <v>148</v>
      </c>
      <c r="F1103" s="26" t="s">
        <v>17</v>
      </c>
      <c r="H1103" s="27" t="s">
        <v>424</v>
      </c>
      <c r="I1103" s="27">
        <v>2027</v>
      </c>
      <c r="J1103" s="27" t="s">
        <v>50</v>
      </c>
      <c r="K1103" s="27" t="s">
        <v>156</v>
      </c>
      <c r="L1103" s="27" t="s">
        <v>24</v>
      </c>
      <c r="M1103" s="27" t="s">
        <v>22</v>
      </c>
      <c r="N1103" s="40" t="s">
        <v>169</v>
      </c>
      <c r="O1103" s="27" t="s">
        <v>33</v>
      </c>
      <c r="P1103" s="27" t="s">
        <v>33</v>
      </c>
      <c r="Q1103" s="41"/>
      <c r="R1103" s="40"/>
    </row>
    <row r="1104" spans="1:18" ht="60" x14ac:dyDescent="0.3">
      <c r="A1104" s="26" t="str">
        <f t="shared" si="34"/>
        <v>2025강원대(춘천)</v>
      </c>
      <c r="B1104" s="26">
        <f>COUNTIFS($A$4:A1104,A1104)</f>
        <v>1</v>
      </c>
      <c r="C1104" s="26" t="str">
        <f t="shared" si="35"/>
        <v>2025강원대(춘천)1</v>
      </c>
      <c r="E1104" s="26" t="s">
        <v>425</v>
      </c>
      <c r="F1104" s="26" t="s">
        <v>17</v>
      </c>
      <c r="H1104" s="27" t="s">
        <v>426</v>
      </c>
      <c r="I1104" s="27">
        <v>2025</v>
      </c>
      <c r="J1104" s="27" t="s">
        <v>290</v>
      </c>
      <c r="K1104" s="27" t="s">
        <v>17</v>
      </c>
      <c r="L1104" s="27" t="s">
        <v>94</v>
      </c>
      <c r="M1104" s="27" t="s">
        <v>22</v>
      </c>
      <c r="N1104" s="29" t="s">
        <v>427</v>
      </c>
      <c r="O1104" s="27" t="s">
        <v>22</v>
      </c>
      <c r="P1104" s="27" t="s">
        <v>22</v>
      </c>
      <c r="Q1104" s="41"/>
      <c r="R1104" s="40"/>
    </row>
    <row r="1105" spans="1:18" ht="252" x14ac:dyDescent="0.3">
      <c r="A1105" s="26" t="str">
        <f t="shared" si="34"/>
        <v>2025강원대(춘천)</v>
      </c>
      <c r="B1105" s="26">
        <f>COUNTIFS($A$4:A1105,A1105)</f>
        <v>2</v>
      </c>
      <c r="C1105" s="26" t="str">
        <f t="shared" si="35"/>
        <v>2025강원대(춘천)2</v>
      </c>
      <c r="E1105" s="26" t="s">
        <v>425</v>
      </c>
      <c r="F1105" s="26" t="s">
        <v>17</v>
      </c>
      <c r="H1105" s="27" t="s">
        <v>426</v>
      </c>
      <c r="I1105" s="27">
        <v>2025</v>
      </c>
      <c r="J1105" s="27" t="s">
        <v>290</v>
      </c>
      <c r="K1105" s="27" t="s">
        <v>17</v>
      </c>
      <c r="L1105" s="27" t="s">
        <v>95</v>
      </c>
      <c r="M1105" s="27" t="s">
        <v>22</v>
      </c>
      <c r="N1105" s="29" t="s">
        <v>428</v>
      </c>
      <c r="O1105" s="27" t="s">
        <v>22</v>
      </c>
      <c r="P1105" s="28" t="s">
        <v>429</v>
      </c>
      <c r="Q1105" s="41"/>
      <c r="R1105" s="31" t="s">
        <v>430</v>
      </c>
    </row>
    <row r="1106" spans="1:18" ht="60" x14ac:dyDescent="0.3">
      <c r="A1106" s="26"/>
      <c r="B1106" s="26"/>
      <c r="C1106" s="26"/>
      <c r="E1106" s="26" t="s">
        <v>425</v>
      </c>
      <c r="F1106" s="26" t="s">
        <v>17</v>
      </c>
      <c r="H1106" s="27" t="s">
        <v>426</v>
      </c>
      <c r="I1106" s="27">
        <v>2025</v>
      </c>
      <c r="J1106" s="27" t="s">
        <v>290</v>
      </c>
      <c r="K1106" s="27" t="s">
        <v>17</v>
      </c>
      <c r="L1106" s="27" t="s">
        <v>95</v>
      </c>
      <c r="M1106" s="27" t="s">
        <v>42</v>
      </c>
      <c r="N1106" s="29" t="s">
        <v>431</v>
      </c>
      <c r="O1106" s="27" t="s">
        <v>22</v>
      </c>
      <c r="P1106" s="27" t="s">
        <v>28</v>
      </c>
      <c r="Q1106" s="41"/>
      <c r="R1106" s="40"/>
    </row>
    <row r="1107" spans="1:18" ht="60" x14ac:dyDescent="0.3">
      <c r="A1107" s="26" t="str">
        <f t="shared" si="34"/>
        <v>2025강원대(춘천)</v>
      </c>
      <c r="B1107" s="26">
        <f>COUNTIFS($A$4:A1107,A1107)</f>
        <v>3</v>
      </c>
      <c r="C1107" s="26" t="str">
        <f t="shared" si="35"/>
        <v>2025강원대(춘천)3</v>
      </c>
      <c r="E1107" s="26" t="s">
        <v>425</v>
      </c>
      <c r="F1107" s="26" t="s">
        <v>277</v>
      </c>
      <c r="H1107" s="27" t="s">
        <v>426</v>
      </c>
      <c r="I1107" s="27">
        <v>2025</v>
      </c>
      <c r="J1107" s="27" t="s">
        <v>290</v>
      </c>
      <c r="K1107" s="27" t="s">
        <v>390</v>
      </c>
      <c r="L1107" s="27" t="s">
        <v>94</v>
      </c>
      <c r="M1107" s="27" t="s">
        <v>22</v>
      </c>
      <c r="N1107" s="29" t="s">
        <v>432</v>
      </c>
      <c r="O1107" s="27" t="s">
        <v>22</v>
      </c>
      <c r="P1107" s="27" t="s">
        <v>22</v>
      </c>
      <c r="Q1107" s="41"/>
      <c r="R1107" s="40"/>
    </row>
    <row r="1108" spans="1:18" ht="252" x14ac:dyDescent="0.3">
      <c r="A1108" s="26" t="str">
        <f t="shared" si="34"/>
        <v>2025강원대(춘천)</v>
      </c>
      <c r="B1108" s="26">
        <f>COUNTIFS($A$4:A1108,A1108)</f>
        <v>4</v>
      </c>
      <c r="C1108" s="26" t="str">
        <f t="shared" si="35"/>
        <v>2025강원대(춘천)4</v>
      </c>
      <c r="E1108" s="26" t="s">
        <v>425</v>
      </c>
      <c r="F1108" s="26" t="s">
        <v>277</v>
      </c>
      <c r="H1108" s="27" t="s">
        <v>426</v>
      </c>
      <c r="I1108" s="27">
        <v>2025</v>
      </c>
      <c r="J1108" s="27" t="s">
        <v>290</v>
      </c>
      <c r="K1108" s="27" t="s">
        <v>390</v>
      </c>
      <c r="L1108" s="27" t="s">
        <v>95</v>
      </c>
      <c r="M1108" s="27" t="s">
        <v>22</v>
      </c>
      <c r="N1108" s="29" t="s">
        <v>433</v>
      </c>
      <c r="O1108" s="27" t="s">
        <v>22</v>
      </c>
      <c r="P1108" s="28" t="s">
        <v>429</v>
      </c>
      <c r="Q1108" s="41"/>
      <c r="R1108" s="31" t="s">
        <v>430</v>
      </c>
    </row>
    <row r="1109" spans="1:18" ht="60" x14ac:dyDescent="0.3">
      <c r="A1109" s="26" t="str">
        <f t="shared" si="34"/>
        <v>2025강원대(춘천)</v>
      </c>
      <c r="B1109" s="26">
        <f>COUNTIFS($A$4:A1109,A1109)</f>
        <v>5</v>
      </c>
      <c r="C1109" s="26" t="str">
        <f t="shared" si="35"/>
        <v>2025강원대(춘천)5</v>
      </c>
      <c r="E1109" s="26" t="s">
        <v>425</v>
      </c>
      <c r="F1109" s="26" t="s">
        <v>277</v>
      </c>
      <c r="H1109" s="27" t="s">
        <v>426</v>
      </c>
      <c r="I1109" s="27">
        <v>2025</v>
      </c>
      <c r="J1109" s="27" t="s">
        <v>290</v>
      </c>
      <c r="K1109" s="27" t="s">
        <v>390</v>
      </c>
      <c r="L1109" s="27" t="s">
        <v>95</v>
      </c>
      <c r="M1109" s="27" t="s">
        <v>42</v>
      </c>
      <c r="N1109" s="29" t="s">
        <v>434</v>
      </c>
      <c r="O1109" s="27" t="s">
        <v>22</v>
      </c>
      <c r="P1109" s="27" t="s">
        <v>28</v>
      </c>
      <c r="Q1109" s="41"/>
      <c r="R1109" s="31"/>
    </row>
    <row r="1110" spans="1:18" ht="30" customHeight="1" x14ac:dyDescent="0.3">
      <c r="A1110" s="26" t="str">
        <f t="shared" si="34"/>
        <v>2025강원대(춘천)</v>
      </c>
      <c r="B1110" s="26">
        <f>COUNTIFS($A$4:A1110,A1110)</f>
        <v>6</v>
      </c>
      <c r="C1110" s="26" t="str">
        <f t="shared" si="35"/>
        <v>2025강원대(춘천)6</v>
      </c>
      <c r="E1110" s="26" t="s">
        <v>425</v>
      </c>
      <c r="F1110" s="26" t="s">
        <v>17</v>
      </c>
      <c r="H1110" s="27" t="s">
        <v>426</v>
      </c>
      <c r="I1110" s="27">
        <v>2025</v>
      </c>
      <c r="J1110" s="27" t="s">
        <v>273</v>
      </c>
      <c r="K1110" s="27" t="s">
        <v>435</v>
      </c>
      <c r="L1110" s="27" t="s">
        <v>94</v>
      </c>
      <c r="M1110" s="27" t="s">
        <v>22</v>
      </c>
      <c r="N1110" s="40" t="s">
        <v>22</v>
      </c>
      <c r="O1110" s="27"/>
      <c r="P1110" s="27"/>
      <c r="Q1110" s="41"/>
      <c r="R1110" s="40"/>
    </row>
    <row r="1111" spans="1:18" ht="60" x14ac:dyDescent="0.3">
      <c r="A1111" s="26" t="str">
        <f t="shared" si="34"/>
        <v>2025강원대(춘천)</v>
      </c>
      <c r="B1111" s="26">
        <f>COUNTIFS($A$4:A1111,A1111)</f>
        <v>7</v>
      </c>
      <c r="C1111" s="26" t="str">
        <f t="shared" si="35"/>
        <v>2025강원대(춘천)7</v>
      </c>
      <c r="E1111" s="26" t="s">
        <v>425</v>
      </c>
      <c r="F1111" s="26" t="s">
        <v>17</v>
      </c>
      <c r="H1111" s="27" t="s">
        <v>426</v>
      </c>
      <c r="I1111" s="27">
        <v>2025</v>
      </c>
      <c r="J1111" s="27" t="s">
        <v>273</v>
      </c>
      <c r="K1111" s="27" t="s">
        <v>435</v>
      </c>
      <c r="L1111" s="27" t="s">
        <v>95</v>
      </c>
      <c r="M1111" s="27" t="s">
        <v>22</v>
      </c>
      <c r="N1111" s="29" t="s">
        <v>436</v>
      </c>
      <c r="O1111" s="27" t="s">
        <v>22</v>
      </c>
      <c r="P1111" s="27" t="s">
        <v>22</v>
      </c>
      <c r="Q1111" s="41"/>
      <c r="R1111" s="40"/>
    </row>
    <row r="1112" spans="1:18" ht="30" customHeight="1" x14ac:dyDescent="0.3">
      <c r="A1112" s="26" t="str">
        <f t="shared" si="34"/>
        <v>2025강원대(춘천)</v>
      </c>
      <c r="B1112" s="26">
        <f>COUNTIFS($A$4:A1112,A1112)</f>
        <v>8</v>
      </c>
      <c r="C1112" s="26" t="str">
        <f t="shared" si="35"/>
        <v>2025강원대(춘천)8</v>
      </c>
      <c r="E1112" s="26" t="s">
        <v>425</v>
      </c>
      <c r="F1112" s="26" t="s">
        <v>17</v>
      </c>
      <c r="H1112" s="27" t="s">
        <v>426</v>
      </c>
      <c r="I1112" s="27">
        <v>2025</v>
      </c>
      <c r="J1112" s="27" t="s">
        <v>273</v>
      </c>
      <c r="K1112" s="27" t="s">
        <v>435</v>
      </c>
      <c r="L1112" s="27" t="s">
        <v>95</v>
      </c>
      <c r="M1112" s="27" t="s">
        <v>42</v>
      </c>
      <c r="N1112" s="29" t="s">
        <v>437</v>
      </c>
      <c r="O1112" s="27" t="s">
        <v>22</v>
      </c>
      <c r="P1112" s="27" t="s">
        <v>28</v>
      </c>
      <c r="Q1112" s="41"/>
      <c r="R1112" s="40"/>
    </row>
    <row r="1113" spans="1:18" ht="30" customHeight="1" x14ac:dyDescent="0.3">
      <c r="A1113" s="26" t="str">
        <f t="shared" si="34"/>
        <v>2025강원대(춘천)</v>
      </c>
      <c r="B1113" s="26">
        <f>COUNTIFS($A$4:A1113,A1113)</f>
        <v>9</v>
      </c>
      <c r="C1113" s="26" t="str">
        <f t="shared" si="35"/>
        <v>2025강원대(춘천)9</v>
      </c>
      <c r="E1113" s="26" t="s">
        <v>425</v>
      </c>
      <c r="F1113" s="26" t="s">
        <v>17</v>
      </c>
      <c r="H1113" s="27" t="s">
        <v>426</v>
      </c>
      <c r="I1113" s="27">
        <v>2025</v>
      </c>
      <c r="J1113" s="27" t="s">
        <v>273</v>
      </c>
      <c r="K1113" s="27" t="s">
        <v>438</v>
      </c>
      <c r="L1113" s="27" t="s">
        <v>94</v>
      </c>
      <c r="M1113" s="27" t="s">
        <v>22</v>
      </c>
      <c r="N1113" s="40" t="s">
        <v>22</v>
      </c>
      <c r="O1113" s="27" t="s">
        <v>22</v>
      </c>
      <c r="P1113" s="27" t="s">
        <v>22</v>
      </c>
      <c r="Q1113" s="41"/>
      <c r="R1113" s="40"/>
    </row>
    <row r="1114" spans="1:18" ht="30" customHeight="1" x14ac:dyDescent="0.3">
      <c r="A1114" s="26" t="str">
        <f t="shared" si="34"/>
        <v>2025강원대(춘천)</v>
      </c>
      <c r="B1114" s="26">
        <f>COUNTIFS($A$4:A1114,A1114)</f>
        <v>10</v>
      </c>
      <c r="C1114" s="26" t="str">
        <f t="shared" si="35"/>
        <v>2025강원대(춘천)10</v>
      </c>
      <c r="E1114" s="26" t="s">
        <v>425</v>
      </c>
      <c r="F1114" s="26" t="s">
        <v>17</v>
      </c>
      <c r="H1114" s="27" t="s">
        <v>426</v>
      </c>
      <c r="I1114" s="27">
        <v>2025</v>
      </c>
      <c r="J1114" s="27" t="s">
        <v>273</v>
      </c>
      <c r="K1114" s="27" t="s">
        <v>438</v>
      </c>
      <c r="L1114" s="27" t="s">
        <v>95</v>
      </c>
      <c r="M1114" s="27" t="s">
        <v>22</v>
      </c>
      <c r="N1114" s="40" t="s">
        <v>22</v>
      </c>
      <c r="O1114" s="27" t="s">
        <v>22</v>
      </c>
      <c r="P1114" s="27" t="s">
        <v>22</v>
      </c>
      <c r="Q1114" s="41"/>
      <c r="R1114" s="40"/>
    </row>
    <row r="1115" spans="1:18" ht="30" customHeight="1" x14ac:dyDescent="0.3">
      <c r="A1115" s="26" t="str">
        <f t="shared" si="34"/>
        <v>2025강원대(춘천)</v>
      </c>
      <c r="B1115" s="26">
        <f>COUNTIFS($A$4:A1115,A1115)</f>
        <v>11</v>
      </c>
      <c r="C1115" s="26" t="str">
        <f t="shared" si="35"/>
        <v>2025강원대(춘천)11</v>
      </c>
      <c r="E1115" s="26" t="s">
        <v>425</v>
      </c>
      <c r="F1115" s="26" t="s">
        <v>277</v>
      </c>
      <c r="H1115" s="27" t="s">
        <v>426</v>
      </c>
      <c r="I1115" s="27">
        <v>2025</v>
      </c>
      <c r="J1115" s="27" t="s">
        <v>273</v>
      </c>
      <c r="K1115" s="27" t="s">
        <v>390</v>
      </c>
      <c r="L1115" s="27" t="s">
        <v>95</v>
      </c>
      <c r="M1115" s="27" t="s">
        <v>42</v>
      </c>
      <c r="N1115" s="29" t="s">
        <v>439</v>
      </c>
      <c r="O1115" s="27" t="s">
        <v>22</v>
      </c>
      <c r="P1115" s="27" t="s">
        <v>28</v>
      </c>
      <c r="Q1115" s="41"/>
      <c r="R1115" s="40"/>
    </row>
    <row r="1116" spans="1:18" ht="96" x14ac:dyDescent="0.3">
      <c r="A1116" s="26" t="str">
        <f t="shared" si="34"/>
        <v>2026강원대(춘천)</v>
      </c>
      <c r="B1116" s="26">
        <f>COUNTIFS($A$4:A1116,A1116)</f>
        <v>1</v>
      </c>
      <c r="C1116" s="26" t="str">
        <f t="shared" si="35"/>
        <v>2026강원대(춘천)1</v>
      </c>
      <c r="E1116" s="26" t="s">
        <v>425</v>
      </c>
      <c r="F1116" s="26" t="s">
        <v>17</v>
      </c>
      <c r="H1116" s="27" t="s">
        <v>426</v>
      </c>
      <c r="I1116" s="27">
        <v>2026</v>
      </c>
      <c r="J1116" s="27" t="s">
        <v>290</v>
      </c>
      <c r="K1116" s="27" t="s">
        <v>440</v>
      </c>
      <c r="L1116" s="27" t="s">
        <v>94</v>
      </c>
      <c r="M1116" s="27" t="s">
        <v>22</v>
      </c>
      <c r="N1116" s="29" t="s">
        <v>441</v>
      </c>
      <c r="O1116" s="27" t="s">
        <v>22</v>
      </c>
      <c r="P1116" s="27" t="s">
        <v>22</v>
      </c>
      <c r="Q1116" s="32" t="s">
        <v>442</v>
      </c>
      <c r="R1116" s="40"/>
    </row>
    <row r="1117" spans="1:18" ht="252" x14ac:dyDescent="0.3">
      <c r="A1117" s="26" t="str">
        <f t="shared" si="34"/>
        <v>2026강원대(춘천)</v>
      </c>
      <c r="B1117" s="26">
        <f>COUNTIFS($A$4:A1117,A1117)</f>
        <v>2</v>
      </c>
      <c r="C1117" s="26" t="str">
        <f t="shared" si="35"/>
        <v>2026강원대(춘천)2</v>
      </c>
      <c r="E1117" s="26" t="s">
        <v>425</v>
      </c>
      <c r="F1117" s="26" t="s">
        <v>17</v>
      </c>
      <c r="H1117" s="27" t="s">
        <v>426</v>
      </c>
      <c r="I1117" s="27">
        <v>2026</v>
      </c>
      <c r="J1117" s="27" t="s">
        <v>290</v>
      </c>
      <c r="K1117" s="27" t="s">
        <v>440</v>
      </c>
      <c r="L1117" s="27" t="s">
        <v>95</v>
      </c>
      <c r="M1117" s="27" t="s">
        <v>22</v>
      </c>
      <c r="N1117" s="29" t="s">
        <v>443</v>
      </c>
      <c r="O1117" s="27" t="s">
        <v>22</v>
      </c>
      <c r="P1117" s="28" t="s">
        <v>429</v>
      </c>
      <c r="Q1117" s="30" t="s">
        <v>444</v>
      </c>
      <c r="R1117" s="31" t="s">
        <v>445</v>
      </c>
    </row>
    <row r="1118" spans="1:18" ht="60" x14ac:dyDescent="0.3">
      <c r="A1118" s="26" t="str">
        <f t="shared" si="34"/>
        <v>2026강원대(춘천)</v>
      </c>
      <c r="B1118" s="26">
        <f>COUNTIFS($A$4:A1118,A1118)</f>
        <v>3</v>
      </c>
      <c r="C1118" s="26" t="str">
        <f t="shared" si="35"/>
        <v>2026강원대(춘천)3</v>
      </c>
      <c r="E1118" s="26" t="s">
        <v>425</v>
      </c>
      <c r="F1118" s="26" t="s">
        <v>17</v>
      </c>
      <c r="H1118" s="27" t="s">
        <v>426</v>
      </c>
      <c r="I1118" s="27">
        <v>2026</v>
      </c>
      <c r="J1118" s="27" t="s">
        <v>290</v>
      </c>
      <c r="K1118" s="27" t="s">
        <v>440</v>
      </c>
      <c r="L1118" s="27" t="s">
        <v>95</v>
      </c>
      <c r="M1118" s="27" t="s">
        <v>42</v>
      </c>
      <c r="N1118" s="29" t="s">
        <v>431</v>
      </c>
      <c r="O1118" s="27" t="s">
        <v>22</v>
      </c>
      <c r="P1118" s="27" t="s">
        <v>28</v>
      </c>
      <c r="Q1118" s="41"/>
      <c r="R1118" s="40"/>
    </row>
    <row r="1119" spans="1:18" ht="96" x14ac:dyDescent="0.3">
      <c r="A1119" s="26" t="str">
        <f t="shared" si="34"/>
        <v>2026강원대(춘천)</v>
      </c>
      <c r="B1119" s="26">
        <f>COUNTIFS($A$4:A1119,A1119)</f>
        <v>4</v>
      </c>
      <c r="C1119" s="26" t="str">
        <f t="shared" si="35"/>
        <v>2026강원대(춘천)4</v>
      </c>
      <c r="E1119" s="26" t="s">
        <v>425</v>
      </c>
      <c r="F1119" s="26" t="s">
        <v>277</v>
      </c>
      <c r="H1119" s="27" t="s">
        <v>426</v>
      </c>
      <c r="I1119" s="27">
        <v>2026</v>
      </c>
      <c r="J1119" s="27" t="s">
        <v>290</v>
      </c>
      <c r="K1119" s="27" t="s">
        <v>446</v>
      </c>
      <c r="L1119" s="27" t="s">
        <v>94</v>
      </c>
      <c r="M1119" s="27" t="s">
        <v>22</v>
      </c>
      <c r="N1119" s="29" t="s">
        <v>447</v>
      </c>
      <c r="O1119" s="27" t="s">
        <v>22</v>
      </c>
      <c r="P1119" s="27" t="s">
        <v>22</v>
      </c>
      <c r="Q1119" s="32" t="s">
        <v>442</v>
      </c>
      <c r="R1119" s="40"/>
    </row>
    <row r="1120" spans="1:18" ht="252" x14ac:dyDescent="0.3">
      <c r="A1120" s="26" t="str">
        <f t="shared" si="34"/>
        <v>2026강원대(춘천)</v>
      </c>
      <c r="B1120" s="26">
        <f>COUNTIFS($A$4:A1120,A1120)</f>
        <v>5</v>
      </c>
      <c r="C1120" s="26" t="str">
        <f t="shared" si="35"/>
        <v>2026강원대(춘천)5</v>
      </c>
      <c r="E1120" s="26" t="s">
        <v>425</v>
      </c>
      <c r="F1120" s="26" t="s">
        <v>277</v>
      </c>
      <c r="H1120" s="27" t="s">
        <v>426</v>
      </c>
      <c r="I1120" s="27">
        <v>2026</v>
      </c>
      <c r="J1120" s="27" t="s">
        <v>290</v>
      </c>
      <c r="K1120" s="27" t="s">
        <v>446</v>
      </c>
      <c r="L1120" s="27" t="s">
        <v>95</v>
      </c>
      <c r="M1120" s="27" t="s">
        <v>22</v>
      </c>
      <c r="N1120" s="29" t="s">
        <v>448</v>
      </c>
      <c r="O1120" s="27" t="s">
        <v>22</v>
      </c>
      <c r="P1120" s="28" t="s">
        <v>429</v>
      </c>
      <c r="Q1120" s="30" t="s">
        <v>444</v>
      </c>
      <c r="R1120" s="31" t="s">
        <v>445</v>
      </c>
    </row>
    <row r="1121" spans="1:18" ht="60" x14ac:dyDescent="0.3">
      <c r="A1121" s="26" t="str">
        <f t="shared" si="34"/>
        <v>2026강원대(춘천)</v>
      </c>
      <c r="B1121" s="26">
        <f>COUNTIFS($A$4:A1121,A1121)</f>
        <v>6</v>
      </c>
      <c r="C1121" s="26" t="str">
        <f t="shared" si="35"/>
        <v>2026강원대(춘천)6</v>
      </c>
      <c r="E1121" s="26" t="s">
        <v>425</v>
      </c>
      <c r="F1121" s="26" t="s">
        <v>277</v>
      </c>
      <c r="H1121" s="27" t="s">
        <v>426</v>
      </c>
      <c r="I1121" s="27">
        <v>2026</v>
      </c>
      <c r="J1121" s="27" t="s">
        <v>290</v>
      </c>
      <c r="K1121" s="27" t="s">
        <v>446</v>
      </c>
      <c r="L1121" s="27" t="s">
        <v>95</v>
      </c>
      <c r="M1121" s="27" t="s">
        <v>42</v>
      </c>
      <c r="N1121" s="29" t="s">
        <v>434</v>
      </c>
      <c r="O1121" s="27" t="s">
        <v>22</v>
      </c>
      <c r="P1121" s="27" t="s">
        <v>28</v>
      </c>
      <c r="Q1121" s="41"/>
      <c r="R1121" s="31"/>
    </row>
    <row r="1122" spans="1:18" ht="30" customHeight="1" x14ac:dyDescent="0.3">
      <c r="A1122" s="26" t="str">
        <f t="shared" si="34"/>
        <v>2026강원대(춘천)</v>
      </c>
      <c r="B1122" s="26">
        <f>COUNTIFS($A$4:A1122,A1122)</f>
        <v>7</v>
      </c>
      <c r="C1122" s="26" t="str">
        <f t="shared" si="35"/>
        <v>2026강원대(춘천)7</v>
      </c>
      <c r="E1122" s="26" t="s">
        <v>425</v>
      </c>
      <c r="F1122" s="26" t="s">
        <v>17</v>
      </c>
      <c r="H1122" s="27" t="s">
        <v>426</v>
      </c>
      <c r="I1122" s="27">
        <v>2026</v>
      </c>
      <c r="J1122" s="27" t="s">
        <v>273</v>
      </c>
      <c r="K1122" s="27" t="s">
        <v>194</v>
      </c>
      <c r="L1122" s="27" t="s">
        <v>94</v>
      </c>
      <c r="M1122" s="27" t="s">
        <v>22</v>
      </c>
      <c r="N1122" s="40" t="s">
        <v>22</v>
      </c>
      <c r="O1122" s="27"/>
      <c r="P1122" s="27"/>
      <c r="Q1122" s="41"/>
      <c r="R1122" s="40"/>
    </row>
    <row r="1123" spans="1:18" ht="60" x14ac:dyDescent="0.3">
      <c r="A1123" s="26" t="str">
        <f t="shared" si="34"/>
        <v>2026강원대(춘천)</v>
      </c>
      <c r="B1123" s="26">
        <f>COUNTIFS($A$4:A1123,A1123)</f>
        <v>8</v>
      </c>
      <c r="C1123" s="26" t="str">
        <f t="shared" si="35"/>
        <v>2026강원대(춘천)8</v>
      </c>
      <c r="E1123" s="26" t="s">
        <v>425</v>
      </c>
      <c r="F1123" s="26" t="s">
        <v>17</v>
      </c>
      <c r="H1123" s="27" t="s">
        <v>426</v>
      </c>
      <c r="I1123" s="27">
        <v>2026</v>
      </c>
      <c r="J1123" s="27" t="s">
        <v>273</v>
      </c>
      <c r="K1123" s="27" t="s">
        <v>194</v>
      </c>
      <c r="L1123" s="27" t="s">
        <v>95</v>
      </c>
      <c r="M1123" s="27" t="s">
        <v>22</v>
      </c>
      <c r="N1123" s="29" t="s">
        <v>436</v>
      </c>
      <c r="O1123" s="27" t="s">
        <v>22</v>
      </c>
      <c r="P1123" s="27" t="s">
        <v>22</v>
      </c>
      <c r="Q1123" s="41"/>
      <c r="R1123" s="40"/>
    </row>
    <row r="1124" spans="1:18" ht="30" customHeight="1" x14ac:dyDescent="0.3">
      <c r="A1124" s="26" t="str">
        <f t="shared" si="34"/>
        <v>2026강원대(춘천)</v>
      </c>
      <c r="B1124" s="26">
        <f>COUNTIFS($A$4:A1124,A1124)</f>
        <v>9</v>
      </c>
      <c r="C1124" s="26" t="str">
        <f t="shared" si="35"/>
        <v>2026강원대(춘천)9</v>
      </c>
      <c r="E1124" s="26" t="s">
        <v>425</v>
      </c>
      <c r="F1124" s="26" t="s">
        <v>17</v>
      </c>
      <c r="H1124" s="27" t="s">
        <v>426</v>
      </c>
      <c r="I1124" s="27">
        <v>2026</v>
      </c>
      <c r="J1124" s="27" t="s">
        <v>273</v>
      </c>
      <c r="K1124" s="27" t="s">
        <v>194</v>
      </c>
      <c r="L1124" s="27" t="s">
        <v>95</v>
      </c>
      <c r="M1124" s="27" t="s">
        <v>42</v>
      </c>
      <c r="N1124" s="29" t="s">
        <v>437</v>
      </c>
      <c r="O1124" s="27" t="s">
        <v>22</v>
      </c>
      <c r="P1124" s="27" t="s">
        <v>28</v>
      </c>
      <c r="Q1124" s="41"/>
      <c r="R1124" s="40"/>
    </row>
    <row r="1125" spans="1:18" ht="30" customHeight="1" x14ac:dyDescent="0.3">
      <c r="A1125" s="26" t="str">
        <f t="shared" si="34"/>
        <v>2026강원대(춘천)</v>
      </c>
      <c r="B1125" s="26">
        <f>COUNTIFS($A$4:A1125,A1125)</f>
        <v>10</v>
      </c>
      <c r="C1125" s="26" t="str">
        <f t="shared" si="35"/>
        <v>2026강원대(춘천)10</v>
      </c>
      <c r="E1125" s="26" t="s">
        <v>425</v>
      </c>
      <c r="F1125" s="26" t="s">
        <v>17</v>
      </c>
      <c r="H1125" s="27" t="s">
        <v>426</v>
      </c>
      <c r="I1125" s="27">
        <v>2026</v>
      </c>
      <c r="J1125" s="27" t="s">
        <v>273</v>
      </c>
      <c r="K1125" s="27" t="s">
        <v>198</v>
      </c>
      <c r="L1125" s="27" t="s">
        <v>94</v>
      </c>
      <c r="M1125" s="27" t="s">
        <v>22</v>
      </c>
      <c r="N1125" s="40" t="s">
        <v>22</v>
      </c>
      <c r="O1125" s="27" t="s">
        <v>22</v>
      </c>
      <c r="P1125" s="27" t="s">
        <v>22</v>
      </c>
      <c r="Q1125" s="41"/>
      <c r="R1125" s="40"/>
    </row>
    <row r="1126" spans="1:18" ht="30" customHeight="1" x14ac:dyDescent="0.3">
      <c r="A1126" s="26" t="str">
        <f t="shared" si="34"/>
        <v>2026강원대(춘천)</v>
      </c>
      <c r="B1126" s="26">
        <f>COUNTIFS($A$4:A1126,A1126)</f>
        <v>11</v>
      </c>
      <c r="C1126" s="26" t="str">
        <f t="shared" si="35"/>
        <v>2026강원대(춘천)11</v>
      </c>
      <c r="E1126" s="26" t="s">
        <v>425</v>
      </c>
      <c r="F1126" s="26" t="s">
        <v>17</v>
      </c>
      <c r="H1126" s="27" t="s">
        <v>426</v>
      </c>
      <c r="I1126" s="27">
        <v>2026</v>
      </c>
      <c r="J1126" s="27" t="s">
        <v>273</v>
      </c>
      <c r="K1126" s="27" t="s">
        <v>198</v>
      </c>
      <c r="L1126" s="27" t="s">
        <v>95</v>
      </c>
      <c r="M1126" s="27" t="s">
        <v>22</v>
      </c>
      <c r="N1126" s="40" t="s">
        <v>22</v>
      </c>
      <c r="O1126" s="27" t="s">
        <v>22</v>
      </c>
      <c r="P1126" s="27" t="s">
        <v>22</v>
      </c>
      <c r="Q1126" s="41"/>
      <c r="R1126" s="40"/>
    </row>
    <row r="1127" spans="1:18" ht="30" customHeight="1" x14ac:dyDescent="0.3">
      <c r="A1127" s="26" t="str">
        <f t="shared" si="34"/>
        <v>2026강원대(춘천)</v>
      </c>
      <c r="B1127" s="26">
        <f>COUNTIFS($A$4:A1127,A1127)</f>
        <v>12</v>
      </c>
      <c r="C1127" s="26" t="str">
        <f t="shared" si="35"/>
        <v>2026강원대(춘천)12</v>
      </c>
      <c r="E1127" s="26" t="s">
        <v>425</v>
      </c>
      <c r="F1127" s="26" t="s">
        <v>277</v>
      </c>
      <c r="H1127" s="27" t="s">
        <v>426</v>
      </c>
      <c r="I1127" s="27">
        <v>2026</v>
      </c>
      <c r="J1127" s="27" t="s">
        <v>273</v>
      </c>
      <c r="K1127" s="27" t="s">
        <v>390</v>
      </c>
      <c r="L1127" s="27" t="s">
        <v>95</v>
      </c>
      <c r="M1127" s="27" t="s">
        <v>42</v>
      </c>
      <c r="N1127" s="29" t="s">
        <v>439</v>
      </c>
      <c r="O1127" s="27" t="s">
        <v>22</v>
      </c>
      <c r="P1127" s="27" t="s">
        <v>28</v>
      </c>
      <c r="Q1127" s="41"/>
      <c r="R1127" s="40"/>
    </row>
    <row r="1128" spans="1:18" ht="30" customHeight="1" x14ac:dyDescent="0.3">
      <c r="A1128" s="26" t="str">
        <f t="shared" si="34"/>
        <v>2026강원대(춘천)</v>
      </c>
      <c r="B1128" s="26">
        <f>COUNTIFS($A$4:A1128,A1128)</f>
        <v>13</v>
      </c>
      <c r="C1128" s="26" t="str">
        <f t="shared" si="35"/>
        <v>2026강원대(춘천)13</v>
      </c>
      <c r="E1128" s="26" t="s">
        <v>425</v>
      </c>
      <c r="F1128" s="26" t="s">
        <v>17</v>
      </c>
      <c r="H1128" s="27" t="s">
        <v>426</v>
      </c>
      <c r="I1128" s="27">
        <v>2026</v>
      </c>
      <c r="J1128" s="27" t="s">
        <v>273</v>
      </c>
      <c r="K1128" s="27" t="s">
        <v>449</v>
      </c>
      <c r="L1128" s="27" t="s">
        <v>95</v>
      </c>
      <c r="M1128" s="27" t="s">
        <v>22</v>
      </c>
      <c r="N1128" s="40" t="s">
        <v>22</v>
      </c>
      <c r="O1128" s="27" t="s">
        <v>22</v>
      </c>
      <c r="P1128" s="27" t="s">
        <v>22</v>
      </c>
      <c r="Q1128" s="32" t="s">
        <v>199</v>
      </c>
      <c r="R1128" s="40"/>
    </row>
    <row r="1129" spans="1:18" ht="96" x14ac:dyDescent="0.3">
      <c r="A1129" s="26" t="str">
        <f t="shared" si="34"/>
        <v>2027강원대(춘천)</v>
      </c>
      <c r="B1129" s="26">
        <f>COUNTIFS($A$4:A1129,A1129)</f>
        <v>1</v>
      </c>
      <c r="C1129" s="26" t="str">
        <f t="shared" si="35"/>
        <v>2027강원대(춘천)1</v>
      </c>
      <c r="E1129" s="26" t="s">
        <v>425</v>
      </c>
      <c r="F1129" s="26" t="s">
        <v>17</v>
      </c>
      <c r="H1129" s="27" t="s">
        <v>426</v>
      </c>
      <c r="I1129" s="27">
        <v>2027</v>
      </c>
      <c r="J1129" s="27" t="s">
        <v>290</v>
      </c>
      <c r="K1129" s="27" t="s">
        <v>440</v>
      </c>
      <c r="L1129" s="27" t="s">
        <v>94</v>
      </c>
      <c r="M1129" s="27" t="s">
        <v>22</v>
      </c>
      <c r="N1129" s="29" t="s">
        <v>441</v>
      </c>
      <c r="O1129" s="27" t="s">
        <v>22</v>
      </c>
      <c r="P1129" s="27" t="s">
        <v>22</v>
      </c>
      <c r="Q1129" s="32" t="s">
        <v>442</v>
      </c>
      <c r="R1129" s="40"/>
    </row>
    <row r="1130" spans="1:18" ht="252" x14ac:dyDescent="0.3">
      <c r="A1130" s="26" t="str">
        <f t="shared" si="34"/>
        <v>2027강원대(춘천)</v>
      </c>
      <c r="B1130" s="26">
        <f>COUNTIFS($A$4:A1130,A1130)</f>
        <v>2</v>
      </c>
      <c r="C1130" s="26" t="str">
        <f t="shared" si="35"/>
        <v>2027강원대(춘천)2</v>
      </c>
      <c r="E1130" s="26" t="s">
        <v>425</v>
      </c>
      <c r="F1130" s="26" t="s">
        <v>17</v>
      </c>
      <c r="H1130" s="27" t="s">
        <v>426</v>
      </c>
      <c r="I1130" s="27">
        <v>2027</v>
      </c>
      <c r="J1130" s="27" t="s">
        <v>290</v>
      </c>
      <c r="K1130" s="27" t="s">
        <v>440</v>
      </c>
      <c r="L1130" s="27" t="s">
        <v>95</v>
      </c>
      <c r="M1130" s="27" t="s">
        <v>22</v>
      </c>
      <c r="N1130" s="29" t="s">
        <v>443</v>
      </c>
      <c r="O1130" s="27" t="s">
        <v>22</v>
      </c>
      <c r="P1130" s="28" t="s">
        <v>429</v>
      </c>
      <c r="Q1130" s="30" t="s">
        <v>444</v>
      </c>
      <c r="R1130" s="31" t="s">
        <v>445</v>
      </c>
    </row>
    <row r="1131" spans="1:18" ht="60" x14ac:dyDescent="0.3">
      <c r="A1131" s="26" t="str">
        <f t="shared" si="34"/>
        <v>2027강원대(춘천)</v>
      </c>
      <c r="B1131" s="26">
        <f>COUNTIFS($A$4:A1131,A1131)</f>
        <v>3</v>
      </c>
      <c r="C1131" s="26" t="str">
        <f t="shared" si="35"/>
        <v>2027강원대(춘천)3</v>
      </c>
      <c r="E1131" s="26" t="s">
        <v>425</v>
      </c>
      <c r="F1131" s="26" t="s">
        <v>17</v>
      </c>
      <c r="H1131" s="27" t="s">
        <v>426</v>
      </c>
      <c r="I1131" s="27">
        <v>2027</v>
      </c>
      <c r="J1131" s="27" t="s">
        <v>290</v>
      </c>
      <c r="K1131" s="27" t="s">
        <v>440</v>
      </c>
      <c r="L1131" s="27" t="s">
        <v>95</v>
      </c>
      <c r="M1131" s="27" t="s">
        <v>42</v>
      </c>
      <c r="N1131" s="29" t="s">
        <v>431</v>
      </c>
      <c r="O1131" s="27" t="s">
        <v>22</v>
      </c>
      <c r="P1131" s="27" t="s">
        <v>28</v>
      </c>
      <c r="Q1131" s="41"/>
      <c r="R1131" s="40"/>
    </row>
    <row r="1132" spans="1:18" ht="96" x14ac:dyDescent="0.3">
      <c r="A1132" s="26" t="str">
        <f t="shared" si="34"/>
        <v>2027강원대(춘천)</v>
      </c>
      <c r="B1132" s="26">
        <f>COUNTIFS($A$4:A1132,A1132)</f>
        <v>4</v>
      </c>
      <c r="C1132" s="26" t="str">
        <f t="shared" si="35"/>
        <v>2027강원대(춘천)4</v>
      </c>
      <c r="E1132" s="26" t="s">
        <v>425</v>
      </c>
      <c r="F1132" s="26" t="s">
        <v>277</v>
      </c>
      <c r="H1132" s="27" t="s">
        <v>426</v>
      </c>
      <c r="I1132" s="27">
        <v>2027</v>
      </c>
      <c r="J1132" s="27" t="s">
        <v>290</v>
      </c>
      <c r="K1132" s="27" t="s">
        <v>446</v>
      </c>
      <c r="L1132" s="27" t="s">
        <v>94</v>
      </c>
      <c r="M1132" s="27" t="s">
        <v>22</v>
      </c>
      <c r="N1132" s="29" t="s">
        <v>447</v>
      </c>
      <c r="O1132" s="27" t="s">
        <v>22</v>
      </c>
      <c r="P1132" s="27" t="s">
        <v>22</v>
      </c>
      <c r="Q1132" s="32" t="s">
        <v>442</v>
      </c>
      <c r="R1132" s="40"/>
    </row>
    <row r="1133" spans="1:18" ht="252" x14ac:dyDescent="0.3">
      <c r="A1133" s="26" t="str">
        <f t="shared" si="34"/>
        <v>2027강원대(춘천)</v>
      </c>
      <c r="B1133" s="26">
        <f>COUNTIFS($A$4:A1133,A1133)</f>
        <v>5</v>
      </c>
      <c r="C1133" s="26" t="str">
        <f t="shared" si="35"/>
        <v>2027강원대(춘천)5</v>
      </c>
      <c r="E1133" s="26" t="s">
        <v>425</v>
      </c>
      <c r="F1133" s="26" t="s">
        <v>277</v>
      </c>
      <c r="H1133" s="27" t="s">
        <v>426</v>
      </c>
      <c r="I1133" s="27">
        <v>2027</v>
      </c>
      <c r="J1133" s="27" t="s">
        <v>290</v>
      </c>
      <c r="K1133" s="27" t="s">
        <v>446</v>
      </c>
      <c r="L1133" s="27" t="s">
        <v>95</v>
      </c>
      <c r="M1133" s="27" t="s">
        <v>22</v>
      </c>
      <c r="N1133" s="29" t="s">
        <v>448</v>
      </c>
      <c r="O1133" s="27" t="s">
        <v>22</v>
      </c>
      <c r="P1133" s="28" t="s">
        <v>429</v>
      </c>
      <c r="Q1133" s="30" t="s">
        <v>444</v>
      </c>
      <c r="R1133" s="31" t="s">
        <v>445</v>
      </c>
    </row>
    <row r="1134" spans="1:18" ht="60" x14ac:dyDescent="0.3">
      <c r="A1134" s="26" t="str">
        <f t="shared" si="34"/>
        <v>2027강원대(춘천)</v>
      </c>
      <c r="B1134" s="26">
        <f>COUNTIFS($A$4:A1134,A1134)</f>
        <v>6</v>
      </c>
      <c r="C1134" s="26" t="str">
        <f t="shared" si="35"/>
        <v>2027강원대(춘천)6</v>
      </c>
      <c r="E1134" s="26" t="s">
        <v>425</v>
      </c>
      <c r="F1134" s="26" t="s">
        <v>277</v>
      </c>
      <c r="H1134" s="27" t="s">
        <v>426</v>
      </c>
      <c r="I1134" s="27">
        <v>2027</v>
      </c>
      <c r="J1134" s="27" t="s">
        <v>290</v>
      </c>
      <c r="K1134" s="27" t="s">
        <v>446</v>
      </c>
      <c r="L1134" s="27" t="s">
        <v>95</v>
      </c>
      <c r="M1134" s="27" t="s">
        <v>42</v>
      </c>
      <c r="N1134" s="29" t="s">
        <v>434</v>
      </c>
      <c r="O1134" s="27" t="s">
        <v>22</v>
      </c>
      <c r="P1134" s="27" t="s">
        <v>28</v>
      </c>
      <c r="Q1134" s="41"/>
      <c r="R1134" s="31"/>
    </row>
    <row r="1135" spans="1:18" ht="30" customHeight="1" x14ac:dyDescent="0.3">
      <c r="A1135" s="26" t="str">
        <f t="shared" si="34"/>
        <v>2027강원대(춘천)</v>
      </c>
      <c r="B1135" s="26">
        <f>COUNTIFS($A$4:A1135,A1135)</f>
        <v>7</v>
      </c>
      <c r="C1135" s="26" t="str">
        <f t="shared" si="35"/>
        <v>2027강원대(춘천)7</v>
      </c>
      <c r="E1135" s="26" t="s">
        <v>425</v>
      </c>
      <c r="F1135" s="26" t="s">
        <v>17</v>
      </c>
      <c r="H1135" s="27" t="s">
        <v>426</v>
      </c>
      <c r="I1135" s="27">
        <v>2027</v>
      </c>
      <c r="J1135" s="27" t="s">
        <v>273</v>
      </c>
      <c r="K1135" s="27" t="s">
        <v>194</v>
      </c>
      <c r="L1135" s="27" t="s">
        <v>94</v>
      </c>
      <c r="M1135" s="27" t="s">
        <v>22</v>
      </c>
      <c r="N1135" s="40" t="s">
        <v>22</v>
      </c>
      <c r="O1135" s="27"/>
      <c r="P1135" s="27"/>
      <c r="Q1135" s="41"/>
      <c r="R1135" s="40"/>
    </row>
    <row r="1136" spans="1:18" ht="60" x14ac:dyDescent="0.3">
      <c r="A1136" s="26" t="str">
        <f t="shared" si="34"/>
        <v>2027강원대(춘천)</v>
      </c>
      <c r="B1136" s="26">
        <f>COUNTIFS($A$4:A1136,A1136)</f>
        <v>8</v>
      </c>
      <c r="C1136" s="26" t="str">
        <f t="shared" si="35"/>
        <v>2027강원대(춘천)8</v>
      </c>
      <c r="E1136" s="26" t="s">
        <v>425</v>
      </c>
      <c r="F1136" s="26" t="s">
        <v>17</v>
      </c>
      <c r="H1136" s="27" t="s">
        <v>426</v>
      </c>
      <c r="I1136" s="27">
        <v>2027</v>
      </c>
      <c r="J1136" s="27" t="s">
        <v>273</v>
      </c>
      <c r="K1136" s="27" t="s">
        <v>194</v>
      </c>
      <c r="L1136" s="27" t="s">
        <v>95</v>
      </c>
      <c r="M1136" s="27" t="s">
        <v>22</v>
      </c>
      <c r="N1136" s="29" t="s">
        <v>436</v>
      </c>
      <c r="O1136" s="27" t="s">
        <v>22</v>
      </c>
      <c r="P1136" s="27" t="s">
        <v>22</v>
      </c>
      <c r="Q1136" s="41"/>
      <c r="R1136" s="40"/>
    </row>
    <row r="1137" spans="1:18" ht="30" customHeight="1" x14ac:dyDescent="0.3">
      <c r="A1137" s="26" t="str">
        <f t="shared" si="34"/>
        <v>2027강원대(춘천)</v>
      </c>
      <c r="B1137" s="26">
        <f>COUNTIFS($A$4:A1137,A1137)</f>
        <v>9</v>
      </c>
      <c r="C1137" s="26" t="str">
        <f t="shared" si="35"/>
        <v>2027강원대(춘천)9</v>
      </c>
      <c r="E1137" s="26" t="s">
        <v>425</v>
      </c>
      <c r="F1137" s="26" t="s">
        <v>17</v>
      </c>
      <c r="H1137" s="27" t="s">
        <v>426</v>
      </c>
      <c r="I1137" s="27">
        <v>2027</v>
      </c>
      <c r="J1137" s="27" t="s">
        <v>273</v>
      </c>
      <c r="K1137" s="27" t="s">
        <v>194</v>
      </c>
      <c r="L1137" s="27" t="s">
        <v>95</v>
      </c>
      <c r="M1137" s="27" t="s">
        <v>42</v>
      </c>
      <c r="N1137" s="29" t="s">
        <v>437</v>
      </c>
      <c r="O1137" s="27" t="s">
        <v>22</v>
      </c>
      <c r="P1137" s="27" t="s">
        <v>28</v>
      </c>
      <c r="Q1137" s="41"/>
      <c r="R1137" s="40"/>
    </row>
    <row r="1138" spans="1:18" ht="30" customHeight="1" x14ac:dyDescent="0.3">
      <c r="A1138" s="26" t="str">
        <f t="shared" si="34"/>
        <v>2027강원대(춘천)</v>
      </c>
      <c r="B1138" s="26">
        <f>COUNTIFS($A$4:A1138,A1138)</f>
        <v>10</v>
      </c>
      <c r="C1138" s="26" t="str">
        <f t="shared" si="35"/>
        <v>2027강원대(춘천)10</v>
      </c>
      <c r="E1138" s="26" t="s">
        <v>425</v>
      </c>
      <c r="F1138" s="26" t="s">
        <v>17</v>
      </c>
      <c r="H1138" s="27" t="s">
        <v>426</v>
      </c>
      <c r="I1138" s="27">
        <v>2027</v>
      </c>
      <c r="J1138" s="27" t="s">
        <v>273</v>
      </c>
      <c r="K1138" s="27" t="s">
        <v>198</v>
      </c>
      <c r="L1138" s="27" t="s">
        <v>94</v>
      </c>
      <c r="M1138" s="27" t="s">
        <v>22</v>
      </c>
      <c r="N1138" s="40" t="s">
        <v>22</v>
      </c>
      <c r="O1138" s="27" t="s">
        <v>22</v>
      </c>
      <c r="P1138" s="27" t="s">
        <v>22</v>
      </c>
      <c r="Q1138" s="41"/>
      <c r="R1138" s="40"/>
    </row>
    <row r="1139" spans="1:18" ht="30" customHeight="1" x14ac:dyDescent="0.3">
      <c r="A1139" s="26" t="str">
        <f t="shared" si="34"/>
        <v>2027강원대(춘천)</v>
      </c>
      <c r="B1139" s="26">
        <f>COUNTIFS($A$4:A1139,A1139)</f>
        <v>11</v>
      </c>
      <c r="C1139" s="26" t="str">
        <f t="shared" si="35"/>
        <v>2027강원대(춘천)11</v>
      </c>
      <c r="E1139" s="26" t="s">
        <v>425</v>
      </c>
      <c r="F1139" s="26" t="s">
        <v>17</v>
      </c>
      <c r="H1139" s="27" t="s">
        <v>426</v>
      </c>
      <c r="I1139" s="27">
        <v>2027</v>
      </c>
      <c r="J1139" s="27" t="s">
        <v>273</v>
      </c>
      <c r="K1139" s="27" t="s">
        <v>198</v>
      </c>
      <c r="L1139" s="27" t="s">
        <v>95</v>
      </c>
      <c r="M1139" s="27" t="s">
        <v>22</v>
      </c>
      <c r="N1139" s="40" t="s">
        <v>22</v>
      </c>
      <c r="O1139" s="27" t="s">
        <v>22</v>
      </c>
      <c r="P1139" s="27" t="s">
        <v>22</v>
      </c>
      <c r="Q1139" s="41"/>
      <c r="R1139" s="40"/>
    </row>
    <row r="1140" spans="1:18" ht="30" customHeight="1" x14ac:dyDescent="0.3">
      <c r="A1140" s="26" t="str">
        <f t="shared" si="34"/>
        <v>2027강원대(춘천)</v>
      </c>
      <c r="B1140" s="26">
        <f>COUNTIFS($A$4:A1140,A1140)</f>
        <v>12</v>
      </c>
      <c r="C1140" s="26" t="str">
        <f t="shared" si="35"/>
        <v>2027강원대(춘천)12</v>
      </c>
      <c r="E1140" s="26" t="s">
        <v>425</v>
      </c>
      <c r="F1140" s="26" t="s">
        <v>277</v>
      </c>
      <c r="H1140" s="27" t="s">
        <v>426</v>
      </c>
      <c r="I1140" s="27">
        <v>2027</v>
      </c>
      <c r="J1140" s="27" t="s">
        <v>273</v>
      </c>
      <c r="K1140" s="27" t="s">
        <v>390</v>
      </c>
      <c r="L1140" s="27" t="s">
        <v>95</v>
      </c>
      <c r="M1140" s="27" t="s">
        <v>42</v>
      </c>
      <c r="N1140" s="29" t="s">
        <v>439</v>
      </c>
      <c r="O1140" s="27" t="s">
        <v>22</v>
      </c>
      <c r="P1140" s="27" t="s">
        <v>28</v>
      </c>
      <c r="Q1140" s="41"/>
      <c r="R1140" s="40"/>
    </row>
    <row r="1141" spans="1:18" ht="30" customHeight="1" x14ac:dyDescent="0.3">
      <c r="A1141" s="26" t="str">
        <f t="shared" si="34"/>
        <v>2027강원대(춘천)</v>
      </c>
      <c r="B1141" s="26">
        <f>COUNTIFS($A$4:A1141,A1141)</f>
        <v>13</v>
      </c>
      <c r="C1141" s="26" t="str">
        <f t="shared" si="35"/>
        <v>2027강원대(춘천)13</v>
      </c>
      <c r="E1141" s="26" t="s">
        <v>425</v>
      </c>
      <c r="F1141" s="26" t="s">
        <v>17</v>
      </c>
      <c r="H1141" s="27" t="s">
        <v>426</v>
      </c>
      <c r="I1141" s="27">
        <v>2027</v>
      </c>
      <c r="J1141" s="27" t="s">
        <v>273</v>
      </c>
      <c r="K1141" s="27" t="s">
        <v>449</v>
      </c>
      <c r="L1141" s="27" t="s">
        <v>95</v>
      </c>
      <c r="M1141" s="27" t="s">
        <v>22</v>
      </c>
      <c r="N1141" s="40" t="s">
        <v>22</v>
      </c>
      <c r="O1141" s="27" t="s">
        <v>22</v>
      </c>
      <c r="P1141" s="27" t="s">
        <v>22</v>
      </c>
      <c r="Q1141" s="32"/>
      <c r="R1141" s="40"/>
    </row>
    <row r="1142" spans="1:18" ht="96" x14ac:dyDescent="0.3">
      <c r="A1142" s="26" t="str">
        <f t="shared" si="34"/>
        <v>2025경북대</v>
      </c>
      <c r="B1142" s="26">
        <f>COUNTIFS($A$4:A1142,A1142)</f>
        <v>1</v>
      </c>
      <c r="C1142" s="26" t="str">
        <f t="shared" si="35"/>
        <v>2025경북대1</v>
      </c>
      <c r="E1142" s="26" t="s">
        <v>425</v>
      </c>
      <c r="F1142" s="26" t="s">
        <v>17</v>
      </c>
      <c r="H1142" s="27" t="s">
        <v>450</v>
      </c>
      <c r="I1142" s="27">
        <v>2025</v>
      </c>
      <c r="J1142" s="27" t="s">
        <v>290</v>
      </c>
      <c r="K1142" s="27" t="s">
        <v>451</v>
      </c>
      <c r="L1142" s="27" t="s">
        <v>94</v>
      </c>
      <c r="M1142" s="27" t="s">
        <v>22</v>
      </c>
      <c r="N1142" s="29" t="s">
        <v>452</v>
      </c>
      <c r="O1142" s="27" t="s">
        <v>22</v>
      </c>
      <c r="P1142" s="27" t="s">
        <v>22</v>
      </c>
      <c r="Q1142" s="41"/>
      <c r="R1142" s="40"/>
    </row>
    <row r="1143" spans="1:18" ht="360" x14ac:dyDescent="0.3">
      <c r="A1143" s="26" t="str">
        <f t="shared" si="34"/>
        <v>2025경북대</v>
      </c>
      <c r="B1143" s="26">
        <f>COUNTIFS($A$4:A1143,A1143)</f>
        <v>2</v>
      </c>
      <c r="C1143" s="26" t="str">
        <f t="shared" si="35"/>
        <v>2025경북대2</v>
      </c>
      <c r="E1143" s="26" t="s">
        <v>425</v>
      </c>
      <c r="F1143" s="26" t="s">
        <v>17</v>
      </c>
      <c r="H1143" s="27" t="s">
        <v>450</v>
      </c>
      <c r="I1143" s="27">
        <v>2025</v>
      </c>
      <c r="J1143" s="27" t="s">
        <v>290</v>
      </c>
      <c r="K1143" s="27" t="s">
        <v>451</v>
      </c>
      <c r="L1143" s="27" t="s">
        <v>95</v>
      </c>
      <c r="M1143" s="27" t="s">
        <v>22</v>
      </c>
      <c r="N1143" s="29" t="s">
        <v>453</v>
      </c>
      <c r="O1143" s="28" t="s">
        <v>174</v>
      </c>
      <c r="P1143" s="28" t="s">
        <v>429</v>
      </c>
      <c r="Q1143" s="41"/>
      <c r="R1143" s="40"/>
    </row>
    <row r="1144" spans="1:18" ht="60" x14ac:dyDescent="0.3">
      <c r="A1144" s="26" t="str">
        <f t="shared" si="34"/>
        <v>2025경북대</v>
      </c>
      <c r="B1144" s="26">
        <f>COUNTIFS($A$4:A1144,A1144)</f>
        <v>3</v>
      </c>
      <c r="C1144" s="26" t="str">
        <f t="shared" si="35"/>
        <v>2025경북대3</v>
      </c>
      <c r="E1144" s="26" t="s">
        <v>425</v>
      </c>
      <c r="F1144" s="26" t="s">
        <v>17</v>
      </c>
      <c r="H1144" s="27" t="s">
        <v>450</v>
      </c>
      <c r="I1144" s="27">
        <v>2025</v>
      </c>
      <c r="J1144" s="27" t="s">
        <v>290</v>
      </c>
      <c r="K1144" s="27" t="s">
        <v>451</v>
      </c>
      <c r="L1144" s="27" t="s">
        <v>95</v>
      </c>
      <c r="M1144" s="27" t="s">
        <v>42</v>
      </c>
      <c r="N1144" s="29" t="s">
        <v>454</v>
      </c>
      <c r="O1144" s="28" t="s">
        <v>27</v>
      </c>
      <c r="P1144" s="28" t="s">
        <v>28</v>
      </c>
      <c r="Q1144" s="41"/>
      <c r="R1144" s="40"/>
    </row>
    <row r="1145" spans="1:18" ht="30" customHeight="1" x14ac:dyDescent="0.3">
      <c r="A1145" s="26" t="str">
        <f t="shared" si="34"/>
        <v>2025경북대</v>
      </c>
      <c r="B1145" s="26">
        <f>COUNTIFS($A$4:A1145,A1145)</f>
        <v>4</v>
      </c>
      <c r="C1145" s="26" t="str">
        <f t="shared" si="35"/>
        <v>2025경북대4</v>
      </c>
      <c r="E1145" s="26" t="s">
        <v>425</v>
      </c>
      <c r="F1145" s="26" t="s">
        <v>17</v>
      </c>
      <c r="H1145" s="27" t="s">
        <v>450</v>
      </c>
      <c r="I1145" s="27">
        <v>2025</v>
      </c>
      <c r="J1145" s="27" t="s">
        <v>290</v>
      </c>
      <c r="K1145" s="27" t="s">
        <v>451</v>
      </c>
      <c r="L1145" s="27" t="s">
        <v>188</v>
      </c>
      <c r="M1145" s="27" t="s">
        <v>22</v>
      </c>
      <c r="N1145" s="29" t="s">
        <v>455</v>
      </c>
      <c r="O1145" s="28" t="s">
        <v>22</v>
      </c>
      <c r="P1145" s="28" t="s">
        <v>22</v>
      </c>
      <c r="Q1145" s="41"/>
      <c r="R1145" s="40"/>
    </row>
    <row r="1146" spans="1:18" ht="96" x14ac:dyDescent="0.3">
      <c r="A1146" s="26" t="str">
        <f t="shared" si="34"/>
        <v>2025경북대</v>
      </c>
      <c r="B1146" s="26">
        <f>COUNTIFS($A$4:A1146,A1146)</f>
        <v>5</v>
      </c>
      <c r="C1146" s="26" t="str">
        <f t="shared" si="35"/>
        <v>2025경북대5</v>
      </c>
      <c r="E1146" s="26" t="s">
        <v>425</v>
      </c>
      <c r="F1146" s="26" t="s">
        <v>277</v>
      </c>
      <c r="H1146" s="27" t="s">
        <v>450</v>
      </c>
      <c r="I1146" s="27">
        <v>2025</v>
      </c>
      <c r="J1146" s="27" t="s">
        <v>290</v>
      </c>
      <c r="K1146" s="27" t="s">
        <v>390</v>
      </c>
      <c r="L1146" s="27" t="s">
        <v>94</v>
      </c>
      <c r="M1146" s="27" t="s">
        <v>22</v>
      </c>
      <c r="N1146" s="29" t="s">
        <v>452</v>
      </c>
      <c r="O1146" s="27" t="s">
        <v>22</v>
      </c>
      <c r="P1146" s="27" t="s">
        <v>22</v>
      </c>
      <c r="Q1146" s="41"/>
      <c r="R1146" s="40"/>
    </row>
    <row r="1147" spans="1:18" ht="360" x14ac:dyDescent="0.3">
      <c r="A1147" s="26" t="str">
        <f t="shared" si="34"/>
        <v>2025경북대</v>
      </c>
      <c r="B1147" s="26">
        <f>COUNTIFS($A$4:A1147,A1147)</f>
        <v>6</v>
      </c>
      <c r="C1147" s="26" t="str">
        <f t="shared" si="35"/>
        <v>2025경북대6</v>
      </c>
      <c r="E1147" s="26" t="s">
        <v>425</v>
      </c>
      <c r="F1147" s="26" t="s">
        <v>277</v>
      </c>
      <c r="H1147" s="27" t="s">
        <v>450</v>
      </c>
      <c r="I1147" s="27">
        <v>2025</v>
      </c>
      <c r="J1147" s="27" t="s">
        <v>290</v>
      </c>
      <c r="K1147" s="27" t="s">
        <v>390</v>
      </c>
      <c r="L1147" s="27" t="s">
        <v>95</v>
      </c>
      <c r="M1147" s="27" t="s">
        <v>22</v>
      </c>
      <c r="N1147" s="29" t="s">
        <v>453</v>
      </c>
      <c r="O1147" s="28" t="s">
        <v>174</v>
      </c>
      <c r="P1147" s="28" t="s">
        <v>429</v>
      </c>
      <c r="Q1147" s="41"/>
      <c r="R1147" s="40"/>
    </row>
    <row r="1148" spans="1:18" ht="60" x14ac:dyDescent="0.3">
      <c r="A1148" s="26" t="str">
        <f t="shared" si="34"/>
        <v>2025경북대</v>
      </c>
      <c r="B1148" s="26">
        <f>COUNTIFS($A$4:A1148,A1148)</f>
        <v>7</v>
      </c>
      <c r="C1148" s="26" t="str">
        <f t="shared" si="35"/>
        <v>2025경북대7</v>
      </c>
      <c r="E1148" s="26" t="s">
        <v>425</v>
      </c>
      <c r="F1148" s="26" t="s">
        <v>277</v>
      </c>
      <c r="H1148" s="27" t="s">
        <v>450</v>
      </c>
      <c r="I1148" s="27">
        <v>2025</v>
      </c>
      <c r="J1148" s="27" t="s">
        <v>290</v>
      </c>
      <c r="K1148" s="27" t="s">
        <v>390</v>
      </c>
      <c r="L1148" s="27" t="s">
        <v>95</v>
      </c>
      <c r="M1148" s="27" t="s">
        <v>42</v>
      </c>
      <c r="N1148" s="29" t="s">
        <v>456</v>
      </c>
      <c r="O1148" s="28" t="s">
        <v>27</v>
      </c>
      <c r="P1148" s="28" t="s">
        <v>28</v>
      </c>
      <c r="Q1148" s="41"/>
      <c r="R1148" s="40"/>
    </row>
    <row r="1149" spans="1:18" ht="30" customHeight="1" x14ac:dyDescent="0.3">
      <c r="A1149" s="26" t="str">
        <f t="shared" si="34"/>
        <v>2025경북대</v>
      </c>
      <c r="B1149" s="26">
        <f>COUNTIFS($A$4:A1149,A1149)</f>
        <v>8</v>
      </c>
      <c r="C1149" s="26" t="str">
        <f t="shared" si="35"/>
        <v>2025경북대8</v>
      </c>
      <c r="E1149" s="26" t="s">
        <v>425</v>
      </c>
      <c r="F1149" s="26" t="s">
        <v>277</v>
      </c>
      <c r="H1149" s="27" t="s">
        <v>450</v>
      </c>
      <c r="I1149" s="27">
        <v>2025</v>
      </c>
      <c r="J1149" s="27" t="s">
        <v>290</v>
      </c>
      <c r="K1149" s="27" t="s">
        <v>390</v>
      </c>
      <c r="L1149" s="27" t="s">
        <v>188</v>
      </c>
      <c r="M1149" s="27" t="s">
        <v>22</v>
      </c>
      <c r="N1149" s="29" t="s">
        <v>455</v>
      </c>
      <c r="O1149" s="28" t="s">
        <v>22</v>
      </c>
      <c r="P1149" s="28" t="s">
        <v>22</v>
      </c>
      <c r="Q1149" s="41"/>
      <c r="R1149" s="40"/>
    </row>
    <row r="1150" spans="1:18" ht="96" x14ac:dyDescent="0.3">
      <c r="A1150" s="26" t="str">
        <f t="shared" si="34"/>
        <v>2025경북대</v>
      </c>
      <c r="B1150" s="26">
        <f>COUNTIFS($A$4:A1150,A1150)</f>
        <v>9</v>
      </c>
      <c r="C1150" s="26" t="str">
        <f t="shared" si="35"/>
        <v>2025경북대9</v>
      </c>
      <c r="E1150" s="26" t="s">
        <v>425</v>
      </c>
      <c r="F1150" s="26" t="s">
        <v>17</v>
      </c>
      <c r="H1150" s="27" t="s">
        <v>450</v>
      </c>
      <c r="I1150" s="27">
        <v>2025</v>
      </c>
      <c r="J1150" s="27" t="s">
        <v>273</v>
      </c>
      <c r="K1150" s="27" t="s">
        <v>457</v>
      </c>
      <c r="L1150" s="27" t="s">
        <v>94</v>
      </c>
      <c r="M1150" s="27" t="s">
        <v>22</v>
      </c>
      <c r="N1150" s="29" t="s">
        <v>458</v>
      </c>
      <c r="O1150" s="27" t="s">
        <v>22</v>
      </c>
      <c r="P1150" s="27" t="s">
        <v>22</v>
      </c>
      <c r="Q1150" s="41"/>
      <c r="R1150" s="40"/>
    </row>
    <row r="1151" spans="1:18" ht="360" x14ac:dyDescent="0.3">
      <c r="A1151" s="26" t="str">
        <f t="shared" si="34"/>
        <v>2025경북대</v>
      </c>
      <c r="B1151" s="26">
        <f>COUNTIFS($A$4:A1151,A1151)</f>
        <v>10</v>
      </c>
      <c r="C1151" s="26" t="str">
        <f t="shared" si="35"/>
        <v>2025경북대10</v>
      </c>
      <c r="E1151" s="26" t="s">
        <v>425</v>
      </c>
      <c r="F1151" s="26" t="s">
        <v>17</v>
      </c>
      <c r="H1151" s="27" t="s">
        <v>450</v>
      </c>
      <c r="I1151" s="27">
        <v>2025</v>
      </c>
      <c r="J1151" s="27" t="s">
        <v>273</v>
      </c>
      <c r="K1151" s="27" t="s">
        <v>457</v>
      </c>
      <c r="L1151" s="27" t="s">
        <v>95</v>
      </c>
      <c r="M1151" s="27" t="s">
        <v>22</v>
      </c>
      <c r="N1151" s="29" t="s">
        <v>459</v>
      </c>
      <c r="O1151" s="28" t="s">
        <v>174</v>
      </c>
      <c r="P1151" s="28" t="s">
        <v>429</v>
      </c>
      <c r="Q1151" s="41"/>
      <c r="R1151" s="40"/>
    </row>
    <row r="1152" spans="1:18" ht="60" x14ac:dyDescent="0.3">
      <c r="A1152" s="26" t="str">
        <f t="shared" si="34"/>
        <v>2025경북대</v>
      </c>
      <c r="B1152" s="26">
        <f>COUNTIFS($A$4:A1152,A1152)</f>
        <v>11</v>
      </c>
      <c r="C1152" s="26" t="str">
        <f t="shared" si="35"/>
        <v>2025경북대11</v>
      </c>
      <c r="E1152" s="26" t="s">
        <v>425</v>
      </c>
      <c r="F1152" s="26" t="s">
        <v>17</v>
      </c>
      <c r="H1152" s="27" t="s">
        <v>450</v>
      </c>
      <c r="I1152" s="27">
        <v>2025</v>
      </c>
      <c r="J1152" s="27" t="s">
        <v>273</v>
      </c>
      <c r="K1152" s="27" t="s">
        <v>457</v>
      </c>
      <c r="L1152" s="27" t="s">
        <v>95</v>
      </c>
      <c r="M1152" s="27" t="s">
        <v>42</v>
      </c>
      <c r="N1152" s="29" t="s">
        <v>456</v>
      </c>
      <c r="O1152" s="28" t="s">
        <v>27</v>
      </c>
      <c r="P1152" s="28" t="s">
        <v>28</v>
      </c>
      <c r="Q1152" s="41"/>
      <c r="R1152" s="40"/>
    </row>
    <row r="1153" spans="1:18" ht="24" x14ac:dyDescent="0.3">
      <c r="A1153" s="26" t="str">
        <f t="shared" si="34"/>
        <v>2025경북대</v>
      </c>
      <c r="B1153" s="26">
        <f>COUNTIFS($A$4:A1153,A1153)</f>
        <v>12</v>
      </c>
      <c r="C1153" s="26" t="str">
        <f t="shared" si="35"/>
        <v>2025경북대12</v>
      </c>
      <c r="E1153" s="26" t="s">
        <v>425</v>
      </c>
      <c r="F1153" s="26" t="s">
        <v>17</v>
      </c>
      <c r="H1153" s="27" t="s">
        <v>450</v>
      </c>
      <c r="I1153" s="27">
        <v>2025</v>
      </c>
      <c r="J1153" s="27" t="s">
        <v>273</v>
      </c>
      <c r="K1153" s="27" t="s">
        <v>457</v>
      </c>
      <c r="L1153" s="27" t="s">
        <v>188</v>
      </c>
      <c r="M1153" s="27" t="s">
        <v>22</v>
      </c>
      <c r="N1153" s="29" t="s">
        <v>460</v>
      </c>
      <c r="O1153" s="28" t="s">
        <v>22</v>
      </c>
      <c r="P1153" s="28" t="s">
        <v>22</v>
      </c>
      <c r="Q1153" s="41"/>
      <c r="R1153" s="40"/>
    </row>
    <row r="1154" spans="1:18" ht="30" customHeight="1" x14ac:dyDescent="0.3">
      <c r="A1154" s="26" t="str">
        <f t="shared" si="34"/>
        <v>2025경북대</v>
      </c>
      <c r="B1154" s="26">
        <f>COUNTIFS($A$4:A1154,A1154)</f>
        <v>13</v>
      </c>
      <c r="C1154" s="26" t="str">
        <f t="shared" si="35"/>
        <v>2025경북대13</v>
      </c>
      <c r="E1154" s="26" t="s">
        <v>425</v>
      </c>
      <c r="F1154" s="26" t="s">
        <v>277</v>
      </c>
      <c r="H1154" s="27" t="s">
        <v>450</v>
      </c>
      <c r="I1154" s="27">
        <v>2025</v>
      </c>
      <c r="J1154" s="27" t="s">
        <v>273</v>
      </c>
      <c r="K1154" s="27" t="s">
        <v>390</v>
      </c>
      <c r="L1154" s="27" t="s">
        <v>94</v>
      </c>
      <c r="M1154" s="27" t="s">
        <v>22</v>
      </c>
      <c r="N1154" s="40" t="s">
        <v>22</v>
      </c>
      <c r="O1154" s="27" t="s">
        <v>22</v>
      </c>
      <c r="P1154" s="27" t="s">
        <v>22</v>
      </c>
      <c r="Q1154" s="41"/>
      <c r="R1154" s="40"/>
    </row>
    <row r="1155" spans="1:18" ht="30" customHeight="1" x14ac:dyDescent="0.3">
      <c r="A1155" s="26" t="str">
        <f t="shared" si="34"/>
        <v>2025경북대</v>
      </c>
      <c r="B1155" s="26">
        <f>COUNTIFS($A$4:A1155,A1155)</f>
        <v>14</v>
      </c>
      <c r="C1155" s="26" t="str">
        <f t="shared" si="35"/>
        <v>2025경북대14</v>
      </c>
      <c r="E1155" s="26" t="s">
        <v>425</v>
      </c>
      <c r="F1155" s="26" t="s">
        <v>277</v>
      </c>
      <c r="H1155" s="27" t="s">
        <v>450</v>
      </c>
      <c r="I1155" s="27">
        <v>2025</v>
      </c>
      <c r="J1155" s="27" t="s">
        <v>273</v>
      </c>
      <c r="K1155" s="27" t="s">
        <v>390</v>
      </c>
      <c r="L1155" s="27" t="s">
        <v>95</v>
      </c>
      <c r="M1155" s="27" t="s">
        <v>22</v>
      </c>
      <c r="N1155" s="40" t="s">
        <v>22</v>
      </c>
      <c r="O1155" s="27" t="s">
        <v>22</v>
      </c>
      <c r="P1155" s="27" t="s">
        <v>22</v>
      </c>
      <c r="Q1155" s="41"/>
      <c r="R1155" s="40"/>
    </row>
    <row r="1156" spans="1:18" ht="60" x14ac:dyDescent="0.3">
      <c r="A1156" s="26" t="str">
        <f t="shared" si="34"/>
        <v>2025경북대</v>
      </c>
      <c r="B1156" s="26">
        <f>COUNTIFS($A$4:A1156,A1156)</f>
        <v>15</v>
      </c>
      <c r="C1156" s="26" t="str">
        <f t="shared" si="35"/>
        <v>2025경북대15</v>
      </c>
      <c r="E1156" s="26" t="s">
        <v>425</v>
      </c>
      <c r="F1156" s="26" t="s">
        <v>277</v>
      </c>
      <c r="H1156" s="27" t="s">
        <v>450</v>
      </c>
      <c r="I1156" s="27">
        <v>2025</v>
      </c>
      <c r="J1156" s="27" t="s">
        <v>273</v>
      </c>
      <c r="K1156" s="27" t="s">
        <v>390</v>
      </c>
      <c r="L1156" s="27" t="s">
        <v>95</v>
      </c>
      <c r="M1156" s="27" t="s">
        <v>42</v>
      </c>
      <c r="N1156" s="29" t="s">
        <v>461</v>
      </c>
      <c r="O1156" s="28" t="s">
        <v>27</v>
      </c>
      <c r="P1156" s="28" t="s">
        <v>28</v>
      </c>
      <c r="Q1156" s="41"/>
      <c r="R1156" s="40"/>
    </row>
    <row r="1157" spans="1:18" ht="30" customHeight="1" x14ac:dyDescent="0.3">
      <c r="A1157" s="26" t="str">
        <f t="shared" si="34"/>
        <v>2025경북대</v>
      </c>
      <c r="B1157" s="26">
        <f>COUNTIFS($A$4:A1157,A1157)</f>
        <v>16</v>
      </c>
      <c r="C1157" s="26" t="str">
        <f t="shared" si="35"/>
        <v>2025경북대16</v>
      </c>
      <c r="E1157" s="26" t="s">
        <v>425</v>
      </c>
      <c r="F1157" s="26" t="s">
        <v>277</v>
      </c>
      <c r="H1157" s="27" t="s">
        <v>450</v>
      </c>
      <c r="I1157" s="27">
        <v>2025</v>
      </c>
      <c r="J1157" s="27" t="s">
        <v>273</v>
      </c>
      <c r="K1157" s="27" t="s">
        <v>462</v>
      </c>
      <c r="L1157" s="27" t="s">
        <v>94</v>
      </c>
      <c r="M1157" s="27" t="s">
        <v>22</v>
      </c>
      <c r="N1157" s="40" t="s">
        <v>22</v>
      </c>
      <c r="O1157" s="27"/>
      <c r="P1157" s="27"/>
      <c r="Q1157" s="41"/>
      <c r="R1157" s="40"/>
    </row>
    <row r="1158" spans="1:18" ht="30" customHeight="1" x14ac:dyDescent="0.3">
      <c r="A1158" s="26" t="str">
        <f t="shared" si="34"/>
        <v>2025경북대</v>
      </c>
      <c r="B1158" s="26">
        <f>COUNTIFS($A$4:A1158,A1158)</f>
        <v>17</v>
      </c>
      <c r="C1158" s="26" t="str">
        <f t="shared" si="35"/>
        <v>2025경북대17</v>
      </c>
      <c r="E1158" s="26" t="s">
        <v>425</v>
      </c>
      <c r="F1158" s="26" t="s">
        <v>277</v>
      </c>
      <c r="H1158" s="27" t="s">
        <v>450</v>
      </c>
      <c r="I1158" s="27">
        <v>2025</v>
      </c>
      <c r="J1158" s="27" t="s">
        <v>273</v>
      </c>
      <c r="K1158" s="27" t="s">
        <v>462</v>
      </c>
      <c r="L1158" s="27" t="s">
        <v>95</v>
      </c>
      <c r="M1158" s="27" t="s">
        <v>22</v>
      </c>
      <c r="N1158" s="40" t="s">
        <v>22</v>
      </c>
      <c r="O1158" s="27"/>
      <c r="P1158" s="27"/>
      <c r="Q1158" s="41"/>
      <c r="R1158" s="40"/>
    </row>
    <row r="1159" spans="1:18" ht="30" customHeight="1" x14ac:dyDescent="0.3">
      <c r="A1159" s="26" t="str">
        <f t="shared" si="34"/>
        <v>2025경북대</v>
      </c>
      <c r="B1159" s="26">
        <f>COUNTIFS($A$4:A1159,A1159)</f>
        <v>18</v>
      </c>
      <c r="C1159" s="26" t="str">
        <f t="shared" si="35"/>
        <v>2025경북대18</v>
      </c>
      <c r="E1159" s="26" t="s">
        <v>425</v>
      </c>
      <c r="F1159" s="26" t="s">
        <v>17</v>
      </c>
      <c r="H1159" s="27" t="s">
        <v>450</v>
      </c>
      <c r="I1159" s="27">
        <v>2025</v>
      </c>
      <c r="J1159" s="27" t="s">
        <v>273</v>
      </c>
      <c r="K1159" s="27" t="s">
        <v>449</v>
      </c>
      <c r="L1159" s="27" t="s">
        <v>95</v>
      </c>
      <c r="M1159" s="27" t="s">
        <v>22</v>
      </c>
      <c r="N1159" s="40" t="s">
        <v>22</v>
      </c>
      <c r="O1159" s="27"/>
      <c r="P1159" s="27"/>
      <c r="Q1159" s="41"/>
      <c r="R1159" s="40"/>
    </row>
    <row r="1160" spans="1:18" ht="30" customHeight="1" x14ac:dyDescent="0.3">
      <c r="A1160" s="26" t="str">
        <f t="shared" si="34"/>
        <v>2025경북대</v>
      </c>
      <c r="B1160" s="26">
        <f>COUNTIFS($A$4:A1160,A1160)</f>
        <v>19</v>
      </c>
      <c r="C1160" s="26" t="str">
        <f t="shared" si="35"/>
        <v>2025경북대19</v>
      </c>
      <c r="E1160" s="26" t="s">
        <v>425</v>
      </c>
      <c r="F1160" s="26" t="s">
        <v>17</v>
      </c>
      <c r="H1160" s="27" t="s">
        <v>450</v>
      </c>
      <c r="I1160" s="27">
        <v>2025</v>
      </c>
      <c r="J1160" s="27" t="s">
        <v>273</v>
      </c>
      <c r="K1160" s="27" t="s">
        <v>463</v>
      </c>
      <c r="L1160" s="27" t="s">
        <v>95</v>
      </c>
      <c r="M1160" s="27" t="s">
        <v>22</v>
      </c>
      <c r="N1160" s="40" t="s">
        <v>22</v>
      </c>
      <c r="O1160" s="27"/>
      <c r="P1160" s="27"/>
      <c r="Q1160" s="41"/>
      <c r="R1160" s="40"/>
    </row>
    <row r="1161" spans="1:18" ht="96" x14ac:dyDescent="0.3">
      <c r="A1161" s="26" t="str">
        <f t="shared" si="34"/>
        <v>2025경북대</v>
      </c>
      <c r="B1161" s="26">
        <f>COUNTIFS($A$4:A1161,A1161)</f>
        <v>20</v>
      </c>
      <c r="C1161" s="26" t="str">
        <f t="shared" si="35"/>
        <v>2025경북대20</v>
      </c>
      <c r="E1161" s="26" t="s">
        <v>425</v>
      </c>
      <c r="F1161" s="26" t="s">
        <v>17</v>
      </c>
      <c r="H1161" s="27" t="s">
        <v>450</v>
      </c>
      <c r="I1161" s="27">
        <v>2025</v>
      </c>
      <c r="J1161" s="27" t="s">
        <v>237</v>
      </c>
      <c r="K1161" s="27" t="s">
        <v>464</v>
      </c>
      <c r="L1161" s="27" t="s">
        <v>94</v>
      </c>
      <c r="M1161" s="27" t="s">
        <v>22</v>
      </c>
      <c r="N1161" s="29" t="s">
        <v>452</v>
      </c>
      <c r="O1161" s="27" t="s">
        <v>22</v>
      </c>
      <c r="P1161" s="27" t="s">
        <v>22</v>
      </c>
      <c r="Q1161" s="41"/>
      <c r="R1161" s="40"/>
    </row>
    <row r="1162" spans="1:18" ht="396" x14ac:dyDescent="0.3">
      <c r="A1162" s="26" t="str">
        <f t="shared" ref="A1162:A1232" si="36">I1162&amp;H1162</f>
        <v>2025경북대</v>
      </c>
      <c r="B1162" s="26">
        <f>COUNTIFS($A$4:A1162,A1162)</f>
        <v>21</v>
      </c>
      <c r="C1162" s="26" t="str">
        <f t="shared" ref="C1162:C1232" si="37">A1162&amp;B1162</f>
        <v>2025경북대21</v>
      </c>
      <c r="E1162" s="26" t="s">
        <v>425</v>
      </c>
      <c r="F1162" s="26" t="s">
        <v>17</v>
      </c>
      <c r="H1162" s="27" t="s">
        <v>450</v>
      </c>
      <c r="I1162" s="27">
        <v>2025</v>
      </c>
      <c r="J1162" s="27" t="s">
        <v>237</v>
      </c>
      <c r="K1162" s="27" t="s">
        <v>464</v>
      </c>
      <c r="L1162" s="27" t="s">
        <v>95</v>
      </c>
      <c r="M1162" s="27" t="s">
        <v>22</v>
      </c>
      <c r="N1162" s="29" t="s">
        <v>465</v>
      </c>
      <c r="O1162" s="28" t="s">
        <v>174</v>
      </c>
      <c r="P1162" s="28" t="s">
        <v>429</v>
      </c>
      <c r="Q1162" s="41"/>
      <c r="R1162" s="40"/>
    </row>
    <row r="1163" spans="1:18" ht="60" x14ac:dyDescent="0.3">
      <c r="A1163" s="26" t="str">
        <f t="shared" si="36"/>
        <v>2025경북대</v>
      </c>
      <c r="B1163" s="26">
        <f>COUNTIFS($A$4:A1163,A1163)</f>
        <v>22</v>
      </c>
      <c r="C1163" s="26" t="str">
        <f t="shared" si="37"/>
        <v>2025경북대22</v>
      </c>
      <c r="E1163" s="26" t="s">
        <v>425</v>
      </c>
      <c r="F1163" s="26" t="s">
        <v>17</v>
      </c>
      <c r="H1163" s="27" t="s">
        <v>450</v>
      </c>
      <c r="I1163" s="27">
        <v>2025</v>
      </c>
      <c r="J1163" s="27" t="s">
        <v>237</v>
      </c>
      <c r="K1163" s="27" t="s">
        <v>464</v>
      </c>
      <c r="L1163" s="27" t="s">
        <v>95</v>
      </c>
      <c r="M1163" s="27" t="s">
        <v>42</v>
      </c>
      <c r="N1163" s="29" t="s">
        <v>456</v>
      </c>
      <c r="O1163" s="28" t="s">
        <v>27</v>
      </c>
      <c r="P1163" s="28" t="s">
        <v>28</v>
      </c>
      <c r="Q1163" s="41"/>
      <c r="R1163" s="40"/>
    </row>
    <row r="1164" spans="1:18" ht="30" customHeight="1" x14ac:dyDescent="0.3">
      <c r="A1164" s="26" t="str">
        <f t="shared" si="36"/>
        <v>2025경북대</v>
      </c>
      <c r="B1164" s="26">
        <f>COUNTIFS($A$4:A1164,A1164)</f>
        <v>23</v>
      </c>
      <c r="C1164" s="26" t="str">
        <f t="shared" si="37"/>
        <v>2025경북대23</v>
      </c>
      <c r="E1164" s="26" t="s">
        <v>425</v>
      </c>
      <c r="F1164" s="26" t="s">
        <v>17</v>
      </c>
      <c r="H1164" s="27" t="s">
        <v>450</v>
      </c>
      <c r="I1164" s="27">
        <v>2025</v>
      </c>
      <c r="J1164" s="27" t="s">
        <v>237</v>
      </c>
      <c r="K1164" s="27" t="s">
        <v>464</v>
      </c>
      <c r="L1164" s="27" t="s">
        <v>188</v>
      </c>
      <c r="M1164" s="27" t="s">
        <v>22</v>
      </c>
      <c r="N1164" s="29" t="s">
        <v>455</v>
      </c>
      <c r="O1164" s="28" t="s">
        <v>22</v>
      </c>
      <c r="P1164" s="28" t="s">
        <v>22</v>
      </c>
      <c r="Q1164" s="41"/>
      <c r="R1164" s="40"/>
    </row>
    <row r="1165" spans="1:18" ht="30" customHeight="1" x14ac:dyDescent="0.3">
      <c r="A1165" s="26" t="str">
        <f t="shared" si="36"/>
        <v/>
      </c>
      <c r="B1165" s="26">
        <f>COUNTIFS($A$4:A1165,A1165)</f>
        <v>2</v>
      </c>
      <c r="C1165" s="26" t="str">
        <f t="shared" si="37"/>
        <v>2</v>
      </c>
      <c r="E1165" s="26"/>
      <c r="F1165" s="26"/>
      <c r="H1165" s="27"/>
      <c r="I1165" s="27"/>
      <c r="J1165" s="27"/>
      <c r="K1165" s="27"/>
      <c r="L1165" s="27"/>
      <c r="M1165" s="27"/>
      <c r="N1165" s="40"/>
      <c r="O1165" s="27"/>
      <c r="P1165" s="27"/>
      <c r="Q1165" s="41"/>
      <c r="R1165" s="40"/>
    </row>
    <row r="1166" spans="1:18" ht="30" customHeight="1" x14ac:dyDescent="0.3">
      <c r="A1166" s="26" t="str">
        <f t="shared" si="36"/>
        <v/>
      </c>
      <c r="B1166" s="26">
        <f>COUNTIFS($A$4:A1166,A1166)</f>
        <v>3</v>
      </c>
      <c r="C1166" s="26" t="str">
        <f t="shared" si="37"/>
        <v>3</v>
      </c>
      <c r="E1166" s="26"/>
      <c r="F1166" s="26"/>
      <c r="H1166" s="27"/>
      <c r="I1166" s="27"/>
      <c r="J1166" s="27"/>
      <c r="K1166" s="27"/>
      <c r="L1166" s="27"/>
      <c r="M1166" s="27"/>
      <c r="N1166" s="29"/>
      <c r="O1166" s="27"/>
      <c r="P1166" s="27"/>
      <c r="Q1166" s="41"/>
      <c r="R1166" s="40"/>
    </row>
    <row r="1167" spans="1:18" ht="30" customHeight="1" x14ac:dyDescent="0.3">
      <c r="A1167" s="26" t="str">
        <f t="shared" si="36"/>
        <v/>
      </c>
      <c r="B1167" s="26">
        <f>COUNTIFS($A$4:A1167,A1167)</f>
        <v>4</v>
      </c>
      <c r="C1167" s="26" t="str">
        <f t="shared" si="37"/>
        <v>4</v>
      </c>
      <c r="E1167" s="26"/>
      <c r="F1167" s="26"/>
      <c r="H1167" s="27"/>
      <c r="I1167" s="27"/>
      <c r="J1167" s="27"/>
      <c r="K1167" s="27"/>
      <c r="L1167" s="27"/>
      <c r="M1167" s="27"/>
      <c r="N1167" s="40"/>
      <c r="O1167" s="27"/>
      <c r="P1167" s="27"/>
      <c r="Q1167" s="41"/>
      <c r="R1167" s="40"/>
    </row>
    <row r="1168" spans="1:18" ht="30" customHeight="1" x14ac:dyDescent="0.3">
      <c r="A1168" s="26" t="str">
        <f t="shared" si="36"/>
        <v/>
      </c>
      <c r="B1168" s="26">
        <f>COUNTIFS($A$4:A1168,A1168)</f>
        <v>5</v>
      </c>
      <c r="C1168" s="26" t="str">
        <f t="shared" si="37"/>
        <v>5</v>
      </c>
      <c r="E1168" s="26"/>
      <c r="F1168" s="26"/>
      <c r="H1168" s="27"/>
      <c r="I1168" s="27"/>
      <c r="J1168" s="27"/>
      <c r="K1168" s="27"/>
      <c r="L1168" s="27"/>
      <c r="M1168" s="27"/>
      <c r="N1168" s="40"/>
      <c r="O1168" s="27"/>
      <c r="P1168" s="27"/>
      <c r="Q1168" s="41"/>
      <c r="R1168" s="40"/>
    </row>
    <row r="1169" spans="1:18" ht="30" customHeight="1" x14ac:dyDescent="0.3">
      <c r="A1169" s="26" t="str">
        <f t="shared" si="36"/>
        <v/>
      </c>
      <c r="B1169" s="26">
        <f>COUNTIFS($A$4:A1169,A1169)</f>
        <v>6</v>
      </c>
      <c r="C1169" s="26" t="str">
        <f t="shared" si="37"/>
        <v>6</v>
      </c>
      <c r="E1169" s="26"/>
      <c r="F1169" s="26"/>
      <c r="H1169" s="27"/>
      <c r="I1169" s="27"/>
      <c r="J1169" s="27"/>
      <c r="K1169" s="27"/>
      <c r="L1169" s="27"/>
      <c r="M1169" s="27"/>
      <c r="N1169" s="40"/>
      <c r="O1169" s="27"/>
      <c r="P1169" s="27"/>
      <c r="Q1169" s="41"/>
      <c r="R1169" s="40"/>
    </row>
    <row r="1170" spans="1:18" ht="30" customHeight="1" x14ac:dyDescent="0.3">
      <c r="A1170" s="26" t="str">
        <f t="shared" si="36"/>
        <v/>
      </c>
      <c r="B1170" s="26">
        <f>COUNTIFS($A$4:A1170,A1170)</f>
        <v>7</v>
      </c>
      <c r="C1170" s="26" t="str">
        <f t="shared" si="37"/>
        <v>7</v>
      </c>
      <c r="E1170" s="26"/>
      <c r="F1170" s="26"/>
      <c r="H1170" s="27"/>
      <c r="I1170" s="27"/>
      <c r="J1170" s="27"/>
      <c r="K1170" s="27"/>
      <c r="L1170" s="27"/>
      <c r="M1170" s="27"/>
      <c r="N1170" s="40"/>
      <c r="O1170" s="27"/>
      <c r="P1170" s="27"/>
      <c r="Q1170" s="41"/>
      <c r="R1170" s="40"/>
    </row>
    <row r="1171" spans="1:18" ht="30" customHeight="1" x14ac:dyDescent="0.3">
      <c r="A1171" s="26" t="str">
        <f t="shared" si="36"/>
        <v/>
      </c>
      <c r="B1171" s="26">
        <f>COUNTIFS($A$4:A1171,A1171)</f>
        <v>8</v>
      </c>
      <c r="C1171" s="26" t="str">
        <f t="shared" si="37"/>
        <v>8</v>
      </c>
      <c r="E1171" s="26"/>
      <c r="F1171" s="26"/>
      <c r="H1171" s="27"/>
      <c r="I1171" s="27"/>
      <c r="J1171" s="27"/>
      <c r="K1171" s="27"/>
      <c r="L1171" s="27"/>
      <c r="M1171" s="27"/>
      <c r="N1171" s="40"/>
      <c r="O1171" s="27"/>
      <c r="P1171" s="27"/>
      <c r="Q1171" s="41"/>
      <c r="R1171" s="40"/>
    </row>
    <row r="1172" spans="1:18" ht="30" customHeight="1" x14ac:dyDescent="0.3">
      <c r="A1172" s="26" t="str">
        <f t="shared" si="36"/>
        <v/>
      </c>
      <c r="B1172" s="26">
        <f>COUNTIFS($A$4:A1172,A1172)</f>
        <v>9</v>
      </c>
      <c r="C1172" s="26" t="str">
        <f t="shared" si="37"/>
        <v>9</v>
      </c>
      <c r="E1172" s="26"/>
      <c r="F1172" s="26"/>
      <c r="H1172" s="27"/>
      <c r="I1172" s="27"/>
      <c r="J1172" s="27"/>
      <c r="K1172" s="27"/>
      <c r="L1172" s="27"/>
      <c r="M1172" s="27"/>
      <c r="N1172" s="40"/>
      <c r="O1172" s="27"/>
      <c r="P1172" s="27"/>
      <c r="Q1172" s="41"/>
      <c r="R1172" s="40"/>
    </row>
    <row r="1173" spans="1:18" ht="30" customHeight="1" x14ac:dyDescent="0.3">
      <c r="A1173" s="26" t="str">
        <f t="shared" si="36"/>
        <v/>
      </c>
      <c r="B1173" s="26">
        <f>COUNTIFS($A$4:A1173,A1173)</f>
        <v>10</v>
      </c>
      <c r="C1173" s="26" t="str">
        <f t="shared" si="37"/>
        <v>10</v>
      </c>
      <c r="E1173" s="26"/>
      <c r="F1173" s="26"/>
      <c r="H1173" s="27"/>
      <c r="I1173" s="27"/>
      <c r="J1173" s="27"/>
      <c r="K1173" s="27"/>
      <c r="L1173" s="27"/>
      <c r="M1173" s="27"/>
      <c r="N1173" s="40"/>
      <c r="O1173" s="27"/>
      <c r="P1173" s="27"/>
      <c r="Q1173" s="41"/>
      <c r="R1173" s="40"/>
    </row>
    <row r="1174" spans="1:18" ht="30" customHeight="1" x14ac:dyDescent="0.3">
      <c r="A1174" s="26" t="str">
        <f t="shared" si="36"/>
        <v/>
      </c>
      <c r="B1174" s="26">
        <f>COUNTIFS($A$4:A1174,A1174)</f>
        <v>11</v>
      </c>
      <c r="C1174" s="26" t="str">
        <f t="shared" si="37"/>
        <v>11</v>
      </c>
      <c r="E1174" s="26"/>
      <c r="F1174" s="26"/>
      <c r="H1174" s="27"/>
      <c r="I1174" s="27"/>
      <c r="J1174" s="27"/>
      <c r="K1174" s="27"/>
      <c r="L1174" s="27"/>
      <c r="M1174" s="27"/>
      <c r="N1174" s="40"/>
      <c r="O1174" s="27"/>
      <c r="P1174" s="27"/>
      <c r="Q1174" s="41"/>
      <c r="R1174" s="40"/>
    </row>
    <row r="1175" spans="1:18" ht="30" customHeight="1" x14ac:dyDescent="0.3">
      <c r="A1175" s="26" t="str">
        <f t="shared" si="36"/>
        <v/>
      </c>
      <c r="B1175" s="26">
        <f>COUNTIFS($A$4:A1175,A1175)</f>
        <v>12</v>
      </c>
      <c r="C1175" s="26" t="str">
        <f t="shared" si="37"/>
        <v>12</v>
      </c>
      <c r="E1175" s="26"/>
      <c r="F1175" s="26"/>
      <c r="H1175" s="27"/>
      <c r="I1175" s="27"/>
      <c r="J1175" s="27"/>
      <c r="K1175" s="27"/>
      <c r="L1175" s="27"/>
      <c r="M1175" s="27"/>
      <c r="N1175" s="40"/>
      <c r="O1175" s="27"/>
      <c r="P1175" s="27"/>
      <c r="Q1175" s="41"/>
      <c r="R1175" s="40"/>
    </row>
    <row r="1176" spans="1:18" ht="30" customHeight="1" x14ac:dyDescent="0.3">
      <c r="A1176" s="26" t="str">
        <f t="shared" si="36"/>
        <v/>
      </c>
      <c r="B1176" s="26">
        <f>COUNTIFS($A$4:A1176,A1176)</f>
        <v>13</v>
      </c>
      <c r="C1176" s="26" t="str">
        <f t="shared" si="37"/>
        <v>13</v>
      </c>
      <c r="E1176" s="26"/>
      <c r="F1176" s="26"/>
      <c r="H1176" s="27"/>
      <c r="I1176" s="27"/>
      <c r="J1176" s="27"/>
      <c r="K1176" s="27"/>
      <c r="L1176" s="27"/>
      <c r="M1176" s="27"/>
      <c r="N1176" s="40"/>
      <c r="O1176" s="27"/>
      <c r="P1176" s="27"/>
      <c r="Q1176" s="41"/>
      <c r="R1176" s="40"/>
    </row>
    <row r="1177" spans="1:18" ht="30" customHeight="1" x14ac:dyDescent="0.3">
      <c r="A1177" s="26" t="str">
        <f t="shared" si="36"/>
        <v/>
      </c>
      <c r="B1177" s="26">
        <f>COUNTIFS($A$4:A1177,A1177)</f>
        <v>14</v>
      </c>
      <c r="C1177" s="26" t="str">
        <f t="shared" si="37"/>
        <v>14</v>
      </c>
      <c r="E1177" s="26"/>
      <c r="F1177" s="26"/>
      <c r="H1177" s="27"/>
      <c r="I1177" s="27"/>
      <c r="J1177" s="27"/>
      <c r="K1177" s="27"/>
      <c r="L1177" s="27"/>
      <c r="M1177" s="27"/>
      <c r="N1177" s="40"/>
      <c r="O1177" s="27"/>
      <c r="P1177" s="27"/>
      <c r="Q1177" s="41"/>
      <c r="R1177" s="40"/>
    </row>
    <row r="1178" spans="1:18" ht="30" customHeight="1" x14ac:dyDescent="0.3">
      <c r="A1178" s="26" t="str">
        <f t="shared" si="36"/>
        <v/>
      </c>
      <c r="B1178" s="26">
        <f>COUNTIFS($A$4:A1178,A1178)</f>
        <v>15</v>
      </c>
      <c r="C1178" s="26" t="str">
        <f t="shared" si="37"/>
        <v>15</v>
      </c>
      <c r="E1178" s="26"/>
      <c r="F1178" s="26"/>
      <c r="H1178" s="27"/>
      <c r="I1178" s="27"/>
      <c r="J1178" s="27"/>
      <c r="K1178" s="27"/>
      <c r="L1178" s="27"/>
      <c r="M1178" s="27"/>
      <c r="N1178" s="40"/>
      <c r="O1178" s="27"/>
      <c r="P1178" s="27"/>
      <c r="Q1178" s="41"/>
      <c r="R1178" s="40"/>
    </row>
    <row r="1179" spans="1:18" ht="30" customHeight="1" x14ac:dyDescent="0.3">
      <c r="A1179" s="26" t="str">
        <f t="shared" si="36"/>
        <v/>
      </c>
      <c r="B1179" s="26">
        <f>COUNTIFS($A$4:A1179,A1179)</f>
        <v>16</v>
      </c>
      <c r="C1179" s="26" t="str">
        <f t="shared" si="37"/>
        <v>16</v>
      </c>
      <c r="E1179" s="26"/>
      <c r="F1179" s="26"/>
      <c r="H1179" s="27"/>
      <c r="I1179" s="27"/>
      <c r="J1179" s="27"/>
      <c r="K1179" s="27"/>
      <c r="L1179" s="27"/>
      <c r="M1179" s="27"/>
      <c r="N1179" s="40"/>
      <c r="O1179" s="27"/>
      <c r="P1179" s="27"/>
      <c r="Q1179" s="41"/>
      <c r="R1179" s="40"/>
    </row>
    <row r="1180" spans="1:18" ht="30" customHeight="1" x14ac:dyDescent="0.3">
      <c r="A1180" s="26" t="str">
        <f t="shared" si="36"/>
        <v/>
      </c>
      <c r="B1180" s="26">
        <f>COUNTIFS($A$4:A1180,A1180)</f>
        <v>17</v>
      </c>
      <c r="C1180" s="26" t="str">
        <f t="shared" si="37"/>
        <v>17</v>
      </c>
      <c r="E1180" s="26"/>
      <c r="F1180" s="26"/>
      <c r="H1180" s="27"/>
      <c r="I1180" s="27"/>
      <c r="J1180" s="27"/>
      <c r="K1180" s="27"/>
      <c r="L1180" s="27"/>
      <c r="M1180" s="27"/>
      <c r="N1180" s="40"/>
      <c r="O1180" s="27"/>
      <c r="P1180" s="27"/>
      <c r="Q1180" s="41"/>
      <c r="R1180" s="40"/>
    </row>
    <row r="1181" spans="1:18" ht="30" customHeight="1" x14ac:dyDescent="0.3">
      <c r="A1181" s="26" t="str">
        <f t="shared" si="36"/>
        <v/>
      </c>
      <c r="B1181" s="26">
        <f>COUNTIFS($A$4:A1181,A1181)</f>
        <v>18</v>
      </c>
      <c r="C1181" s="26" t="str">
        <f t="shared" si="37"/>
        <v>18</v>
      </c>
      <c r="E1181" s="26"/>
      <c r="F1181" s="26"/>
      <c r="H1181" s="27"/>
      <c r="I1181" s="27"/>
      <c r="J1181" s="27"/>
      <c r="K1181" s="27"/>
      <c r="L1181" s="27"/>
      <c r="M1181" s="27"/>
      <c r="N1181" s="40"/>
      <c r="O1181" s="27"/>
      <c r="P1181" s="27"/>
      <c r="Q1181" s="41"/>
      <c r="R1181" s="40"/>
    </row>
    <row r="1182" spans="1:18" ht="30" customHeight="1" x14ac:dyDescent="0.3">
      <c r="A1182" s="26" t="str">
        <f t="shared" si="36"/>
        <v/>
      </c>
      <c r="B1182" s="26">
        <f>COUNTIFS($A$4:A1182,A1182)</f>
        <v>19</v>
      </c>
      <c r="C1182" s="26" t="str">
        <f t="shared" si="37"/>
        <v>19</v>
      </c>
      <c r="E1182" s="26"/>
      <c r="F1182" s="26"/>
      <c r="H1182" s="27"/>
      <c r="I1182" s="27"/>
      <c r="J1182" s="27"/>
      <c r="K1182" s="27"/>
      <c r="L1182" s="27"/>
      <c r="M1182" s="27"/>
      <c r="N1182" s="40"/>
      <c r="O1182" s="27"/>
      <c r="P1182" s="27"/>
      <c r="Q1182" s="41"/>
      <c r="R1182" s="40"/>
    </row>
    <row r="1183" spans="1:18" ht="30" customHeight="1" x14ac:dyDescent="0.3">
      <c r="A1183" s="26" t="str">
        <f t="shared" si="36"/>
        <v/>
      </c>
      <c r="B1183" s="26">
        <f>COUNTIFS($A$4:A1183,A1183)</f>
        <v>20</v>
      </c>
      <c r="C1183" s="26" t="str">
        <f t="shared" si="37"/>
        <v>20</v>
      </c>
      <c r="E1183" s="26"/>
      <c r="F1183" s="26"/>
      <c r="H1183" s="27"/>
      <c r="I1183" s="27"/>
      <c r="J1183" s="27"/>
      <c r="K1183" s="27"/>
      <c r="L1183" s="27"/>
      <c r="M1183" s="27"/>
      <c r="N1183" s="40"/>
      <c r="O1183" s="27"/>
      <c r="P1183" s="27"/>
      <c r="Q1183" s="41"/>
      <c r="R1183" s="40"/>
    </row>
    <row r="1184" spans="1:18" ht="30" customHeight="1" x14ac:dyDescent="0.3">
      <c r="A1184" s="26" t="str">
        <f t="shared" si="36"/>
        <v/>
      </c>
      <c r="B1184" s="26">
        <f>COUNTIFS($A$4:A1184,A1184)</f>
        <v>21</v>
      </c>
      <c r="C1184" s="26" t="str">
        <f t="shared" si="37"/>
        <v>21</v>
      </c>
      <c r="E1184" s="26"/>
      <c r="F1184" s="26"/>
      <c r="H1184" s="27"/>
      <c r="I1184" s="27"/>
      <c r="J1184" s="27"/>
      <c r="K1184" s="27"/>
      <c r="L1184" s="27"/>
      <c r="M1184" s="27"/>
      <c r="N1184" s="40"/>
      <c r="O1184" s="27"/>
      <c r="P1184" s="27"/>
      <c r="Q1184" s="41"/>
      <c r="R1184" s="40"/>
    </row>
    <row r="1185" spans="1:18" ht="30" customHeight="1" x14ac:dyDescent="0.3">
      <c r="A1185" s="26" t="str">
        <f t="shared" si="36"/>
        <v/>
      </c>
      <c r="B1185" s="26">
        <f>COUNTIFS($A$4:A1185,A1185)</f>
        <v>22</v>
      </c>
      <c r="C1185" s="26" t="str">
        <f t="shared" si="37"/>
        <v>22</v>
      </c>
      <c r="E1185" s="26"/>
      <c r="F1185" s="26"/>
      <c r="H1185" s="27"/>
      <c r="I1185" s="27"/>
      <c r="J1185" s="27"/>
      <c r="K1185" s="27"/>
      <c r="L1185" s="27"/>
      <c r="M1185" s="27"/>
      <c r="N1185" s="40"/>
      <c r="O1185" s="27"/>
      <c r="P1185" s="27"/>
      <c r="Q1185" s="41"/>
      <c r="R1185" s="40"/>
    </row>
    <row r="1186" spans="1:18" ht="30" customHeight="1" x14ac:dyDescent="0.3">
      <c r="A1186" s="26" t="str">
        <f t="shared" si="36"/>
        <v/>
      </c>
      <c r="B1186" s="26">
        <f>COUNTIFS($A$4:A1186,A1186)</f>
        <v>23</v>
      </c>
      <c r="C1186" s="26" t="str">
        <f t="shared" si="37"/>
        <v>23</v>
      </c>
      <c r="E1186" s="26"/>
      <c r="F1186" s="26"/>
      <c r="H1186" s="27"/>
      <c r="I1186" s="27"/>
      <c r="J1186" s="27"/>
      <c r="K1186" s="27"/>
      <c r="L1186" s="27"/>
      <c r="M1186" s="27"/>
      <c r="N1186" s="40"/>
      <c r="O1186" s="27"/>
      <c r="P1186" s="27"/>
      <c r="Q1186" s="41"/>
      <c r="R1186" s="40"/>
    </row>
    <row r="1187" spans="1:18" ht="30" customHeight="1" x14ac:dyDescent="0.3">
      <c r="A1187" s="26" t="str">
        <f t="shared" si="36"/>
        <v/>
      </c>
      <c r="B1187" s="26">
        <f>COUNTIFS($A$4:A1187,A1187)</f>
        <v>24</v>
      </c>
      <c r="C1187" s="26" t="str">
        <f t="shared" si="37"/>
        <v>24</v>
      </c>
      <c r="E1187" s="26"/>
      <c r="F1187" s="26"/>
      <c r="H1187" s="27"/>
      <c r="I1187" s="27"/>
      <c r="J1187" s="27"/>
      <c r="K1187" s="27"/>
      <c r="L1187" s="27"/>
      <c r="M1187" s="27"/>
      <c r="N1187" s="40"/>
      <c r="O1187" s="27"/>
      <c r="P1187" s="27"/>
      <c r="Q1187" s="41"/>
      <c r="R1187" s="40"/>
    </row>
    <row r="1188" spans="1:18" ht="30" customHeight="1" x14ac:dyDescent="0.3">
      <c r="A1188" s="26" t="str">
        <f t="shared" si="36"/>
        <v/>
      </c>
      <c r="B1188" s="26">
        <f>COUNTIFS($A$4:A1188,A1188)</f>
        <v>25</v>
      </c>
      <c r="C1188" s="26" t="str">
        <f t="shared" si="37"/>
        <v>25</v>
      </c>
      <c r="E1188" s="26"/>
      <c r="F1188" s="26"/>
      <c r="H1188" s="27"/>
      <c r="I1188" s="27"/>
      <c r="J1188" s="27"/>
      <c r="K1188" s="27"/>
      <c r="L1188" s="27"/>
      <c r="M1188" s="27"/>
      <c r="N1188" s="40"/>
      <c r="O1188" s="27"/>
      <c r="P1188" s="27"/>
      <c r="Q1188" s="41"/>
      <c r="R1188" s="40"/>
    </row>
    <row r="1189" spans="1:18" ht="30" customHeight="1" x14ac:dyDescent="0.3">
      <c r="A1189" s="26" t="str">
        <f t="shared" si="36"/>
        <v/>
      </c>
      <c r="B1189" s="26">
        <f>COUNTIFS($A$4:A1189,A1189)</f>
        <v>26</v>
      </c>
      <c r="C1189" s="26" t="str">
        <f t="shared" si="37"/>
        <v>26</v>
      </c>
      <c r="E1189" s="26"/>
      <c r="F1189" s="26"/>
      <c r="H1189" s="27"/>
      <c r="I1189" s="27"/>
      <c r="J1189" s="27"/>
      <c r="K1189" s="27"/>
      <c r="L1189" s="27"/>
      <c r="M1189" s="27"/>
      <c r="N1189" s="40"/>
      <c r="O1189" s="27"/>
      <c r="P1189" s="27"/>
      <c r="Q1189" s="41"/>
      <c r="R1189" s="40"/>
    </row>
    <row r="1190" spans="1:18" ht="30" customHeight="1" x14ac:dyDescent="0.3">
      <c r="A1190" s="26" t="str">
        <f t="shared" si="36"/>
        <v/>
      </c>
      <c r="B1190" s="26">
        <f>COUNTIFS($A$4:A1190,A1190)</f>
        <v>27</v>
      </c>
      <c r="C1190" s="26" t="str">
        <f t="shared" si="37"/>
        <v>27</v>
      </c>
      <c r="E1190" s="26"/>
      <c r="F1190" s="26"/>
      <c r="H1190" s="27"/>
      <c r="I1190" s="27"/>
      <c r="J1190" s="27"/>
      <c r="K1190" s="27"/>
      <c r="L1190" s="27"/>
      <c r="M1190" s="27"/>
      <c r="N1190" s="40"/>
      <c r="O1190" s="27"/>
      <c r="P1190" s="27"/>
      <c r="Q1190" s="41"/>
      <c r="R1190" s="40"/>
    </row>
    <row r="1191" spans="1:18" ht="30" customHeight="1" x14ac:dyDescent="0.3">
      <c r="A1191" s="26" t="str">
        <f t="shared" si="36"/>
        <v/>
      </c>
      <c r="B1191" s="26">
        <f>COUNTIFS($A$4:A1191,A1191)</f>
        <v>28</v>
      </c>
      <c r="C1191" s="26" t="str">
        <f t="shared" si="37"/>
        <v>28</v>
      </c>
      <c r="E1191" s="26"/>
      <c r="F1191" s="26"/>
      <c r="H1191" s="27"/>
      <c r="I1191" s="27"/>
      <c r="J1191" s="27"/>
      <c r="K1191" s="27"/>
      <c r="L1191" s="27"/>
      <c r="M1191" s="27"/>
      <c r="N1191" s="40"/>
      <c r="O1191" s="27"/>
      <c r="P1191" s="27"/>
      <c r="Q1191" s="41"/>
      <c r="R1191" s="40"/>
    </row>
    <row r="1192" spans="1:18" ht="30" customHeight="1" x14ac:dyDescent="0.3">
      <c r="A1192" s="26" t="str">
        <f t="shared" si="36"/>
        <v/>
      </c>
      <c r="B1192" s="26">
        <f>COUNTIFS($A$4:A1192,A1192)</f>
        <v>29</v>
      </c>
      <c r="C1192" s="26" t="str">
        <f t="shared" si="37"/>
        <v>29</v>
      </c>
      <c r="E1192" s="26"/>
      <c r="F1192" s="26"/>
      <c r="H1192" s="27"/>
      <c r="I1192" s="27"/>
      <c r="J1192" s="27"/>
      <c r="K1192" s="27"/>
      <c r="L1192" s="27"/>
      <c r="M1192" s="27"/>
      <c r="N1192" s="40"/>
      <c r="O1192" s="27"/>
      <c r="P1192" s="27"/>
      <c r="Q1192" s="41"/>
      <c r="R1192" s="40"/>
    </row>
    <row r="1193" spans="1:18" ht="30" customHeight="1" x14ac:dyDescent="0.3">
      <c r="A1193" s="26" t="str">
        <f t="shared" si="36"/>
        <v/>
      </c>
      <c r="B1193" s="26">
        <f>COUNTIFS($A$4:A1193,A1193)</f>
        <v>30</v>
      </c>
      <c r="C1193" s="26" t="str">
        <f t="shared" si="37"/>
        <v>30</v>
      </c>
      <c r="E1193" s="26"/>
      <c r="F1193" s="26"/>
      <c r="H1193" s="27"/>
      <c r="I1193" s="27"/>
      <c r="J1193" s="27"/>
      <c r="K1193" s="27"/>
      <c r="L1193" s="27"/>
      <c r="M1193" s="27"/>
      <c r="N1193" s="40"/>
      <c r="O1193" s="27"/>
      <c r="P1193" s="27"/>
      <c r="Q1193" s="41"/>
      <c r="R1193" s="40"/>
    </row>
    <row r="1194" spans="1:18" ht="30" customHeight="1" x14ac:dyDescent="0.3">
      <c r="A1194" s="26" t="str">
        <f t="shared" si="36"/>
        <v/>
      </c>
      <c r="B1194" s="26">
        <f>COUNTIFS($A$4:A1194,A1194)</f>
        <v>31</v>
      </c>
      <c r="C1194" s="26" t="str">
        <f t="shared" si="37"/>
        <v>31</v>
      </c>
      <c r="E1194" s="26"/>
      <c r="F1194" s="26"/>
      <c r="H1194" s="27"/>
      <c r="I1194" s="27"/>
      <c r="J1194" s="27"/>
      <c r="K1194" s="27"/>
      <c r="L1194" s="27"/>
      <c r="M1194" s="27"/>
      <c r="N1194" s="40"/>
      <c r="O1194" s="27"/>
      <c r="P1194" s="27"/>
      <c r="Q1194" s="41"/>
      <c r="R1194" s="40"/>
    </row>
    <row r="1195" spans="1:18" ht="30" customHeight="1" x14ac:dyDescent="0.3">
      <c r="A1195" s="26" t="str">
        <f t="shared" si="36"/>
        <v/>
      </c>
      <c r="B1195" s="26">
        <f>COUNTIFS($A$4:A1195,A1195)</f>
        <v>32</v>
      </c>
      <c r="C1195" s="26" t="str">
        <f t="shared" si="37"/>
        <v>32</v>
      </c>
      <c r="E1195" s="26"/>
      <c r="F1195" s="26"/>
      <c r="H1195" s="27"/>
      <c r="I1195" s="27"/>
      <c r="J1195" s="27"/>
      <c r="K1195" s="27"/>
      <c r="L1195" s="27"/>
      <c r="M1195" s="27"/>
      <c r="N1195" s="40"/>
      <c r="O1195" s="27"/>
      <c r="P1195" s="27"/>
      <c r="Q1195" s="41"/>
      <c r="R1195" s="40"/>
    </row>
    <row r="1196" spans="1:18" ht="30" customHeight="1" x14ac:dyDescent="0.3">
      <c r="A1196" s="26" t="str">
        <f t="shared" si="36"/>
        <v/>
      </c>
      <c r="B1196" s="26">
        <f>COUNTIFS($A$4:A1196,A1196)</f>
        <v>33</v>
      </c>
      <c r="C1196" s="26" t="str">
        <f t="shared" si="37"/>
        <v>33</v>
      </c>
      <c r="E1196" s="26"/>
      <c r="F1196" s="26"/>
      <c r="H1196" s="27"/>
      <c r="I1196" s="27"/>
      <c r="J1196" s="27"/>
      <c r="K1196" s="27"/>
      <c r="L1196" s="27"/>
      <c r="M1196" s="27"/>
      <c r="N1196" s="40"/>
      <c r="O1196" s="27"/>
      <c r="P1196" s="27"/>
      <c r="Q1196" s="41"/>
      <c r="R1196" s="40"/>
    </row>
    <row r="1197" spans="1:18" ht="30" customHeight="1" x14ac:dyDescent="0.3">
      <c r="A1197" s="26" t="str">
        <f t="shared" si="36"/>
        <v/>
      </c>
      <c r="B1197" s="26">
        <f>COUNTIFS($A$4:A1197,A1197)</f>
        <v>34</v>
      </c>
      <c r="C1197" s="26" t="str">
        <f t="shared" si="37"/>
        <v>34</v>
      </c>
      <c r="E1197" s="26"/>
      <c r="F1197" s="26"/>
      <c r="H1197" s="27"/>
      <c r="I1197" s="27"/>
      <c r="J1197" s="27"/>
      <c r="K1197" s="27"/>
      <c r="L1197" s="27"/>
      <c r="M1197" s="27"/>
      <c r="N1197" s="40"/>
      <c r="O1197" s="27"/>
      <c r="P1197" s="27"/>
      <c r="Q1197" s="41"/>
      <c r="R1197" s="40"/>
    </row>
    <row r="1198" spans="1:18" ht="30" customHeight="1" x14ac:dyDescent="0.3">
      <c r="A1198" s="26" t="str">
        <f t="shared" si="36"/>
        <v/>
      </c>
      <c r="B1198" s="26">
        <f>COUNTIFS($A$4:A1198,A1198)</f>
        <v>35</v>
      </c>
      <c r="C1198" s="26" t="str">
        <f t="shared" si="37"/>
        <v>35</v>
      </c>
      <c r="E1198" s="26"/>
      <c r="F1198" s="26"/>
      <c r="H1198" s="27"/>
      <c r="I1198" s="27"/>
      <c r="J1198" s="27"/>
      <c r="K1198" s="27"/>
      <c r="L1198" s="27"/>
      <c r="M1198" s="27"/>
      <c r="N1198" s="40"/>
      <c r="O1198" s="27"/>
      <c r="P1198" s="27"/>
      <c r="Q1198" s="41"/>
      <c r="R1198" s="40"/>
    </row>
    <row r="1199" spans="1:18" ht="30" customHeight="1" x14ac:dyDescent="0.3">
      <c r="A1199" s="26" t="str">
        <f t="shared" si="36"/>
        <v/>
      </c>
      <c r="B1199" s="26">
        <f>COUNTIFS($A$4:A1199,A1199)</f>
        <v>36</v>
      </c>
      <c r="C1199" s="26" t="str">
        <f t="shared" si="37"/>
        <v>36</v>
      </c>
      <c r="E1199" s="26"/>
      <c r="F1199" s="26"/>
      <c r="H1199" s="27"/>
      <c r="I1199" s="27"/>
      <c r="J1199" s="27"/>
      <c r="K1199" s="27"/>
      <c r="L1199" s="27"/>
      <c r="M1199" s="27"/>
      <c r="N1199" s="40"/>
      <c r="O1199" s="27"/>
      <c r="P1199" s="27"/>
      <c r="Q1199" s="41"/>
      <c r="R1199" s="40"/>
    </row>
    <row r="1200" spans="1:18" ht="30" customHeight="1" x14ac:dyDescent="0.3">
      <c r="A1200" s="26" t="str">
        <f t="shared" si="36"/>
        <v/>
      </c>
      <c r="B1200" s="26">
        <f>COUNTIFS($A$4:A1200,A1200)</f>
        <v>37</v>
      </c>
      <c r="C1200" s="26" t="str">
        <f t="shared" si="37"/>
        <v>37</v>
      </c>
      <c r="E1200" s="26"/>
      <c r="F1200" s="26"/>
      <c r="H1200" s="27"/>
      <c r="I1200" s="27"/>
      <c r="J1200" s="27"/>
      <c r="K1200" s="27"/>
      <c r="L1200" s="27"/>
      <c r="M1200" s="27"/>
      <c r="N1200" s="40"/>
      <c r="O1200" s="27"/>
      <c r="P1200" s="27"/>
      <c r="Q1200" s="41"/>
      <c r="R1200" s="40"/>
    </row>
    <row r="1201" spans="1:18" ht="30" customHeight="1" x14ac:dyDescent="0.3">
      <c r="A1201" s="26" t="str">
        <f t="shared" si="36"/>
        <v/>
      </c>
      <c r="B1201" s="26">
        <f>COUNTIFS($A$4:A1201,A1201)</f>
        <v>38</v>
      </c>
      <c r="C1201" s="26" t="str">
        <f t="shared" si="37"/>
        <v>38</v>
      </c>
      <c r="E1201" s="26"/>
      <c r="F1201" s="26"/>
      <c r="H1201" s="27"/>
      <c r="I1201" s="27"/>
      <c r="J1201" s="27"/>
      <c r="K1201" s="27"/>
      <c r="L1201" s="27"/>
      <c r="M1201" s="27"/>
      <c r="N1201" s="40"/>
      <c r="O1201" s="27"/>
      <c r="P1201" s="27"/>
      <c r="Q1201" s="41"/>
      <c r="R1201" s="40"/>
    </row>
    <row r="1202" spans="1:18" ht="30" customHeight="1" x14ac:dyDescent="0.3">
      <c r="A1202" s="26" t="str">
        <f t="shared" si="36"/>
        <v/>
      </c>
      <c r="B1202" s="26">
        <f>COUNTIFS($A$4:A1202,A1202)</f>
        <v>39</v>
      </c>
      <c r="C1202" s="26" t="str">
        <f t="shared" si="37"/>
        <v>39</v>
      </c>
      <c r="E1202" s="26"/>
      <c r="F1202" s="26"/>
      <c r="H1202" s="27"/>
      <c r="I1202" s="27"/>
      <c r="J1202" s="27"/>
      <c r="K1202" s="27"/>
      <c r="L1202" s="27"/>
      <c r="M1202" s="27"/>
      <c r="N1202" s="40"/>
      <c r="O1202" s="27"/>
      <c r="P1202" s="27"/>
      <c r="Q1202" s="41"/>
      <c r="R1202" s="40"/>
    </row>
    <row r="1203" spans="1:18" ht="30" customHeight="1" x14ac:dyDescent="0.3">
      <c r="A1203" s="26" t="str">
        <f t="shared" si="36"/>
        <v/>
      </c>
      <c r="B1203" s="26">
        <f>COUNTIFS($A$4:A1203,A1203)</f>
        <v>40</v>
      </c>
      <c r="C1203" s="26" t="str">
        <f t="shared" si="37"/>
        <v>40</v>
      </c>
      <c r="E1203" s="26"/>
      <c r="F1203" s="26"/>
      <c r="H1203" s="27"/>
      <c r="I1203" s="27"/>
      <c r="J1203" s="27"/>
      <c r="K1203" s="27"/>
      <c r="L1203" s="27"/>
      <c r="M1203" s="27"/>
      <c r="N1203" s="40"/>
      <c r="O1203" s="27"/>
      <c r="P1203" s="27"/>
      <c r="Q1203" s="41"/>
      <c r="R1203" s="40"/>
    </row>
    <row r="1204" spans="1:18" ht="30" customHeight="1" x14ac:dyDescent="0.3">
      <c r="A1204" s="26" t="str">
        <f t="shared" si="36"/>
        <v/>
      </c>
      <c r="B1204" s="26">
        <f>COUNTIFS($A$4:A1204,A1204)</f>
        <v>41</v>
      </c>
      <c r="C1204" s="26" t="str">
        <f t="shared" si="37"/>
        <v>41</v>
      </c>
      <c r="E1204" s="26"/>
      <c r="F1204" s="26"/>
      <c r="H1204" s="27"/>
      <c r="I1204" s="27"/>
      <c r="J1204" s="27"/>
      <c r="K1204" s="27"/>
      <c r="L1204" s="27"/>
      <c r="M1204" s="27"/>
      <c r="N1204" s="40"/>
      <c r="O1204" s="27"/>
      <c r="P1204" s="27"/>
      <c r="Q1204" s="41"/>
      <c r="R1204" s="40"/>
    </row>
    <row r="1205" spans="1:18" ht="30" customHeight="1" x14ac:dyDescent="0.3">
      <c r="A1205" s="26" t="str">
        <f t="shared" si="36"/>
        <v/>
      </c>
      <c r="B1205" s="26">
        <f>COUNTIFS($A$4:A1205,A1205)</f>
        <v>42</v>
      </c>
      <c r="C1205" s="26" t="str">
        <f t="shared" si="37"/>
        <v>42</v>
      </c>
      <c r="E1205" s="26"/>
      <c r="F1205" s="26"/>
      <c r="H1205" s="27"/>
      <c r="I1205" s="27"/>
      <c r="J1205" s="27"/>
      <c r="K1205" s="27"/>
      <c r="L1205" s="27"/>
      <c r="M1205" s="27"/>
      <c r="N1205" s="40"/>
      <c r="O1205" s="27"/>
      <c r="P1205" s="27"/>
      <c r="Q1205" s="41"/>
      <c r="R1205" s="40"/>
    </row>
    <row r="1206" spans="1:18" ht="30" customHeight="1" x14ac:dyDescent="0.3">
      <c r="A1206" s="26" t="str">
        <f t="shared" si="36"/>
        <v/>
      </c>
      <c r="B1206" s="26">
        <f>COUNTIFS($A$4:A1206,A1206)</f>
        <v>43</v>
      </c>
      <c r="C1206" s="26" t="str">
        <f t="shared" si="37"/>
        <v>43</v>
      </c>
      <c r="E1206" s="26"/>
      <c r="F1206" s="26"/>
      <c r="H1206" s="27"/>
      <c r="I1206" s="27"/>
      <c r="J1206" s="27"/>
      <c r="K1206" s="27"/>
      <c r="L1206" s="27"/>
      <c r="M1206" s="27"/>
      <c r="N1206" s="40"/>
      <c r="O1206" s="27"/>
      <c r="P1206" s="27"/>
      <c r="Q1206" s="41"/>
      <c r="R1206" s="40"/>
    </row>
    <row r="1207" spans="1:18" ht="30" customHeight="1" x14ac:dyDescent="0.3">
      <c r="A1207" s="26" t="str">
        <f t="shared" si="36"/>
        <v/>
      </c>
      <c r="B1207" s="26">
        <f>COUNTIFS($A$4:A1207,A1207)</f>
        <v>44</v>
      </c>
      <c r="C1207" s="26" t="str">
        <f t="shared" si="37"/>
        <v>44</v>
      </c>
      <c r="E1207" s="26"/>
      <c r="F1207" s="26"/>
      <c r="H1207" s="27"/>
      <c r="I1207" s="27"/>
      <c r="J1207" s="27"/>
      <c r="K1207" s="27"/>
      <c r="L1207" s="27"/>
      <c r="M1207" s="27"/>
      <c r="N1207" s="40"/>
      <c r="O1207" s="27"/>
      <c r="P1207" s="27"/>
      <c r="Q1207" s="41"/>
      <c r="R1207" s="40"/>
    </row>
    <row r="1208" spans="1:18" ht="30" customHeight="1" x14ac:dyDescent="0.3">
      <c r="A1208" s="26" t="str">
        <f t="shared" si="36"/>
        <v/>
      </c>
      <c r="B1208" s="26">
        <f>COUNTIFS($A$4:A1208,A1208)</f>
        <v>45</v>
      </c>
      <c r="C1208" s="26" t="str">
        <f t="shared" si="37"/>
        <v>45</v>
      </c>
      <c r="E1208" s="26"/>
      <c r="F1208" s="26"/>
      <c r="H1208" s="27"/>
      <c r="I1208" s="27"/>
      <c r="J1208" s="27"/>
      <c r="K1208" s="27"/>
      <c r="L1208" s="27"/>
      <c r="M1208" s="27"/>
      <c r="N1208" s="40"/>
      <c r="O1208" s="27"/>
      <c r="P1208" s="27"/>
      <c r="Q1208" s="41"/>
      <c r="R1208" s="40"/>
    </row>
    <row r="1209" spans="1:18" ht="30" customHeight="1" x14ac:dyDescent="0.3">
      <c r="A1209" s="26" t="str">
        <f t="shared" si="36"/>
        <v/>
      </c>
      <c r="B1209" s="26">
        <f>COUNTIFS($A$4:A1209,A1209)</f>
        <v>46</v>
      </c>
      <c r="C1209" s="26" t="str">
        <f t="shared" si="37"/>
        <v>46</v>
      </c>
      <c r="E1209" s="26"/>
      <c r="F1209" s="26"/>
      <c r="H1209" s="27"/>
      <c r="I1209" s="27"/>
      <c r="J1209" s="27"/>
      <c r="K1209" s="27"/>
      <c r="L1209" s="27"/>
      <c r="M1209" s="27"/>
      <c r="N1209" s="40"/>
      <c r="O1209" s="27"/>
      <c r="P1209" s="27"/>
      <c r="Q1209" s="41"/>
      <c r="R1209" s="40"/>
    </row>
    <row r="1210" spans="1:18" ht="30" customHeight="1" x14ac:dyDescent="0.3">
      <c r="A1210" s="26" t="str">
        <f t="shared" si="36"/>
        <v/>
      </c>
      <c r="B1210" s="26">
        <f>COUNTIFS($A$4:A1210,A1210)</f>
        <v>47</v>
      </c>
      <c r="C1210" s="26" t="str">
        <f t="shared" si="37"/>
        <v>47</v>
      </c>
      <c r="E1210" s="26"/>
      <c r="F1210" s="26"/>
      <c r="H1210" s="27"/>
      <c r="I1210" s="27"/>
      <c r="J1210" s="27"/>
      <c r="K1210" s="27"/>
      <c r="L1210" s="27"/>
      <c r="M1210" s="27"/>
      <c r="N1210" s="40"/>
      <c r="O1210" s="27"/>
      <c r="P1210" s="27"/>
      <c r="Q1210" s="41"/>
      <c r="R1210" s="40"/>
    </row>
    <row r="1211" spans="1:18" ht="30" customHeight="1" x14ac:dyDescent="0.3">
      <c r="A1211" s="26" t="str">
        <f t="shared" si="36"/>
        <v/>
      </c>
      <c r="B1211" s="26">
        <f>COUNTIFS($A$4:A1211,A1211)</f>
        <v>48</v>
      </c>
      <c r="C1211" s="26" t="str">
        <f t="shared" si="37"/>
        <v>48</v>
      </c>
      <c r="E1211" s="26"/>
      <c r="F1211" s="26"/>
      <c r="H1211" s="27"/>
      <c r="I1211" s="27"/>
      <c r="J1211" s="27"/>
      <c r="K1211" s="27"/>
      <c r="L1211" s="27"/>
      <c r="M1211" s="27"/>
      <c r="N1211" s="40"/>
      <c r="O1211" s="27"/>
      <c r="P1211" s="27"/>
      <c r="Q1211" s="41"/>
      <c r="R1211" s="40"/>
    </row>
    <row r="1212" spans="1:18" ht="30" customHeight="1" x14ac:dyDescent="0.3">
      <c r="A1212" s="26" t="str">
        <f t="shared" si="36"/>
        <v/>
      </c>
      <c r="B1212" s="26">
        <f>COUNTIFS($A$4:A1212,A1212)</f>
        <v>49</v>
      </c>
      <c r="C1212" s="26" t="str">
        <f t="shared" si="37"/>
        <v>49</v>
      </c>
      <c r="E1212" s="26"/>
      <c r="F1212" s="26"/>
      <c r="H1212" s="27"/>
      <c r="I1212" s="27"/>
      <c r="J1212" s="27"/>
      <c r="K1212" s="27"/>
      <c r="L1212" s="27"/>
      <c r="M1212" s="27"/>
      <c r="N1212" s="40"/>
      <c r="O1212" s="27"/>
      <c r="P1212" s="27"/>
      <c r="Q1212" s="41"/>
      <c r="R1212" s="40"/>
    </row>
    <row r="1213" spans="1:18" ht="30" customHeight="1" x14ac:dyDescent="0.3">
      <c r="A1213" s="26" t="str">
        <f t="shared" si="36"/>
        <v/>
      </c>
      <c r="B1213" s="26">
        <f>COUNTIFS($A$4:A1213,A1213)</f>
        <v>50</v>
      </c>
      <c r="C1213" s="26" t="str">
        <f t="shared" si="37"/>
        <v>50</v>
      </c>
      <c r="E1213" s="26"/>
      <c r="F1213" s="26"/>
      <c r="H1213" s="27"/>
      <c r="I1213" s="27"/>
      <c r="J1213" s="27"/>
      <c r="K1213" s="27"/>
      <c r="L1213" s="27"/>
      <c r="M1213" s="27"/>
      <c r="N1213" s="40"/>
      <c r="O1213" s="27"/>
      <c r="P1213" s="27"/>
      <c r="Q1213" s="41"/>
      <c r="R1213" s="40"/>
    </row>
    <row r="1214" spans="1:18" ht="30" customHeight="1" x14ac:dyDescent="0.3">
      <c r="A1214" s="26" t="str">
        <f t="shared" si="36"/>
        <v/>
      </c>
      <c r="B1214" s="26">
        <f>COUNTIFS($A$4:A1214,A1214)</f>
        <v>51</v>
      </c>
      <c r="C1214" s="26" t="str">
        <f t="shared" si="37"/>
        <v>51</v>
      </c>
      <c r="E1214" s="26"/>
      <c r="F1214" s="26"/>
      <c r="H1214" s="27"/>
      <c r="I1214" s="27"/>
      <c r="J1214" s="27"/>
      <c r="K1214" s="27"/>
      <c r="L1214" s="27"/>
      <c r="M1214" s="27"/>
      <c r="N1214" s="40"/>
      <c r="O1214" s="27"/>
      <c r="P1214" s="27"/>
      <c r="Q1214" s="41"/>
      <c r="R1214" s="40"/>
    </row>
    <row r="1215" spans="1:18" ht="30" customHeight="1" x14ac:dyDescent="0.3">
      <c r="A1215" s="26" t="str">
        <f t="shared" si="36"/>
        <v/>
      </c>
      <c r="B1215" s="26">
        <f>COUNTIFS($A$4:A1215,A1215)</f>
        <v>52</v>
      </c>
      <c r="C1215" s="26" t="str">
        <f t="shared" si="37"/>
        <v>52</v>
      </c>
      <c r="E1215" s="26"/>
      <c r="F1215" s="26"/>
      <c r="H1215" s="27"/>
      <c r="I1215" s="27"/>
      <c r="J1215" s="27"/>
      <c r="K1215" s="27"/>
      <c r="L1215" s="27"/>
      <c r="M1215" s="27"/>
      <c r="N1215" s="40"/>
      <c r="O1215" s="27"/>
      <c r="P1215" s="27"/>
      <c r="Q1215" s="41"/>
      <c r="R1215" s="40"/>
    </row>
    <row r="1216" spans="1:18" ht="30" customHeight="1" x14ac:dyDescent="0.3">
      <c r="A1216" s="26" t="str">
        <f t="shared" si="36"/>
        <v/>
      </c>
      <c r="B1216" s="26">
        <f>COUNTIFS($A$4:A1216,A1216)</f>
        <v>53</v>
      </c>
      <c r="C1216" s="26" t="str">
        <f t="shared" si="37"/>
        <v>53</v>
      </c>
      <c r="E1216" s="26"/>
      <c r="F1216" s="26"/>
      <c r="H1216" s="27"/>
      <c r="I1216" s="27"/>
      <c r="J1216" s="27"/>
      <c r="K1216" s="27"/>
      <c r="L1216" s="27"/>
      <c r="M1216" s="27"/>
      <c r="N1216" s="40"/>
      <c r="O1216" s="27"/>
      <c r="P1216" s="27"/>
      <c r="Q1216" s="41"/>
      <c r="R1216" s="40"/>
    </row>
    <row r="1217" spans="1:18" ht="30" customHeight="1" x14ac:dyDescent="0.3">
      <c r="A1217" s="26" t="str">
        <f t="shared" si="36"/>
        <v/>
      </c>
      <c r="B1217" s="26">
        <f>COUNTIFS($A$4:A1217,A1217)</f>
        <v>54</v>
      </c>
      <c r="C1217" s="26" t="str">
        <f t="shared" si="37"/>
        <v>54</v>
      </c>
      <c r="E1217" s="26"/>
      <c r="F1217" s="26"/>
      <c r="H1217" s="27"/>
      <c r="I1217" s="27"/>
      <c r="J1217" s="27"/>
      <c r="K1217" s="27"/>
      <c r="L1217" s="27"/>
      <c r="M1217" s="27"/>
      <c r="N1217" s="40"/>
      <c r="O1217" s="27"/>
      <c r="P1217" s="27"/>
      <c r="Q1217" s="41"/>
      <c r="R1217" s="40"/>
    </row>
    <row r="1218" spans="1:18" ht="30" customHeight="1" x14ac:dyDescent="0.3">
      <c r="A1218" s="26" t="str">
        <f t="shared" si="36"/>
        <v/>
      </c>
      <c r="B1218" s="26">
        <f>COUNTIFS($A$4:A1218,A1218)</f>
        <v>55</v>
      </c>
      <c r="C1218" s="26" t="str">
        <f t="shared" si="37"/>
        <v>55</v>
      </c>
      <c r="E1218" s="26"/>
      <c r="F1218" s="26"/>
      <c r="H1218" s="27"/>
      <c r="I1218" s="27"/>
      <c r="J1218" s="27"/>
      <c r="K1218" s="27"/>
      <c r="L1218" s="27"/>
      <c r="M1218" s="27"/>
      <c r="N1218" s="40"/>
      <c r="O1218" s="27"/>
      <c r="P1218" s="27"/>
      <c r="Q1218" s="41"/>
      <c r="R1218" s="40"/>
    </row>
    <row r="1219" spans="1:18" ht="30" customHeight="1" x14ac:dyDescent="0.3">
      <c r="A1219" s="26" t="str">
        <f t="shared" si="36"/>
        <v/>
      </c>
      <c r="B1219" s="26">
        <f>COUNTIFS($A$4:A1219,A1219)</f>
        <v>56</v>
      </c>
      <c r="C1219" s="26" t="str">
        <f t="shared" si="37"/>
        <v>56</v>
      </c>
      <c r="E1219" s="26"/>
      <c r="F1219" s="26"/>
      <c r="H1219" s="27"/>
      <c r="I1219" s="27"/>
      <c r="J1219" s="27"/>
      <c r="K1219" s="27"/>
      <c r="L1219" s="27"/>
      <c r="M1219" s="27"/>
      <c r="N1219" s="40"/>
      <c r="O1219" s="27"/>
      <c r="P1219" s="27"/>
      <c r="Q1219" s="41"/>
      <c r="R1219" s="40"/>
    </row>
    <row r="1220" spans="1:18" ht="30" customHeight="1" x14ac:dyDescent="0.3">
      <c r="A1220" s="26" t="str">
        <f t="shared" si="36"/>
        <v/>
      </c>
      <c r="B1220" s="26">
        <f>COUNTIFS($A$4:A1220,A1220)</f>
        <v>57</v>
      </c>
      <c r="C1220" s="26" t="str">
        <f t="shared" si="37"/>
        <v>57</v>
      </c>
      <c r="E1220" s="26"/>
      <c r="F1220" s="26"/>
      <c r="H1220" s="27"/>
      <c r="I1220" s="27"/>
      <c r="J1220" s="27"/>
      <c r="K1220" s="27"/>
      <c r="L1220" s="27"/>
      <c r="M1220" s="27"/>
      <c r="N1220" s="40"/>
      <c r="O1220" s="27"/>
      <c r="P1220" s="27"/>
      <c r="Q1220" s="41"/>
      <c r="R1220" s="40"/>
    </row>
    <row r="1221" spans="1:18" ht="30" customHeight="1" x14ac:dyDescent="0.3">
      <c r="A1221" s="26" t="str">
        <f t="shared" si="36"/>
        <v/>
      </c>
      <c r="B1221" s="26">
        <f>COUNTIFS($A$4:A1221,A1221)</f>
        <v>58</v>
      </c>
      <c r="C1221" s="26" t="str">
        <f t="shared" si="37"/>
        <v>58</v>
      </c>
      <c r="E1221" s="26"/>
      <c r="F1221" s="26"/>
      <c r="H1221" s="27"/>
      <c r="I1221" s="27"/>
      <c r="J1221" s="27"/>
      <c r="K1221" s="27"/>
      <c r="L1221" s="27"/>
      <c r="M1221" s="27"/>
      <c r="N1221" s="40"/>
      <c r="O1221" s="27"/>
      <c r="P1221" s="27"/>
      <c r="Q1221" s="41"/>
      <c r="R1221" s="40"/>
    </row>
    <row r="1222" spans="1:18" ht="30" customHeight="1" x14ac:dyDescent="0.3">
      <c r="A1222" s="26" t="str">
        <f t="shared" si="36"/>
        <v/>
      </c>
      <c r="B1222" s="26">
        <f>COUNTIFS($A$4:A1222,A1222)</f>
        <v>59</v>
      </c>
      <c r="C1222" s="26" t="str">
        <f t="shared" si="37"/>
        <v>59</v>
      </c>
      <c r="E1222" s="26"/>
      <c r="F1222" s="26"/>
      <c r="H1222" s="27"/>
      <c r="I1222" s="27"/>
      <c r="J1222" s="27"/>
      <c r="K1222" s="27"/>
      <c r="L1222" s="27"/>
      <c r="M1222" s="27"/>
      <c r="N1222" s="40"/>
      <c r="O1222" s="27"/>
      <c r="P1222" s="27"/>
      <c r="Q1222" s="41"/>
      <c r="R1222" s="40"/>
    </row>
    <row r="1223" spans="1:18" ht="30" customHeight="1" x14ac:dyDescent="0.3">
      <c r="A1223" s="26" t="str">
        <f t="shared" si="36"/>
        <v/>
      </c>
      <c r="B1223" s="26">
        <f>COUNTIFS($A$4:A1223,A1223)</f>
        <v>60</v>
      </c>
      <c r="C1223" s="26" t="str">
        <f t="shared" si="37"/>
        <v>60</v>
      </c>
      <c r="E1223" s="26"/>
      <c r="F1223" s="26"/>
      <c r="H1223" s="27"/>
      <c r="I1223" s="27"/>
      <c r="J1223" s="27"/>
      <c r="K1223" s="27"/>
      <c r="L1223" s="27"/>
      <c r="M1223" s="27"/>
      <c r="N1223" s="40"/>
      <c r="O1223" s="27"/>
      <c r="P1223" s="27"/>
      <c r="Q1223" s="41"/>
      <c r="R1223" s="40"/>
    </row>
    <row r="1224" spans="1:18" ht="30" customHeight="1" x14ac:dyDescent="0.3">
      <c r="A1224" s="26" t="str">
        <f t="shared" si="36"/>
        <v/>
      </c>
      <c r="B1224" s="26">
        <f>COUNTIFS($A$4:A1224,A1224)</f>
        <v>61</v>
      </c>
      <c r="C1224" s="26" t="str">
        <f t="shared" si="37"/>
        <v>61</v>
      </c>
      <c r="E1224" s="26"/>
      <c r="F1224" s="26"/>
      <c r="H1224" s="27"/>
      <c r="I1224" s="27"/>
      <c r="J1224" s="27"/>
      <c r="K1224" s="27"/>
      <c r="L1224" s="27"/>
      <c r="M1224" s="27"/>
      <c r="N1224" s="40"/>
      <c r="O1224" s="27"/>
      <c r="P1224" s="27"/>
      <c r="Q1224" s="41"/>
      <c r="R1224" s="40"/>
    </row>
    <row r="1225" spans="1:18" ht="30" customHeight="1" x14ac:dyDescent="0.3">
      <c r="A1225" s="26" t="str">
        <f t="shared" si="36"/>
        <v/>
      </c>
      <c r="B1225" s="26">
        <f>COUNTIFS($A$4:A1225,A1225)</f>
        <v>62</v>
      </c>
      <c r="C1225" s="26" t="str">
        <f t="shared" si="37"/>
        <v>62</v>
      </c>
      <c r="E1225" s="26"/>
      <c r="F1225" s="26"/>
      <c r="H1225" s="27"/>
      <c r="I1225" s="27"/>
      <c r="J1225" s="27"/>
      <c r="K1225" s="27"/>
      <c r="L1225" s="27"/>
      <c r="M1225" s="27"/>
      <c r="N1225" s="40"/>
      <c r="O1225" s="27"/>
      <c r="P1225" s="27"/>
      <c r="Q1225" s="41"/>
      <c r="R1225" s="40"/>
    </row>
    <row r="1226" spans="1:18" ht="30" customHeight="1" x14ac:dyDescent="0.3">
      <c r="A1226" s="26" t="str">
        <f t="shared" si="36"/>
        <v/>
      </c>
      <c r="B1226" s="26">
        <f>COUNTIFS($A$4:A1226,A1226)</f>
        <v>63</v>
      </c>
      <c r="C1226" s="26" t="str">
        <f t="shared" si="37"/>
        <v>63</v>
      </c>
      <c r="E1226" s="26"/>
      <c r="F1226" s="26"/>
      <c r="H1226" s="27"/>
      <c r="I1226" s="27"/>
      <c r="J1226" s="27"/>
      <c r="K1226" s="27"/>
      <c r="L1226" s="27"/>
      <c r="M1226" s="27"/>
      <c r="N1226" s="40"/>
      <c r="O1226" s="27"/>
      <c r="P1226" s="27"/>
      <c r="Q1226" s="41"/>
      <c r="R1226" s="40"/>
    </row>
    <row r="1227" spans="1:18" ht="30" customHeight="1" x14ac:dyDescent="0.3">
      <c r="A1227" s="26" t="str">
        <f t="shared" si="36"/>
        <v/>
      </c>
      <c r="B1227" s="26">
        <f>COUNTIFS($A$4:A1227,A1227)</f>
        <v>64</v>
      </c>
      <c r="C1227" s="26" t="str">
        <f t="shared" si="37"/>
        <v>64</v>
      </c>
      <c r="E1227" s="26"/>
      <c r="F1227" s="26"/>
      <c r="H1227" s="27"/>
      <c r="I1227" s="27"/>
      <c r="J1227" s="27"/>
      <c r="K1227" s="27"/>
      <c r="L1227" s="27"/>
      <c r="M1227" s="27"/>
      <c r="N1227" s="40"/>
      <c r="O1227" s="27"/>
      <c r="P1227" s="27"/>
      <c r="Q1227" s="41"/>
      <c r="R1227" s="40"/>
    </row>
    <row r="1228" spans="1:18" ht="30" customHeight="1" x14ac:dyDescent="0.3">
      <c r="A1228" s="26" t="str">
        <f t="shared" si="36"/>
        <v/>
      </c>
      <c r="B1228" s="26">
        <f>COUNTIFS($A$4:A1228,A1228)</f>
        <v>65</v>
      </c>
      <c r="C1228" s="26" t="str">
        <f t="shared" si="37"/>
        <v>65</v>
      </c>
      <c r="E1228" s="26"/>
      <c r="F1228" s="26"/>
      <c r="H1228" s="27"/>
      <c r="I1228" s="27"/>
      <c r="J1228" s="27"/>
      <c r="K1228" s="27"/>
      <c r="L1228" s="27"/>
      <c r="M1228" s="27"/>
      <c r="N1228" s="40"/>
      <c r="O1228" s="27"/>
      <c r="P1228" s="27"/>
      <c r="Q1228" s="41"/>
      <c r="R1228" s="40"/>
    </row>
    <row r="1229" spans="1:18" ht="30" customHeight="1" x14ac:dyDescent="0.3">
      <c r="A1229" s="26" t="str">
        <f t="shared" si="36"/>
        <v/>
      </c>
      <c r="B1229" s="26">
        <f>COUNTIFS($A$4:A1229,A1229)</f>
        <v>66</v>
      </c>
      <c r="C1229" s="26" t="str">
        <f t="shared" si="37"/>
        <v>66</v>
      </c>
      <c r="E1229" s="26"/>
      <c r="F1229" s="26"/>
      <c r="H1229" s="27"/>
      <c r="I1229" s="27"/>
      <c r="J1229" s="27"/>
      <c r="K1229" s="27"/>
      <c r="L1229" s="27"/>
      <c r="M1229" s="27"/>
      <c r="N1229" s="40"/>
      <c r="O1229" s="27"/>
      <c r="P1229" s="27"/>
      <c r="Q1229" s="41"/>
      <c r="R1229" s="40"/>
    </row>
    <row r="1230" spans="1:18" ht="30" customHeight="1" x14ac:dyDescent="0.3">
      <c r="A1230" s="26" t="str">
        <f t="shared" si="36"/>
        <v/>
      </c>
      <c r="B1230" s="26">
        <f>COUNTIFS($A$4:A1230,A1230)</f>
        <v>67</v>
      </c>
      <c r="C1230" s="26" t="str">
        <f t="shared" si="37"/>
        <v>67</v>
      </c>
      <c r="E1230" s="26"/>
      <c r="F1230" s="26"/>
      <c r="H1230" s="27"/>
      <c r="I1230" s="27"/>
      <c r="J1230" s="27"/>
      <c r="K1230" s="27"/>
      <c r="L1230" s="27"/>
      <c r="M1230" s="27"/>
      <c r="N1230" s="40"/>
      <c r="O1230" s="27"/>
      <c r="P1230" s="27"/>
      <c r="Q1230" s="41"/>
      <c r="R1230" s="40"/>
    </row>
    <row r="1231" spans="1:18" ht="30" customHeight="1" x14ac:dyDescent="0.3">
      <c r="A1231" s="26" t="str">
        <f t="shared" si="36"/>
        <v/>
      </c>
      <c r="B1231" s="26">
        <f>COUNTIFS($A$4:A1231,A1231)</f>
        <v>68</v>
      </c>
      <c r="C1231" s="26" t="str">
        <f t="shared" si="37"/>
        <v>68</v>
      </c>
      <c r="E1231" s="26"/>
      <c r="F1231" s="26"/>
      <c r="H1231" s="27"/>
      <c r="I1231" s="27"/>
      <c r="J1231" s="27"/>
      <c r="K1231" s="27"/>
      <c r="L1231" s="27"/>
      <c r="M1231" s="27"/>
      <c r="N1231" s="40"/>
      <c r="O1231" s="27"/>
      <c r="P1231" s="27"/>
      <c r="Q1231" s="41"/>
      <c r="R1231" s="40"/>
    </row>
    <row r="1232" spans="1:18" ht="30" customHeight="1" x14ac:dyDescent="0.3">
      <c r="A1232" s="26" t="str">
        <f t="shared" si="36"/>
        <v/>
      </c>
      <c r="B1232" s="26">
        <f>COUNTIFS($A$4:A1232,A1232)</f>
        <v>69</v>
      </c>
      <c r="C1232" s="26" t="str">
        <f t="shared" si="37"/>
        <v>69</v>
      </c>
      <c r="E1232" s="26"/>
      <c r="F1232" s="26"/>
      <c r="H1232" s="27"/>
      <c r="I1232" s="27"/>
      <c r="J1232" s="27"/>
      <c r="K1232" s="27"/>
      <c r="L1232" s="27"/>
      <c r="M1232" s="27"/>
      <c r="N1232" s="40"/>
      <c r="O1232" s="27"/>
      <c r="P1232" s="27"/>
      <c r="Q1232" s="41"/>
      <c r="R1232" s="40"/>
    </row>
    <row r="1233" spans="1:18" ht="30" customHeight="1" x14ac:dyDescent="0.3">
      <c r="A1233" s="26" t="str">
        <f t="shared" ref="A1233:A1296" si="38">I1233&amp;H1233</f>
        <v/>
      </c>
      <c r="B1233" s="26">
        <f>COUNTIFS($A$4:A1233,A1233)</f>
        <v>70</v>
      </c>
      <c r="C1233" s="26" t="str">
        <f t="shared" ref="C1233:C1296" si="39">A1233&amp;B1233</f>
        <v>70</v>
      </c>
      <c r="E1233" s="26"/>
      <c r="F1233" s="26"/>
      <c r="H1233" s="27"/>
      <c r="I1233" s="27"/>
      <c r="J1233" s="27"/>
      <c r="K1233" s="27"/>
      <c r="L1233" s="27"/>
      <c r="M1233" s="27"/>
      <c r="N1233" s="40"/>
      <c r="O1233" s="27"/>
      <c r="P1233" s="27"/>
      <c r="Q1233" s="41"/>
      <c r="R1233" s="40"/>
    </row>
    <row r="1234" spans="1:18" ht="30" customHeight="1" x14ac:dyDescent="0.3">
      <c r="A1234" s="26" t="str">
        <f t="shared" si="38"/>
        <v/>
      </c>
      <c r="B1234" s="26">
        <f>COUNTIFS($A$4:A1234,A1234)</f>
        <v>71</v>
      </c>
      <c r="C1234" s="26" t="str">
        <f t="shared" si="39"/>
        <v>71</v>
      </c>
      <c r="E1234" s="26"/>
      <c r="F1234" s="26"/>
      <c r="H1234" s="27"/>
      <c r="I1234" s="27"/>
      <c r="J1234" s="27"/>
      <c r="K1234" s="27"/>
      <c r="L1234" s="27"/>
      <c r="M1234" s="27"/>
      <c r="N1234" s="40"/>
      <c r="O1234" s="27"/>
      <c r="P1234" s="27"/>
      <c r="Q1234" s="41"/>
      <c r="R1234" s="40"/>
    </row>
    <row r="1235" spans="1:18" ht="30" customHeight="1" x14ac:dyDescent="0.3">
      <c r="A1235" s="26" t="str">
        <f t="shared" si="38"/>
        <v/>
      </c>
      <c r="B1235" s="26">
        <f>COUNTIFS($A$4:A1235,A1235)</f>
        <v>72</v>
      </c>
      <c r="C1235" s="26" t="str">
        <f t="shared" si="39"/>
        <v>72</v>
      </c>
      <c r="E1235" s="26"/>
      <c r="F1235" s="26"/>
      <c r="H1235" s="27"/>
      <c r="I1235" s="27"/>
      <c r="J1235" s="27"/>
      <c r="K1235" s="27"/>
      <c r="L1235" s="27"/>
      <c r="M1235" s="27"/>
      <c r="N1235" s="40"/>
      <c r="O1235" s="27"/>
      <c r="P1235" s="27"/>
      <c r="Q1235" s="41"/>
      <c r="R1235" s="40"/>
    </row>
    <row r="1236" spans="1:18" ht="30" customHeight="1" x14ac:dyDescent="0.3">
      <c r="A1236" s="26" t="str">
        <f t="shared" si="38"/>
        <v/>
      </c>
      <c r="B1236" s="26">
        <f>COUNTIFS($A$4:A1236,A1236)</f>
        <v>73</v>
      </c>
      <c r="C1236" s="26" t="str">
        <f t="shared" si="39"/>
        <v>73</v>
      </c>
      <c r="E1236" s="26"/>
      <c r="F1236" s="26"/>
      <c r="H1236" s="27"/>
      <c r="I1236" s="27"/>
      <c r="J1236" s="27"/>
      <c r="K1236" s="27"/>
      <c r="L1236" s="27"/>
      <c r="M1236" s="27"/>
      <c r="N1236" s="40"/>
      <c r="O1236" s="27"/>
      <c r="P1236" s="27"/>
      <c r="Q1236" s="41"/>
      <c r="R1236" s="40"/>
    </row>
    <row r="1237" spans="1:18" ht="30" customHeight="1" x14ac:dyDescent="0.3">
      <c r="A1237" s="26" t="str">
        <f t="shared" si="38"/>
        <v/>
      </c>
      <c r="B1237" s="26">
        <f>COUNTIFS($A$4:A1237,A1237)</f>
        <v>74</v>
      </c>
      <c r="C1237" s="26" t="str">
        <f t="shared" si="39"/>
        <v>74</v>
      </c>
      <c r="E1237" s="26"/>
      <c r="F1237" s="26"/>
      <c r="H1237" s="27"/>
      <c r="I1237" s="27"/>
      <c r="J1237" s="27"/>
      <c r="K1237" s="27"/>
      <c r="L1237" s="27"/>
      <c r="M1237" s="27"/>
      <c r="N1237" s="40"/>
      <c r="O1237" s="27"/>
      <c r="P1237" s="27"/>
      <c r="Q1237" s="41"/>
      <c r="R1237" s="40"/>
    </row>
    <row r="1238" spans="1:18" ht="30" customHeight="1" x14ac:dyDescent="0.3">
      <c r="A1238" s="26" t="str">
        <f t="shared" si="38"/>
        <v/>
      </c>
      <c r="B1238" s="26">
        <f>COUNTIFS($A$4:A1238,A1238)</f>
        <v>75</v>
      </c>
      <c r="C1238" s="26" t="str">
        <f t="shared" si="39"/>
        <v>75</v>
      </c>
      <c r="E1238" s="26"/>
      <c r="F1238" s="26"/>
      <c r="H1238" s="27"/>
      <c r="I1238" s="27"/>
      <c r="J1238" s="27"/>
      <c r="K1238" s="27"/>
      <c r="L1238" s="27"/>
      <c r="M1238" s="27"/>
      <c r="N1238" s="40"/>
      <c r="O1238" s="27"/>
      <c r="P1238" s="27"/>
      <c r="Q1238" s="41"/>
      <c r="R1238" s="40"/>
    </row>
    <row r="1239" spans="1:18" ht="30" customHeight="1" x14ac:dyDescent="0.3">
      <c r="A1239" s="26" t="str">
        <f t="shared" si="38"/>
        <v/>
      </c>
      <c r="B1239" s="26">
        <f>COUNTIFS($A$4:A1239,A1239)</f>
        <v>76</v>
      </c>
      <c r="C1239" s="26" t="str">
        <f t="shared" si="39"/>
        <v>76</v>
      </c>
      <c r="E1239" s="26"/>
      <c r="F1239" s="26"/>
      <c r="H1239" s="27"/>
      <c r="I1239" s="27"/>
      <c r="J1239" s="27"/>
      <c r="K1239" s="27"/>
      <c r="L1239" s="27"/>
      <c r="M1239" s="27"/>
      <c r="N1239" s="40"/>
      <c r="O1239" s="27"/>
      <c r="P1239" s="27"/>
      <c r="Q1239" s="41"/>
      <c r="R1239" s="40"/>
    </row>
    <row r="1240" spans="1:18" ht="30" customHeight="1" x14ac:dyDescent="0.3">
      <c r="A1240" s="26" t="str">
        <f t="shared" si="38"/>
        <v/>
      </c>
      <c r="B1240" s="26">
        <f>COUNTIFS($A$4:A1240,A1240)</f>
        <v>77</v>
      </c>
      <c r="C1240" s="26" t="str">
        <f t="shared" si="39"/>
        <v>77</v>
      </c>
      <c r="E1240" s="26"/>
      <c r="F1240" s="26"/>
      <c r="H1240" s="27"/>
      <c r="I1240" s="27"/>
      <c r="J1240" s="27"/>
      <c r="K1240" s="27"/>
      <c r="L1240" s="27"/>
      <c r="M1240" s="27"/>
      <c r="N1240" s="40"/>
      <c r="O1240" s="27"/>
      <c r="P1240" s="27"/>
      <c r="Q1240" s="41"/>
      <c r="R1240" s="40"/>
    </row>
    <row r="1241" spans="1:18" ht="30" customHeight="1" x14ac:dyDescent="0.3">
      <c r="A1241" s="26" t="str">
        <f t="shared" si="38"/>
        <v/>
      </c>
      <c r="B1241" s="26">
        <f>COUNTIFS($A$4:A1241,A1241)</f>
        <v>78</v>
      </c>
      <c r="C1241" s="26" t="str">
        <f t="shared" si="39"/>
        <v>78</v>
      </c>
      <c r="E1241" s="26"/>
      <c r="F1241" s="26"/>
      <c r="H1241" s="27"/>
      <c r="I1241" s="27"/>
      <c r="J1241" s="27"/>
      <c r="K1241" s="27"/>
      <c r="L1241" s="27"/>
      <c r="M1241" s="27"/>
      <c r="N1241" s="40"/>
      <c r="O1241" s="27"/>
      <c r="P1241" s="27"/>
      <c r="Q1241" s="41"/>
      <c r="R1241" s="40"/>
    </row>
    <row r="1242" spans="1:18" ht="30" customHeight="1" x14ac:dyDescent="0.3">
      <c r="A1242" s="26" t="str">
        <f t="shared" si="38"/>
        <v/>
      </c>
      <c r="B1242" s="26">
        <f>COUNTIFS($A$4:A1242,A1242)</f>
        <v>79</v>
      </c>
      <c r="C1242" s="26" t="str">
        <f t="shared" si="39"/>
        <v>79</v>
      </c>
      <c r="E1242" s="26"/>
      <c r="F1242" s="26"/>
      <c r="H1242" s="27"/>
      <c r="I1242" s="27"/>
      <c r="J1242" s="27"/>
      <c r="K1242" s="27"/>
      <c r="L1242" s="27"/>
      <c r="M1242" s="27"/>
      <c r="N1242" s="40"/>
      <c r="O1242" s="27"/>
      <c r="P1242" s="27"/>
      <c r="Q1242" s="41"/>
      <c r="R1242" s="40"/>
    </row>
    <row r="1243" spans="1:18" ht="30" customHeight="1" x14ac:dyDescent="0.3">
      <c r="A1243" s="26" t="str">
        <f t="shared" si="38"/>
        <v/>
      </c>
      <c r="B1243" s="26">
        <f>COUNTIFS($A$4:A1243,A1243)</f>
        <v>80</v>
      </c>
      <c r="C1243" s="26" t="str">
        <f t="shared" si="39"/>
        <v>80</v>
      </c>
      <c r="E1243" s="26"/>
      <c r="F1243" s="26"/>
      <c r="H1243" s="27"/>
      <c r="I1243" s="27"/>
      <c r="J1243" s="27"/>
      <c r="K1243" s="27"/>
      <c r="L1243" s="27"/>
      <c r="M1243" s="27"/>
      <c r="N1243" s="40"/>
      <c r="O1243" s="27"/>
      <c r="P1243" s="27"/>
      <c r="Q1243" s="41"/>
      <c r="R1243" s="40"/>
    </row>
    <row r="1244" spans="1:18" ht="30" customHeight="1" x14ac:dyDescent="0.3">
      <c r="A1244" s="26" t="str">
        <f t="shared" si="38"/>
        <v/>
      </c>
      <c r="B1244" s="26">
        <f>COUNTIFS($A$4:A1244,A1244)</f>
        <v>81</v>
      </c>
      <c r="C1244" s="26" t="str">
        <f t="shared" si="39"/>
        <v>81</v>
      </c>
      <c r="E1244" s="26"/>
      <c r="F1244" s="26"/>
      <c r="H1244" s="27"/>
      <c r="I1244" s="27"/>
      <c r="J1244" s="27"/>
      <c r="K1244" s="27"/>
      <c r="L1244" s="27"/>
      <c r="M1244" s="27"/>
      <c r="N1244" s="40"/>
      <c r="O1244" s="27"/>
      <c r="P1244" s="27"/>
      <c r="Q1244" s="41"/>
      <c r="R1244" s="40"/>
    </row>
    <row r="1245" spans="1:18" ht="30" customHeight="1" x14ac:dyDescent="0.3">
      <c r="A1245" s="26" t="str">
        <f t="shared" si="38"/>
        <v/>
      </c>
      <c r="B1245" s="26">
        <f>COUNTIFS($A$4:A1245,A1245)</f>
        <v>82</v>
      </c>
      <c r="C1245" s="26" t="str">
        <f t="shared" si="39"/>
        <v>82</v>
      </c>
      <c r="E1245" s="26"/>
      <c r="F1245" s="26"/>
      <c r="H1245" s="27"/>
      <c r="I1245" s="27"/>
      <c r="J1245" s="27"/>
      <c r="K1245" s="27"/>
      <c r="L1245" s="27"/>
      <c r="M1245" s="27"/>
      <c r="N1245" s="40"/>
      <c r="O1245" s="27"/>
      <c r="P1245" s="27"/>
      <c r="Q1245" s="41"/>
      <c r="R1245" s="40"/>
    </row>
    <row r="1246" spans="1:18" ht="30" customHeight="1" x14ac:dyDescent="0.3">
      <c r="A1246" s="26" t="str">
        <f t="shared" si="38"/>
        <v/>
      </c>
      <c r="B1246" s="26">
        <f>COUNTIFS($A$4:A1246,A1246)</f>
        <v>83</v>
      </c>
      <c r="C1246" s="26" t="str">
        <f t="shared" si="39"/>
        <v>83</v>
      </c>
      <c r="E1246" s="26"/>
      <c r="F1246" s="26"/>
      <c r="H1246" s="27"/>
      <c r="I1246" s="27"/>
      <c r="J1246" s="27"/>
      <c r="K1246" s="27"/>
      <c r="L1246" s="27"/>
      <c r="M1246" s="27"/>
      <c r="N1246" s="40"/>
      <c r="O1246" s="27"/>
      <c r="P1246" s="27"/>
      <c r="Q1246" s="41"/>
      <c r="R1246" s="40"/>
    </row>
    <row r="1247" spans="1:18" ht="30" customHeight="1" x14ac:dyDescent="0.3">
      <c r="A1247" s="26" t="str">
        <f t="shared" si="38"/>
        <v/>
      </c>
      <c r="B1247" s="26">
        <f>COUNTIFS($A$4:A1247,A1247)</f>
        <v>84</v>
      </c>
      <c r="C1247" s="26" t="str">
        <f t="shared" si="39"/>
        <v>84</v>
      </c>
      <c r="E1247" s="26"/>
      <c r="F1247" s="26"/>
      <c r="H1247" s="27"/>
      <c r="I1247" s="27"/>
      <c r="J1247" s="27"/>
      <c r="K1247" s="27"/>
      <c r="L1247" s="27"/>
      <c r="M1247" s="27"/>
      <c r="N1247" s="40"/>
      <c r="O1247" s="27"/>
      <c r="P1247" s="27"/>
      <c r="Q1247" s="41"/>
      <c r="R1247" s="40"/>
    </row>
    <row r="1248" spans="1:18" ht="30" customHeight="1" x14ac:dyDescent="0.3">
      <c r="A1248" s="26" t="str">
        <f t="shared" si="38"/>
        <v/>
      </c>
      <c r="B1248" s="26">
        <f>COUNTIFS($A$4:A1248,A1248)</f>
        <v>85</v>
      </c>
      <c r="C1248" s="26" t="str">
        <f t="shared" si="39"/>
        <v>85</v>
      </c>
      <c r="E1248" s="26"/>
      <c r="F1248" s="26"/>
      <c r="H1248" s="27"/>
      <c r="I1248" s="27"/>
      <c r="J1248" s="27"/>
      <c r="K1248" s="27"/>
      <c r="L1248" s="27"/>
      <c r="M1248" s="27"/>
      <c r="N1248" s="40"/>
      <c r="O1248" s="27"/>
      <c r="P1248" s="27"/>
      <c r="Q1248" s="41"/>
      <c r="R1248" s="40"/>
    </row>
    <row r="1249" spans="1:18" ht="30" customHeight="1" x14ac:dyDescent="0.3">
      <c r="A1249" s="26" t="str">
        <f t="shared" si="38"/>
        <v/>
      </c>
      <c r="B1249" s="26">
        <f>COUNTIFS($A$4:A1249,A1249)</f>
        <v>86</v>
      </c>
      <c r="C1249" s="26" t="str">
        <f t="shared" si="39"/>
        <v>86</v>
      </c>
      <c r="E1249" s="26"/>
      <c r="F1249" s="26"/>
      <c r="H1249" s="27"/>
      <c r="I1249" s="27"/>
      <c r="J1249" s="27"/>
      <c r="K1249" s="27"/>
      <c r="L1249" s="27"/>
      <c r="M1249" s="27"/>
      <c r="N1249" s="40"/>
      <c r="O1249" s="27"/>
      <c r="P1249" s="27"/>
      <c r="Q1249" s="41"/>
      <c r="R1249" s="40"/>
    </row>
    <row r="1250" spans="1:18" ht="30" customHeight="1" x14ac:dyDescent="0.3">
      <c r="A1250" s="26" t="str">
        <f t="shared" si="38"/>
        <v/>
      </c>
      <c r="B1250" s="26">
        <f>COUNTIFS($A$4:A1250,A1250)</f>
        <v>87</v>
      </c>
      <c r="C1250" s="26" t="str">
        <f t="shared" si="39"/>
        <v>87</v>
      </c>
      <c r="E1250" s="26"/>
      <c r="F1250" s="26"/>
      <c r="H1250" s="27"/>
      <c r="I1250" s="27"/>
      <c r="J1250" s="27"/>
      <c r="K1250" s="27"/>
      <c r="L1250" s="27"/>
      <c r="M1250" s="27"/>
      <c r="N1250" s="40"/>
      <c r="O1250" s="27"/>
      <c r="P1250" s="27"/>
      <c r="Q1250" s="41"/>
      <c r="R1250" s="40"/>
    </row>
    <row r="1251" spans="1:18" ht="30" customHeight="1" x14ac:dyDescent="0.3">
      <c r="A1251" s="26" t="str">
        <f t="shared" si="38"/>
        <v/>
      </c>
      <c r="B1251" s="26">
        <f>COUNTIFS($A$4:A1251,A1251)</f>
        <v>88</v>
      </c>
      <c r="C1251" s="26" t="str">
        <f t="shared" si="39"/>
        <v>88</v>
      </c>
      <c r="E1251" s="26"/>
      <c r="F1251" s="26"/>
      <c r="H1251" s="27"/>
      <c r="I1251" s="27"/>
      <c r="J1251" s="27"/>
      <c r="K1251" s="27"/>
      <c r="L1251" s="27"/>
      <c r="M1251" s="27"/>
      <c r="N1251" s="40"/>
      <c r="O1251" s="27"/>
      <c r="P1251" s="27"/>
      <c r="Q1251" s="41"/>
      <c r="R1251" s="40"/>
    </row>
    <row r="1252" spans="1:18" ht="30" customHeight="1" x14ac:dyDescent="0.3">
      <c r="A1252" s="26" t="str">
        <f t="shared" si="38"/>
        <v/>
      </c>
      <c r="B1252" s="26">
        <f>COUNTIFS($A$4:A1252,A1252)</f>
        <v>89</v>
      </c>
      <c r="C1252" s="26" t="str">
        <f t="shared" si="39"/>
        <v>89</v>
      </c>
      <c r="E1252" s="26"/>
      <c r="F1252" s="26"/>
      <c r="H1252" s="27"/>
      <c r="I1252" s="27"/>
      <c r="J1252" s="27"/>
      <c r="K1252" s="27"/>
      <c r="L1252" s="27"/>
      <c r="M1252" s="27"/>
      <c r="N1252" s="40"/>
      <c r="O1252" s="27"/>
      <c r="P1252" s="27"/>
      <c r="Q1252" s="41"/>
      <c r="R1252" s="40"/>
    </row>
    <row r="1253" spans="1:18" ht="30" customHeight="1" x14ac:dyDescent="0.3">
      <c r="A1253" s="26" t="str">
        <f t="shared" si="38"/>
        <v/>
      </c>
      <c r="B1253" s="26">
        <f>COUNTIFS($A$4:A1253,A1253)</f>
        <v>90</v>
      </c>
      <c r="C1253" s="26" t="str">
        <f t="shared" si="39"/>
        <v>90</v>
      </c>
      <c r="E1253" s="26"/>
      <c r="F1253" s="26"/>
      <c r="H1253" s="27"/>
      <c r="I1253" s="27"/>
      <c r="J1253" s="27"/>
      <c r="K1253" s="27"/>
      <c r="L1253" s="27"/>
      <c r="M1253" s="27"/>
      <c r="N1253" s="40"/>
      <c r="O1253" s="27"/>
      <c r="P1253" s="27"/>
      <c r="Q1253" s="41"/>
      <c r="R1253" s="40"/>
    </row>
    <row r="1254" spans="1:18" ht="30" customHeight="1" x14ac:dyDescent="0.3">
      <c r="A1254" s="26" t="str">
        <f t="shared" si="38"/>
        <v/>
      </c>
      <c r="B1254" s="26">
        <f>COUNTIFS($A$4:A1254,A1254)</f>
        <v>91</v>
      </c>
      <c r="C1254" s="26" t="str">
        <f t="shared" si="39"/>
        <v>91</v>
      </c>
      <c r="E1254" s="26"/>
      <c r="F1254" s="26"/>
      <c r="H1254" s="27"/>
      <c r="I1254" s="27"/>
      <c r="J1254" s="27"/>
      <c r="K1254" s="27"/>
      <c r="L1254" s="27"/>
      <c r="M1254" s="27"/>
      <c r="N1254" s="40"/>
      <c r="O1254" s="27"/>
      <c r="P1254" s="27"/>
      <c r="Q1254" s="41"/>
      <c r="R1254" s="40"/>
    </row>
    <row r="1255" spans="1:18" ht="30" customHeight="1" x14ac:dyDescent="0.3">
      <c r="A1255" s="26" t="str">
        <f t="shared" si="38"/>
        <v/>
      </c>
      <c r="B1255" s="26">
        <f>COUNTIFS($A$4:A1255,A1255)</f>
        <v>92</v>
      </c>
      <c r="C1255" s="26" t="str">
        <f t="shared" si="39"/>
        <v>92</v>
      </c>
      <c r="E1255" s="26"/>
      <c r="F1255" s="26"/>
      <c r="H1255" s="27"/>
      <c r="I1255" s="27"/>
      <c r="J1255" s="27"/>
      <c r="K1255" s="27"/>
      <c r="L1255" s="27"/>
      <c r="M1255" s="27"/>
      <c r="N1255" s="40"/>
      <c r="O1255" s="27"/>
      <c r="P1255" s="27"/>
      <c r="Q1255" s="41"/>
      <c r="R1255" s="40"/>
    </row>
    <row r="1256" spans="1:18" ht="30" customHeight="1" x14ac:dyDescent="0.3">
      <c r="A1256" s="26" t="str">
        <f t="shared" si="38"/>
        <v/>
      </c>
      <c r="B1256" s="26">
        <f>COUNTIFS($A$4:A1256,A1256)</f>
        <v>93</v>
      </c>
      <c r="C1256" s="26" t="str">
        <f t="shared" si="39"/>
        <v>93</v>
      </c>
      <c r="E1256" s="26"/>
      <c r="F1256" s="26"/>
      <c r="H1256" s="27"/>
      <c r="I1256" s="27"/>
      <c r="J1256" s="27"/>
      <c r="K1256" s="27"/>
      <c r="L1256" s="27"/>
      <c r="M1256" s="27"/>
      <c r="N1256" s="40"/>
      <c r="O1256" s="27"/>
      <c r="P1256" s="27"/>
      <c r="Q1256" s="41"/>
      <c r="R1256" s="40"/>
    </row>
    <row r="1257" spans="1:18" ht="30" customHeight="1" x14ac:dyDescent="0.3">
      <c r="A1257" s="26" t="str">
        <f t="shared" si="38"/>
        <v/>
      </c>
      <c r="B1257" s="26">
        <f>COUNTIFS($A$4:A1257,A1257)</f>
        <v>94</v>
      </c>
      <c r="C1257" s="26" t="str">
        <f t="shared" si="39"/>
        <v>94</v>
      </c>
      <c r="E1257" s="26"/>
      <c r="F1257" s="26"/>
      <c r="H1257" s="27"/>
      <c r="I1257" s="27"/>
      <c r="J1257" s="27"/>
      <c r="K1257" s="27"/>
      <c r="L1257" s="27"/>
      <c r="M1257" s="27"/>
      <c r="N1257" s="40"/>
      <c r="O1257" s="27"/>
      <c r="P1257" s="27"/>
      <c r="Q1257" s="41"/>
      <c r="R1257" s="40"/>
    </row>
    <row r="1258" spans="1:18" ht="30" customHeight="1" x14ac:dyDescent="0.3">
      <c r="A1258" s="26" t="str">
        <f t="shared" si="38"/>
        <v/>
      </c>
      <c r="B1258" s="26">
        <f>COUNTIFS($A$4:A1258,A1258)</f>
        <v>95</v>
      </c>
      <c r="C1258" s="26" t="str">
        <f t="shared" si="39"/>
        <v>95</v>
      </c>
      <c r="E1258" s="26"/>
      <c r="F1258" s="26"/>
      <c r="H1258" s="27"/>
      <c r="I1258" s="27"/>
      <c r="J1258" s="27"/>
      <c r="K1258" s="27"/>
      <c r="L1258" s="27"/>
      <c r="M1258" s="27"/>
      <c r="N1258" s="40"/>
      <c r="O1258" s="27"/>
      <c r="P1258" s="27"/>
      <c r="Q1258" s="41"/>
      <c r="R1258" s="40"/>
    </row>
    <row r="1259" spans="1:18" ht="30" customHeight="1" x14ac:dyDescent="0.3">
      <c r="A1259" s="26" t="str">
        <f t="shared" si="38"/>
        <v/>
      </c>
      <c r="B1259" s="26">
        <f>COUNTIFS($A$4:A1259,A1259)</f>
        <v>96</v>
      </c>
      <c r="C1259" s="26" t="str">
        <f t="shared" si="39"/>
        <v>96</v>
      </c>
      <c r="E1259" s="26"/>
      <c r="F1259" s="26"/>
      <c r="H1259" s="27"/>
      <c r="I1259" s="27"/>
      <c r="J1259" s="27"/>
      <c r="K1259" s="27"/>
      <c r="L1259" s="27"/>
      <c r="M1259" s="27"/>
      <c r="N1259" s="40"/>
      <c r="O1259" s="27"/>
      <c r="P1259" s="27"/>
      <c r="Q1259" s="41"/>
      <c r="R1259" s="40"/>
    </row>
    <row r="1260" spans="1:18" ht="30" customHeight="1" x14ac:dyDescent="0.3">
      <c r="A1260" s="26" t="str">
        <f t="shared" si="38"/>
        <v/>
      </c>
      <c r="B1260" s="26">
        <f>COUNTIFS($A$4:A1260,A1260)</f>
        <v>97</v>
      </c>
      <c r="C1260" s="26" t="str">
        <f t="shared" si="39"/>
        <v>97</v>
      </c>
      <c r="E1260" s="26"/>
      <c r="F1260" s="26"/>
      <c r="H1260" s="27"/>
      <c r="I1260" s="27"/>
      <c r="J1260" s="27"/>
      <c r="K1260" s="27"/>
      <c r="L1260" s="27"/>
      <c r="M1260" s="27"/>
      <c r="N1260" s="40"/>
      <c r="O1260" s="27"/>
      <c r="P1260" s="27"/>
      <c r="Q1260" s="41"/>
      <c r="R1260" s="40"/>
    </row>
    <row r="1261" spans="1:18" ht="30" customHeight="1" x14ac:dyDescent="0.3">
      <c r="A1261" s="26" t="str">
        <f t="shared" si="38"/>
        <v/>
      </c>
      <c r="B1261" s="26">
        <f>COUNTIFS($A$4:A1261,A1261)</f>
        <v>98</v>
      </c>
      <c r="C1261" s="26" t="str">
        <f t="shared" si="39"/>
        <v>98</v>
      </c>
      <c r="E1261" s="26"/>
      <c r="F1261" s="26"/>
      <c r="H1261" s="27"/>
      <c r="I1261" s="27"/>
      <c r="J1261" s="27"/>
      <c r="K1261" s="27"/>
      <c r="L1261" s="27"/>
      <c r="M1261" s="27"/>
      <c r="N1261" s="40"/>
      <c r="O1261" s="27"/>
      <c r="P1261" s="27"/>
      <c r="Q1261" s="41"/>
      <c r="R1261" s="40"/>
    </row>
    <row r="1262" spans="1:18" ht="30" customHeight="1" x14ac:dyDescent="0.3">
      <c r="A1262" s="26" t="str">
        <f t="shared" si="38"/>
        <v/>
      </c>
      <c r="B1262" s="26">
        <f>COUNTIFS($A$4:A1262,A1262)</f>
        <v>99</v>
      </c>
      <c r="C1262" s="26" t="str">
        <f t="shared" si="39"/>
        <v>99</v>
      </c>
      <c r="E1262" s="26"/>
      <c r="F1262" s="26"/>
      <c r="H1262" s="27"/>
      <c r="I1262" s="27"/>
      <c r="J1262" s="27"/>
      <c r="K1262" s="27"/>
      <c r="L1262" s="27"/>
      <c r="M1262" s="27"/>
      <c r="N1262" s="40"/>
      <c r="O1262" s="27"/>
      <c r="P1262" s="27"/>
      <c r="Q1262" s="41"/>
      <c r="R1262" s="40"/>
    </row>
    <row r="1263" spans="1:18" ht="30" customHeight="1" x14ac:dyDescent="0.3">
      <c r="A1263" s="26" t="str">
        <f t="shared" si="38"/>
        <v/>
      </c>
      <c r="B1263" s="26">
        <f>COUNTIFS($A$4:A1263,A1263)</f>
        <v>100</v>
      </c>
      <c r="C1263" s="26" t="str">
        <f t="shared" si="39"/>
        <v>100</v>
      </c>
      <c r="E1263" s="26"/>
      <c r="F1263" s="26"/>
      <c r="H1263" s="27"/>
      <c r="I1263" s="27"/>
      <c r="J1263" s="27"/>
      <c r="K1263" s="27"/>
      <c r="L1263" s="27"/>
      <c r="M1263" s="27"/>
      <c r="N1263" s="40"/>
      <c r="O1263" s="27"/>
      <c r="P1263" s="27"/>
      <c r="Q1263" s="41"/>
      <c r="R1263" s="40"/>
    </row>
    <row r="1264" spans="1:18" ht="30" customHeight="1" x14ac:dyDescent="0.3">
      <c r="A1264" s="26" t="str">
        <f t="shared" si="38"/>
        <v/>
      </c>
      <c r="B1264" s="26">
        <f>COUNTIFS($A$4:A1264,A1264)</f>
        <v>101</v>
      </c>
      <c r="C1264" s="26" t="str">
        <f t="shared" si="39"/>
        <v>101</v>
      </c>
      <c r="E1264" s="26"/>
      <c r="F1264" s="26"/>
      <c r="H1264" s="27"/>
      <c r="I1264" s="27"/>
      <c r="J1264" s="27"/>
      <c r="K1264" s="27"/>
      <c r="L1264" s="27"/>
      <c r="M1264" s="27"/>
      <c r="N1264" s="40"/>
      <c r="O1264" s="27"/>
      <c r="P1264" s="27"/>
      <c r="Q1264" s="41"/>
      <c r="R1264" s="40"/>
    </row>
    <row r="1265" spans="1:18" ht="30" customHeight="1" x14ac:dyDescent="0.3">
      <c r="A1265" s="26" t="str">
        <f t="shared" si="38"/>
        <v/>
      </c>
      <c r="B1265" s="26">
        <f>COUNTIFS($A$4:A1265,A1265)</f>
        <v>102</v>
      </c>
      <c r="C1265" s="26" t="str">
        <f t="shared" si="39"/>
        <v>102</v>
      </c>
      <c r="E1265" s="26"/>
      <c r="F1265" s="26"/>
      <c r="H1265" s="27"/>
      <c r="I1265" s="27"/>
      <c r="J1265" s="27"/>
      <c r="K1265" s="27"/>
      <c r="L1265" s="27"/>
      <c r="M1265" s="27"/>
      <c r="N1265" s="40"/>
      <c r="O1265" s="27"/>
      <c r="P1265" s="27"/>
      <c r="Q1265" s="41"/>
      <c r="R1265" s="40"/>
    </row>
    <row r="1266" spans="1:18" ht="30" customHeight="1" x14ac:dyDescent="0.3">
      <c r="A1266" s="26" t="str">
        <f t="shared" si="38"/>
        <v/>
      </c>
      <c r="B1266" s="26">
        <f>COUNTIFS($A$4:A1266,A1266)</f>
        <v>103</v>
      </c>
      <c r="C1266" s="26" t="str">
        <f t="shared" si="39"/>
        <v>103</v>
      </c>
      <c r="E1266" s="26"/>
      <c r="F1266" s="26"/>
      <c r="H1266" s="27"/>
      <c r="I1266" s="27"/>
      <c r="J1266" s="27"/>
      <c r="K1266" s="27"/>
      <c r="L1266" s="27"/>
      <c r="M1266" s="27"/>
      <c r="N1266" s="40"/>
      <c r="O1266" s="27"/>
      <c r="P1266" s="27"/>
      <c r="Q1266" s="41"/>
      <c r="R1266" s="40"/>
    </row>
    <row r="1267" spans="1:18" ht="30" customHeight="1" x14ac:dyDescent="0.3">
      <c r="A1267" s="26" t="str">
        <f t="shared" si="38"/>
        <v/>
      </c>
      <c r="B1267" s="26">
        <f>COUNTIFS($A$4:A1267,A1267)</f>
        <v>104</v>
      </c>
      <c r="C1267" s="26" t="str">
        <f t="shared" si="39"/>
        <v>104</v>
      </c>
      <c r="E1267" s="26"/>
      <c r="F1267" s="26"/>
      <c r="H1267" s="27"/>
      <c r="I1267" s="27"/>
      <c r="J1267" s="27"/>
      <c r="K1267" s="27"/>
      <c r="L1267" s="27"/>
      <c r="M1267" s="27"/>
      <c r="N1267" s="40"/>
      <c r="O1267" s="27"/>
      <c r="P1267" s="27"/>
      <c r="Q1267" s="41"/>
      <c r="R1267" s="40"/>
    </row>
    <row r="1268" spans="1:18" ht="30" customHeight="1" x14ac:dyDescent="0.3">
      <c r="A1268" s="26" t="str">
        <f t="shared" si="38"/>
        <v/>
      </c>
      <c r="B1268" s="26">
        <f>COUNTIFS($A$4:A1268,A1268)</f>
        <v>105</v>
      </c>
      <c r="C1268" s="26" t="str">
        <f t="shared" si="39"/>
        <v>105</v>
      </c>
      <c r="E1268" s="26"/>
      <c r="F1268" s="26"/>
      <c r="H1268" s="27"/>
      <c r="I1268" s="27"/>
      <c r="J1268" s="27"/>
      <c r="K1268" s="27"/>
      <c r="L1268" s="27"/>
      <c r="M1268" s="27"/>
      <c r="N1268" s="40"/>
      <c r="O1268" s="27"/>
      <c r="P1268" s="27"/>
      <c r="Q1268" s="41"/>
      <c r="R1268" s="40"/>
    </row>
    <row r="1269" spans="1:18" ht="30" customHeight="1" x14ac:dyDescent="0.3">
      <c r="A1269" s="26" t="str">
        <f t="shared" si="38"/>
        <v/>
      </c>
      <c r="B1269" s="26">
        <f>COUNTIFS($A$4:A1269,A1269)</f>
        <v>106</v>
      </c>
      <c r="C1269" s="26" t="str">
        <f t="shared" si="39"/>
        <v>106</v>
      </c>
      <c r="E1269" s="26"/>
      <c r="F1269" s="26"/>
      <c r="H1269" s="27"/>
      <c r="I1269" s="27"/>
      <c r="J1269" s="27"/>
      <c r="K1269" s="27"/>
      <c r="L1269" s="27"/>
      <c r="M1269" s="27"/>
      <c r="N1269" s="40"/>
      <c r="O1269" s="27"/>
      <c r="P1269" s="27"/>
      <c r="Q1269" s="41"/>
      <c r="R1269" s="40"/>
    </row>
    <row r="1270" spans="1:18" ht="30" customHeight="1" x14ac:dyDescent="0.3">
      <c r="A1270" s="26" t="str">
        <f t="shared" si="38"/>
        <v/>
      </c>
      <c r="B1270" s="26">
        <f>COUNTIFS($A$4:A1270,A1270)</f>
        <v>107</v>
      </c>
      <c r="C1270" s="26" t="str">
        <f t="shared" si="39"/>
        <v>107</v>
      </c>
      <c r="E1270" s="26"/>
      <c r="F1270" s="26"/>
      <c r="H1270" s="27"/>
      <c r="I1270" s="27"/>
      <c r="J1270" s="27"/>
      <c r="K1270" s="27"/>
      <c r="L1270" s="27"/>
      <c r="M1270" s="27"/>
      <c r="N1270" s="40"/>
      <c r="O1270" s="27"/>
      <c r="P1270" s="27"/>
      <c r="Q1270" s="41"/>
      <c r="R1270" s="40"/>
    </row>
    <row r="1271" spans="1:18" ht="30" customHeight="1" x14ac:dyDescent="0.3">
      <c r="A1271" s="26" t="str">
        <f t="shared" si="38"/>
        <v/>
      </c>
      <c r="B1271" s="26">
        <f>COUNTIFS($A$4:A1271,A1271)</f>
        <v>108</v>
      </c>
      <c r="C1271" s="26" t="str">
        <f t="shared" si="39"/>
        <v>108</v>
      </c>
      <c r="E1271" s="26"/>
      <c r="F1271" s="26"/>
      <c r="H1271" s="27"/>
      <c r="I1271" s="27"/>
      <c r="J1271" s="27"/>
      <c r="K1271" s="27"/>
      <c r="L1271" s="27"/>
      <c r="M1271" s="27"/>
      <c r="N1271" s="40"/>
      <c r="O1271" s="27"/>
      <c r="P1271" s="27"/>
      <c r="Q1271" s="41"/>
      <c r="R1271" s="40"/>
    </row>
    <row r="1272" spans="1:18" ht="30" customHeight="1" x14ac:dyDescent="0.3">
      <c r="A1272" s="26" t="str">
        <f t="shared" si="38"/>
        <v/>
      </c>
      <c r="B1272" s="26">
        <f>COUNTIFS($A$4:A1272,A1272)</f>
        <v>109</v>
      </c>
      <c r="C1272" s="26" t="str">
        <f t="shared" si="39"/>
        <v>109</v>
      </c>
      <c r="E1272" s="26"/>
      <c r="F1272" s="26"/>
      <c r="H1272" s="27"/>
      <c r="I1272" s="27"/>
      <c r="J1272" s="27"/>
      <c r="K1272" s="27"/>
      <c r="L1272" s="27"/>
      <c r="M1272" s="27"/>
      <c r="N1272" s="40"/>
      <c r="O1272" s="27"/>
      <c r="P1272" s="27"/>
      <c r="Q1272" s="41"/>
      <c r="R1272" s="40"/>
    </row>
    <row r="1273" spans="1:18" ht="30" customHeight="1" x14ac:dyDescent="0.3">
      <c r="A1273" s="26" t="str">
        <f t="shared" si="38"/>
        <v/>
      </c>
      <c r="B1273" s="26">
        <f>COUNTIFS($A$4:A1273,A1273)</f>
        <v>110</v>
      </c>
      <c r="C1273" s="26" t="str">
        <f t="shared" si="39"/>
        <v>110</v>
      </c>
      <c r="E1273" s="26"/>
      <c r="F1273" s="26"/>
      <c r="H1273" s="27"/>
      <c r="I1273" s="27"/>
      <c r="J1273" s="27"/>
      <c r="K1273" s="27"/>
      <c r="L1273" s="27"/>
      <c r="M1273" s="27"/>
      <c r="N1273" s="40"/>
      <c r="O1273" s="27"/>
      <c r="P1273" s="27"/>
      <c r="Q1273" s="41"/>
      <c r="R1273" s="40"/>
    </row>
    <row r="1274" spans="1:18" ht="30" customHeight="1" x14ac:dyDescent="0.3">
      <c r="A1274" s="26" t="str">
        <f t="shared" si="38"/>
        <v/>
      </c>
      <c r="B1274" s="26">
        <f>COUNTIFS($A$4:A1274,A1274)</f>
        <v>111</v>
      </c>
      <c r="C1274" s="26" t="str">
        <f t="shared" si="39"/>
        <v>111</v>
      </c>
      <c r="E1274" s="26"/>
      <c r="F1274" s="26"/>
      <c r="H1274" s="27"/>
      <c r="I1274" s="27"/>
      <c r="J1274" s="27"/>
      <c r="K1274" s="27"/>
      <c r="L1274" s="27"/>
      <c r="M1274" s="27"/>
      <c r="N1274" s="40"/>
      <c r="O1274" s="27"/>
      <c r="P1274" s="27"/>
      <c r="Q1274" s="41"/>
      <c r="R1274" s="40"/>
    </row>
    <row r="1275" spans="1:18" ht="30" customHeight="1" x14ac:dyDescent="0.3">
      <c r="A1275" s="26" t="str">
        <f t="shared" si="38"/>
        <v/>
      </c>
      <c r="B1275" s="26">
        <f>COUNTIFS($A$4:A1275,A1275)</f>
        <v>112</v>
      </c>
      <c r="C1275" s="26" t="str">
        <f t="shared" si="39"/>
        <v>112</v>
      </c>
      <c r="E1275" s="26"/>
      <c r="F1275" s="26"/>
      <c r="H1275" s="27"/>
      <c r="I1275" s="27"/>
      <c r="J1275" s="27"/>
      <c r="K1275" s="27"/>
      <c r="L1275" s="27"/>
      <c r="M1275" s="27"/>
      <c r="N1275" s="40"/>
      <c r="O1275" s="27"/>
      <c r="P1275" s="27"/>
      <c r="Q1275" s="41"/>
      <c r="R1275" s="40"/>
    </row>
    <row r="1276" spans="1:18" ht="30" customHeight="1" x14ac:dyDescent="0.3">
      <c r="A1276" s="26" t="str">
        <f t="shared" si="38"/>
        <v/>
      </c>
      <c r="B1276" s="26">
        <f>COUNTIFS($A$4:A1276,A1276)</f>
        <v>113</v>
      </c>
      <c r="C1276" s="26" t="str">
        <f t="shared" si="39"/>
        <v>113</v>
      </c>
      <c r="E1276" s="26"/>
      <c r="F1276" s="26"/>
      <c r="H1276" s="27"/>
      <c r="I1276" s="27"/>
      <c r="J1276" s="27"/>
      <c r="K1276" s="27"/>
      <c r="L1276" s="27"/>
      <c r="M1276" s="27"/>
      <c r="N1276" s="40"/>
      <c r="O1276" s="27"/>
      <c r="P1276" s="27"/>
      <c r="Q1276" s="41"/>
      <c r="R1276" s="40"/>
    </row>
    <row r="1277" spans="1:18" ht="30" customHeight="1" x14ac:dyDescent="0.3">
      <c r="A1277" s="26" t="str">
        <f t="shared" si="38"/>
        <v/>
      </c>
      <c r="B1277" s="26">
        <f>COUNTIFS($A$4:A1277,A1277)</f>
        <v>114</v>
      </c>
      <c r="C1277" s="26" t="str">
        <f t="shared" si="39"/>
        <v>114</v>
      </c>
      <c r="E1277" s="26"/>
      <c r="F1277" s="26"/>
      <c r="H1277" s="27"/>
      <c r="I1277" s="27"/>
      <c r="J1277" s="27"/>
      <c r="K1277" s="27"/>
      <c r="L1277" s="27"/>
      <c r="M1277" s="27"/>
      <c r="N1277" s="40"/>
      <c r="O1277" s="27"/>
      <c r="P1277" s="27"/>
      <c r="Q1277" s="41"/>
      <c r="R1277" s="40"/>
    </row>
    <row r="1278" spans="1:18" ht="30" customHeight="1" x14ac:dyDescent="0.3">
      <c r="A1278" s="26" t="str">
        <f t="shared" si="38"/>
        <v/>
      </c>
      <c r="B1278" s="26">
        <f>COUNTIFS($A$4:A1278,A1278)</f>
        <v>115</v>
      </c>
      <c r="C1278" s="26" t="str">
        <f t="shared" si="39"/>
        <v>115</v>
      </c>
      <c r="E1278" s="26"/>
      <c r="F1278" s="26"/>
      <c r="H1278" s="27"/>
      <c r="I1278" s="27"/>
      <c r="J1278" s="27"/>
      <c r="K1278" s="27"/>
      <c r="L1278" s="27"/>
      <c r="M1278" s="27"/>
      <c r="N1278" s="40"/>
      <c r="O1278" s="27"/>
      <c r="P1278" s="27"/>
      <c r="Q1278" s="41"/>
      <c r="R1278" s="40"/>
    </row>
    <row r="1279" spans="1:18" ht="30" customHeight="1" x14ac:dyDescent="0.3">
      <c r="A1279" s="26" t="str">
        <f t="shared" si="38"/>
        <v/>
      </c>
      <c r="B1279" s="26">
        <f>COUNTIFS($A$4:A1279,A1279)</f>
        <v>116</v>
      </c>
      <c r="C1279" s="26" t="str">
        <f t="shared" si="39"/>
        <v>116</v>
      </c>
      <c r="E1279" s="26"/>
      <c r="F1279" s="26"/>
      <c r="H1279" s="27"/>
      <c r="I1279" s="27"/>
      <c r="J1279" s="27"/>
      <c r="K1279" s="27"/>
      <c r="L1279" s="27"/>
      <c r="M1279" s="27"/>
      <c r="N1279" s="40"/>
      <c r="O1279" s="27"/>
      <c r="P1279" s="27"/>
      <c r="Q1279" s="41"/>
      <c r="R1279" s="40"/>
    </row>
    <row r="1280" spans="1:18" ht="30" customHeight="1" x14ac:dyDescent="0.3">
      <c r="A1280" s="26" t="str">
        <f t="shared" si="38"/>
        <v/>
      </c>
      <c r="B1280" s="26">
        <f>COUNTIFS($A$4:A1280,A1280)</f>
        <v>117</v>
      </c>
      <c r="C1280" s="26" t="str">
        <f t="shared" si="39"/>
        <v>117</v>
      </c>
      <c r="E1280" s="26"/>
      <c r="F1280" s="26"/>
      <c r="H1280" s="27"/>
      <c r="I1280" s="27"/>
      <c r="J1280" s="27"/>
      <c r="K1280" s="27"/>
      <c r="L1280" s="27"/>
      <c r="M1280" s="27"/>
      <c r="N1280" s="40"/>
      <c r="O1280" s="27"/>
      <c r="P1280" s="27"/>
      <c r="Q1280" s="41"/>
      <c r="R1280" s="40"/>
    </row>
    <row r="1281" spans="1:18" ht="30" customHeight="1" x14ac:dyDescent="0.3">
      <c r="A1281" s="26" t="str">
        <f t="shared" si="38"/>
        <v/>
      </c>
      <c r="B1281" s="26">
        <f>COUNTIFS($A$4:A1281,A1281)</f>
        <v>118</v>
      </c>
      <c r="C1281" s="26" t="str">
        <f t="shared" si="39"/>
        <v>118</v>
      </c>
      <c r="E1281" s="26"/>
      <c r="F1281" s="26"/>
      <c r="H1281" s="27"/>
      <c r="I1281" s="27"/>
      <c r="J1281" s="27"/>
      <c r="K1281" s="27"/>
      <c r="L1281" s="27"/>
      <c r="M1281" s="27"/>
      <c r="N1281" s="40"/>
      <c r="O1281" s="27"/>
      <c r="P1281" s="27"/>
      <c r="Q1281" s="41"/>
      <c r="R1281" s="40"/>
    </row>
    <row r="1282" spans="1:18" ht="30" customHeight="1" x14ac:dyDescent="0.3">
      <c r="A1282" s="26" t="str">
        <f t="shared" si="38"/>
        <v/>
      </c>
      <c r="B1282" s="26">
        <f>COUNTIFS($A$4:A1282,A1282)</f>
        <v>119</v>
      </c>
      <c r="C1282" s="26" t="str">
        <f t="shared" si="39"/>
        <v>119</v>
      </c>
      <c r="E1282" s="26"/>
      <c r="F1282" s="26"/>
      <c r="H1282" s="27"/>
      <c r="I1282" s="27"/>
      <c r="J1282" s="27"/>
      <c r="K1282" s="27"/>
      <c r="L1282" s="27"/>
      <c r="M1282" s="27"/>
      <c r="N1282" s="40"/>
      <c r="O1282" s="27"/>
      <c r="P1282" s="27"/>
      <c r="Q1282" s="41"/>
      <c r="R1282" s="40"/>
    </row>
    <row r="1283" spans="1:18" ht="30" customHeight="1" x14ac:dyDescent="0.3">
      <c r="A1283" s="26" t="str">
        <f t="shared" si="38"/>
        <v/>
      </c>
      <c r="B1283" s="26">
        <f>COUNTIFS($A$4:A1283,A1283)</f>
        <v>120</v>
      </c>
      <c r="C1283" s="26" t="str">
        <f t="shared" si="39"/>
        <v>120</v>
      </c>
      <c r="E1283" s="26"/>
      <c r="F1283" s="26"/>
      <c r="H1283" s="27"/>
      <c r="I1283" s="27"/>
      <c r="J1283" s="27"/>
      <c r="K1283" s="27"/>
      <c r="L1283" s="27"/>
      <c r="M1283" s="27"/>
      <c r="N1283" s="40"/>
      <c r="O1283" s="27"/>
      <c r="P1283" s="27"/>
      <c r="Q1283" s="41"/>
      <c r="R1283" s="40"/>
    </row>
    <row r="1284" spans="1:18" ht="30" customHeight="1" x14ac:dyDescent="0.3">
      <c r="A1284" s="26" t="str">
        <f t="shared" si="38"/>
        <v/>
      </c>
      <c r="B1284" s="26">
        <f>COUNTIFS($A$4:A1284,A1284)</f>
        <v>121</v>
      </c>
      <c r="C1284" s="26" t="str">
        <f t="shared" si="39"/>
        <v>121</v>
      </c>
      <c r="E1284" s="26"/>
      <c r="F1284" s="26"/>
      <c r="H1284" s="27"/>
      <c r="I1284" s="27"/>
      <c r="J1284" s="27"/>
      <c r="K1284" s="27"/>
      <c r="L1284" s="27"/>
      <c r="M1284" s="27"/>
      <c r="N1284" s="40"/>
      <c r="O1284" s="27"/>
      <c r="P1284" s="27"/>
      <c r="Q1284" s="41"/>
      <c r="R1284" s="40"/>
    </row>
    <row r="1285" spans="1:18" ht="30" customHeight="1" x14ac:dyDescent="0.3">
      <c r="A1285" s="26" t="str">
        <f t="shared" si="38"/>
        <v/>
      </c>
      <c r="B1285" s="26">
        <f>COUNTIFS($A$4:A1285,A1285)</f>
        <v>122</v>
      </c>
      <c r="C1285" s="26" t="str">
        <f t="shared" si="39"/>
        <v>122</v>
      </c>
      <c r="E1285" s="26"/>
      <c r="F1285" s="26"/>
      <c r="H1285" s="27"/>
      <c r="I1285" s="27"/>
      <c r="J1285" s="27"/>
      <c r="K1285" s="27"/>
      <c r="L1285" s="27"/>
      <c r="M1285" s="27"/>
      <c r="N1285" s="40"/>
      <c r="O1285" s="27"/>
      <c r="P1285" s="27"/>
      <c r="Q1285" s="41"/>
      <c r="R1285" s="40"/>
    </row>
    <row r="1286" spans="1:18" ht="30" customHeight="1" x14ac:dyDescent="0.3">
      <c r="A1286" s="26" t="str">
        <f t="shared" si="38"/>
        <v/>
      </c>
      <c r="B1286" s="26">
        <f>COUNTIFS($A$4:A1286,A1286)</f>
        <v>123</v>
      </c>
      <c r="C1286" s="26" t="str">
        <f t="shared" si="39"/>
        <v>123</v>
      </c>
      <c r="E1286" s="26"/>
      <c r="F1286" s="26"/>
      <c r="H1286" s="27"/>
      <c r="I1286" s="27"/>
      <c r="J1286" s="27"/>
      <c r="K1286" s="27"/>
      <c r="L1286" s="27"/>
      <c r="M1286" s="27"/>
      <c r="N1286" s="40"/>
      <c r="O1286" s="27"/>
      <c r="P1286" s="27"/>
      <c r="Q1286" s="41"/>
      <c r="R1286" s="40"/>
    </row>
    <row r="1287" spans="1:18" ht="30" customHeight="1" x14ac:dyDescent="0.3">
      <c r="A1287" s="26" t="str">
        <f t="shared" si="38"/>
        <v/>
      </c>
      <c r="B1287" s="26">
        <f>COUNTIFS($A$4:A1287,A1287)</f>
        <v>124</v>
      </c>
      <c r="C1287" s="26" t="str">
        <f t="shared" si="39"/>
        <v>124</v>
      </c>
      <c r="E1287" s="26"/>
      <c r="F1287" s="26"/>
      <c r="H1287" s="27"/>
      <c r="I1287" s="27"/>
      <c r="J1287" s="27"/>
      <c r="K1287" s="27"/>
      <c r="L1287" s="27"/>
      <c r="M1287" s="27"/>
      <c r="N1287" s="40"/>
      <c r="O1287" s="27"/>
      <c r="P1287" s="27"/>
      <c r="Q1287" s="41"/>
      <c r="R1287" s="40"/>
    </row>
    <row r="1288" spans="1:18" ht="30" customHeight="1" x14ac:dyDescent="0.3">
      <c r="A1288" s="26" t="str">
        <f t="shared" si="38"/>
        <v/>
      </c>
      <c r="B1288" s="26">
        <f>COUNTIFS($A$4:A1288,A1288)</f>
        <v>125</v>
      </c>
      <c r="C1288" s="26" t="str">
        <f t="shared" si="39"/>
        <v>125</v>
      </c>
      <c r="E1288" s="26"/>
      <c r="F1288" s="26"/>
      <c r="H1288" s="27"/>
      <c r="I1288" s="27"/>
      <c r="J1288" s="27"/>
      <c r="K1288" s="27"/>
      <c r="L1288" s="27"/>
      <c r="M1288" s="27"/>
      <c r="N1288" s="40"/>
      <c r="O1288" s="27"/>
      <c r="P1288" s="27"/>
      <c r="Q1288" s="41"/>
      <c r="R1288" s="40"/>
    </row>
    <row r="1289" spans="1:18" ht="30" customHeight="1" x14ac:dyDescent="0.3">
      <c r="A1289" s="26" t="str">
        <f t="shared" si="38"/>
        <v/>
      </c>
      <c r="B1289" s="26">
        <f>COUNTIFS($A$4:A1289,A1289)</f>
        <v>126</v>
      </c>
      <c r="C1289" s="26" t="str">
        <f t="shared" si="39"/>
        <v>126</v>
      </c>
      <c r="E1289" s="26"/>
      <c r="F1289" s="26"/>
      <c r="H1289" s="27"/>
      <c r="I1289" s="27"/>
      <c r="J1289" s="27"/>
      <c r="K1289" s="27"/>
      <c r="L1289" s="27"/>
      <c r="M1289" s="27"/>
      <c r="N1289" s="40"/>
      <c r="O1289" s="27"/>
      <c r="P1289" s="27"/>
      <c r="Q1289" s="41"/>
      <c r="R1289" s="40"/>
    </row>
    <row r="1290" spans="1:18" ht="30" customHeight="1" x14ac:dyDescent="0.3">
      <c r="A1290" s="26" t="str">
        <f t="shared" si="38"/>
        <v/>
      </c>
      <c r="B1290" s="26">
        <f>COUNTIFS($A$4:A1290,A1290)</f>
        <v>127</v>
      </c>
      <c r="C1290" s="26" t="str">
        <f t="shared" si="39"/>
        <v>127</v>
      </c>
      <c r="E1290" s="26"/>
      <c r="F1290" s="26"/>
      <c r="H1290" s="27"/>
      <c r="I1290" s="27"/>
      <c r="J1290" s="27"/>
      <c r="K1290" s="27"/>
      <c r="L1290" s="27"/>
      <c r="M1290" s="27"/>
      <c r="N1290" s="40"/>
      <c r="O1290" s="27"/>
      <c r="P1290" s="27"/>
      <c r="Q1290" s="41"/>
      <c r="R1290" s="40"/>
    </row>
    <row r="1291" spans="1:18" ht="30" customHeight="1" x14ac:dyDescent="0.3">
      <c r="A1291" s="26" t="str">
        <f t="shared" si="38"/>
        <v/>
      </c>
      <c r="B1291" s="26">
        <f>COUNTIFS($A$4:A1291,A1291)</f>
        <v>128</v>
      </c>
      <c r="C1291" s="26" t="str">
        <f t="shared" si="39"/>
        <v>128</v>
      </c>
      <c r="E1291" s="26"/>
      <c r="F1291" s="26"/>
      <c r="H1291" s="27"/>
      <c r="I1291" s="27"/>
      <c r="J1291" s="27"/>
      <c r="K1291" s="27"/>
      <c r="L1291" s="27"/>
      <c r="M1291" s="27"/>
      <c r="N1291" s="40"/>
      <c r="O1291" s="27"/>
      <c r="P1291" s="27"/>
      <c r="Q1291" s="41"/>
      <c r="R1291" s="40"/>
    </row>
    <row r="1292" spans="1:18" ht="30" customHeight="1" x14ac:dyDescent="0.3">
      <c r="A1292" s="26" t="str">
        <f t="shared" si="38"/>
        <v/>
      </c>
      <c r="B1292" s="26">
        <f>COUNTIFS($A$4:A1292,A1292)</f>
        <v>129</v>
      </c>
      <c r="C1292" s="26" t="str">
        <f t="shared" si="39"/>
        <v>129</v>
      </c>
      <c r="E1292" s="26"/>
      <c r="F1292" s="26"/>
      <c r="H1292" s="27"/>
      <c r="I1292" s="27"/>
      <c r="J1292" s="27"/>
      <c r="K1292" s="27"/>
      <c r="L1292" s="27"/>
      <c r="M1292" s="27"/>
      <c r="N1292" s="40"/>
      <c r="O1292" s="27"/>
      <c r="P1292" s="27"/>
      <c r="Q1292" s="41"/>
      <c r="R1292" s="40"/>
    </row>
    <row r="1293" spans="1:18" ht="30" customHeight="1" x14ac:dyDescent="0.3">
      <c r="A1293" s="26" t="str">
        <f t="shared" si="38"/>
        <v/>
      </c>
      <c r="B1293" s="26">
        <f>COUNTIFS($A$4:A1293,A1293)</f>
        <v>130</v>
      </c>
      <c r="C1293" s="26" t="str">
        <f t="shared" si="39"/>
        <v>130</v>
      </c>
      <c r="E1293" s="26"/>
      <c r="F1293" s="26"/>
      <c r="H1293" s="27"/>
      <c r="I1293" s="27"/>
      <c r="J1293" s="27"/>
      <c r="K1293" s="27"/>
      <c r="L1293" s="27"/>
      <c r="M1293" s="27"/>
      <c r="N1293" s="40"/>
      <c r="O1293" s="27"/>
      <c r="P1293" s="27"/>
      <c r="Q1293" s="41"/>
      <c r="R1293" s="40"/>
    </row>
    <row r="1294" spans="1:18" ht="30" customHeight="1" x14ac:dyDescent="0.3">
      <c r="A1294" s="26" t="str">
        <f t="shared" si="38"/>
        <v/>
      </c>
      <c r="B1294" s="26">
        <f>COUNTIFS($A$4:A1294,A1294)</f>
        <v>131</v>
      </c>
      <c r="C1294" s="26" t="str">
        <f t="shared" si="39"/>
        <v>131</v>
      </c>
      <c r="E1294" s="26"/>
      <c r="F1294" s="26"/>
      <c r="H1294" s="27"/>
      <c r="I1294" s="27"/>
      <c r="J1294" s="27"/>
      <c r="K1294" s="27"/>
      <c r="L1294" s="27"/>
      <c r="M1294" s="27"/>
      <c r="N1294" s="40"/>
      <c r="O1294" s="27"/>
      <c r="P1294" s="27"/>
      <c r="Q1294" s="41"/>
      <c r="R1294" s="40"/>
    </row>
    <row r="1295" spans="1:18" ht="30" customHeight="1" x14ac:dyDescent="0.3">
      <c r="A1295" s="26" t="str">
        <f t="shared" si="38"/>
        <v/>
      </c>
      <c r="B1295" s="26">
        <f>COUNTIFS($A$4:A1295,A1295)</f>
        <v>132</v>
      </c>
      <c r="C1295" s="26" t="str">
        <f t="shared" si="39"/>
        <v>132</v>
      </c>
      <c r="E1295" s="26"/>
      <c r="F1295" s="26"/>
      <c r="H1295" s="27"/>
      <c r="I1295" s="27"/>
      <c r="J1295" s="27"/>
      <c r="K1295" s="27"/>
      <c r="L1295" s="27"/>
      <c r="M1295" s="27"/>
      <c r="N1295" s="40"/>
      <c r="O1295" s="27"/>
      <c r="P1295" s="27"/>
      <c r="Q1295" s="41"/>
      <c r="R1295" s="40"/>
    </row>
    <row r="1296" spans="1:18" ht="30" customHeight="1" x14ac:dyDescent="0.3">
      <c r="A1296" s="26" t="str">
        <f t="shared" si="38"/>
        <v/>
      </c>
      <c r="B1296" s="26">
        <f>COUNTIFS($A$4:A1296,A1296)</f>
        <v>133</v>
      </c>
      <c r="C1296" s="26" t="str">
        <f t="shared" si="39"/>
        <v>133</v>
      </c>
      <c r="E1296" s="26"/>
      <c r="F1296" s="26"/>
      <c r="H1296" s="27"/>
      <c r="I1296" s="27"/>
      <c r="J1296" s="27"/>
      <c r="K1296" s="27"/>
      <c r="L1296" s="27"/>
      <c r="M1296" s="27"/>
      <c r="N1296" s="40"/>
      <c r="O1296" s="27"/>
      <c r="P1296" s="27"/>
      <c r="Q1296" s="41"/>
      <c r="R1296" s="40"/>
    </row>
    <row r="1297" spans="1:18" ht="30" customHeight="1" x14ac:dyDescent="0.3">
      <c r="A1297" s="26" t="str">
        <f t="shared" ref="A1297:A1360" si="40">I1297&amp;H1297</f>
        <v/>
      </c>
      <c r="B1297" s="26">
        <f>COUNTIFS($A$4:A1297,A1297)</f>
        <v>134</v>
      </c>
      <c r="C1297" s="26" t="str">
        <f t="shared" ref="C1297:C1360" si="41">A1297&amp;B1297</f>
        <v>134</v>
      </c>
      <c r="E1297" s="26"/>
      <c r="F1297" s="26"/>
      <c r="H1297" s="27"/>
      <c r="I1297" s="27"/>
      <c r="J1297" s="27"/>
      <c r="K1297" s="27"/>
      <c r="L1297" s="27"/>
      <c r="M1297" s="27"/>
      <c r="N1297" s="40"/>
      <c r="O1297" s="27"/>
      <c r="P1297" s="27"/>
      <c r="Q1297" s="41"/>
      <c r="R1297" s="40"/>
    </row>
    <row r="1298" spans="1:18" ht="30" customHeight="1" x14ac:dyDescent="0.3">
      <c r="A1298" s="26" t="str">
        <f t="shared" si="40"/>
        <v/>
      </c>
      <c r="B1298" s="26">
        <f>COUNTIFS($A$4:A1298,A1298)</f>
        <v>135</v>
      </c>
      <c r="C1298" s="26" t="str">
        <f t="shared" si="41"/>
        <v>135</v>
      </c>
      <c r="E1298" s="26"/>
      <c r="F1298" s="26"/>
      <c r="H1298" s="27"/>
      <c r="I1298" s="27"/>
      <c r="J1298" s="27"/>
      <c r="K1298" s="27"/>
      <c r="L1298" s="27"/>
      <c r="M1298" s="27"/>
      <c r="N1298" s="40"/>
      <c r="O1298" s="27"/>
      <c r="P1298" s="27"/>
      <c r="Q1298" s="41"/>
      <c r="R1298" s="40"/>
    </row>
    <row r="1299" spans="1:18" ht="30" customHeight="1" x14ac:dyDescent="0.3">
      <c r="A1299" s="26" t="str">
        <f t="shared" si="40"/>
        <v/>
      </c>
      <c r="B1299" s="26">
        <f>COUNTIFS($A$4:A1299,A1299)</f>
        <v>136</v>
      </c>
      <c r="C1299" s="26" t="str">
        <f t="shared" si="41"/>
        <v>136</v>
      </c>
      <c r="E1299" s="26"/>
      <c r="F1299" s="26"/>
      <c r="H1299" s="27"/>
      <c r="I1299" s="27"/>
      <c r="J1299" s="27"/>
      <c r="K1299" s="27"/>
      <c r="L1299" s="27"/>
      <c r="M1299" s="27"/>
      <c r="N1299" s="40"/>
      <c r="O1299" s="27"/>
      <c r="P1299" s="27"/>
      <c r="Q1299" s="41"/>
      <c r="R1299" s="40"/>
    </row>
    <row r="1300" spans="1:18" ht="30" customHeight="1" x14ac:dyDescent="0.3">
      <c r="A1300" s="26" t="str">
        <f t="shared" si="40"/>
        <v/>
      </c>
      <c r="B1300" s="26">
        <f>COUNTIFS($A$4:A1300,A1300)</f>
        <v>137</v>
      </c>
      <c r="C1300" s="26" t="str">
        <f t="shared" si="41"/>
        <v>137</v>
      </c>
      <c r="E1300" s="26"/>
      <c r="F1300" s="26"/>
      <c r="H1300" s="27"/>
      <c r="I1300" s="27"/>
      <c r="J1300" s="27"/>
      <c r="K1300" s="27"/>
      <c r="L1300" s="27"/>
      <c r="M1300" s="27"/>
      <c r="N1300" s="40"/>
      <c r="O1300" s="27"/>
      <c r="P1300" s="27"/>
      <c r="Q1300" s="41"/>
      <c r="R1300" s="40"/>
    </row>
    <row r="1301" spans="1:18" ht="30" customHeight="1" x14ac:dyDescent="0.3">
      <c r="A1301" s="26" t="str">
        <f t="shared" si="40"/>
        <v/>
      </c>
      <c r="B1301" s="26">
        <f>COUNTIFS($A$4:A1301,A1301)</f>
        <v>138</v>
      </c>
      <c r="C1301" s="26" t="str">
        <f t="shared" si="41"/>
        <v>138</v>
      </c>
      <c r="E1301" s="26"/>
      <c r="F1301" s="26"/>
      <c r="H1301" s="27"/>
      <c r="I1301" s="27"/>
      <c r="J1301" s="27"/>
      <c r="K1301" s="27"/>
      <c r="L1301" s="27"/>
      <c r="M1301" s="27"/>
      <c r="N1301" s="40"/>
      <c r="O1301" s="27"/>
      <c r="P1301" s="27"/>
      <c r="Q1301" s="41"/>
      <c r="R1301" s="40"/>
    </row>
    <row r="1302" spans="1:18" ht="30" customHeight="1" x14ac:dyDescent="0.3">
      <c r="A1302" s="26" t="str">
        <f t="shared" si="40"/>
        <v/>
      </c>
      <c r="B1302" s="26">
        <f>COUNTIFS($A$4:A1302,A1302)</f>
        <v>139</v>
      </c>
      <c r="C1302" s="26" t="str">
        <f t="shared" si="41"/>
        <v>139</v>
      </c>
      <c r="E1302" s="26"/>
      <c r="F1302" s="26"/>
      <c r="H1302" s="27"/>
      <c r="I1302" s="27"/>
      <c r="J1302" s="27"/>
      <c r="K1302" s="27"/>
      <c r="L1302" s="27"/>
      <c r="M1302" s="27"/>
      <c r="N1302" s="40"/>
      <c r="O1302" s="27"/>
      <c r="P1302" s="27"/>
      <c r="Q1302" s="41"/>
      <c r="R1302" s="40"/>
    </row>
    <row r="1303" spans="1:18" ht="30" customHeight="1" x14ac:dyDescent="0.3">
      <c r="A1303" s="26" t="str">
        <f t="shared" si="40"/>
        <v/>
      </c>
      <c r="B1303" s="26">
        <f>COUNTIFS($A$4:A1303,A1303)</f>
        <v>140</v>
      </c>
      <c r="C1303" s="26" t="str">
        <f t="shared" si="41"/>
        <v>140</v>
      </c>
      <c r="E1303" s="26"/>
      <c r="F1303" s="26"/>
      <c r="H1303" s="27"/>
      <c r="I1303" s="27"/>
      <c r="J1303" s="27"/>
      <c r="K1303" s="27"/>
      <c r="L1303" s="27"/>
      <c r="M1303" s="27"/>
      <c r="N1303" s="40"/>
      <c r="O1303" s="27"/>
      <c r="P1303" s="27"/>
      <c r="Q1303" s="41"/>
      <c r="R1303" s="40"/>
    </row>
    <row r="1304" spans="1:18" ht="30" customHeight="1" x14ac:dyDescent="0.3">
      <c r="A1304" s="26" t="str">
        <f t="shared" si="40"/>
        <v/>
      </c>
      <c r="B1304" s="26">
        <f>COUNTIFS($A$4:A1304,A1304)</f>
        <v>141</v>
      </c>
      <c r="C1304" s="26" t="str">
        <f t="shared" si="41"/>
        <v>141</v>
      </c>
      <c r="E1304" s="26"/>
      <c r="F1304" s="26"/>
      <c r="H1304" s="27"/>
      <c r="I1304" s="27"/>
      <c r="J1304" s="27"/>
      <c r="K1304" s="27"/>
      <c r="L1304" s="27"/>
      <c r="M1304" s="27"/>
      <c r="N1304" s="40"/>
      <c r="O1304" s="27"/>
      <c r="P1304" s="27"/>
      <c r="Q1304" s="41"/>
      <c r="R1304" s="40"/>
    </row>
    <row r="1305" spans="1:18" ht="30" customHeight="1" x14ac:dyDescent="0.3">
      <c r="A1305" s="26" t="str">
        <f t="shared" si="40"/>
        <v/>
      </c>
      <c r="B1305" s="26">
        <f>COUNTIFS($A$4:A1305,A1305)</f>
        <v>142</v>
      </c>
      <c r="C1305" s="26" t="str">
        <f t="shared" si="41"/>
        <v>142</v>
      </c>
      <c r="E1305" s="26"/>
      <c r="F1305" s="26"/>
      <c r="H1305" s="27"/>
      <c r="I1305" s="27"/>
      <c r="J1305" s="27"/>
      <c r="K1305" s="27"/>
      <c r="L1305" s="27"/>
      <c r="M1305" s="27"/>
      <c r="N1305" s="40"/>
      <c r="O1305" s="27"/>
      <c r="P1305" s="27"/>
      <c r="Q1305" s="41"/>
      <c r="R1305" s="40"/>
    </row>
    <row r="1306" spans="1:18" ht="30" customHeight="1" x14ac:dyDescent="0.3">
      <c r="A1306" s="26" t="str">
        <f t="shared" si="40"/>
        <v/>
      </c>
      <c r="B1306" s="26">
        <f>COUNTIFS($A$4:A1306,A1306)</f>
        <v>143</v>
      </c>
      <c r="C1306" s="26" t="str">
        <f t="shared" si="41"/>
        <v>143</v>
      </c>
      <c r="E1306" s="26"/>
      <c r="F1306" s="26"/>
      <c r="H1306" s="27"/>
      <c r="I1306" s="27"/>
      <c r="J1306" s="27"/>
      <c r="K1306" s="27"/>
      <c r="L1306" s="27"/>
      <c r="M1306" s="27"/>
      <c r="N1306" s="40"/>
      <c r="O1306" s="27"/>
      <c r="P1306" s="27"/>
      <c r="Q1306" s="41"/>
      <c r="R1306" s="40"/>
    </row>
    <row r="1307" spans="1:18" ht="30" customHeight="1" x14ac:dyDescent="0.3">
      <c r="A1307" s="26" t="str">
        <f t="shared" si="40"/>
        <v/>
      </c>
      <c r="B1307" s="26">
        <f>COUNTIFS($A$4:A1307,A1307)</f>
        <v>144</v>
      </c>
      <c r="C1307" s="26" t="str">
        <f t="shared" si="41"/>
        <v>144</v>
      </c>
      <c r="E1307" s="26"/>
      <c r="F1307" s="26"/>
      <c r="H1307" s="27"/>
      <c r="I1307" s="27"/>
      <c r="J1307" s="27"/>
      <c r="K1307" s="27"/>
      <c r="L1307" s="27"/>
      <c r="M1307" s="27"/>
      <c r="N1307" s="40"/>
      <c r="O1307" s="27"/>
      <c r="P1307" s="27"/>
      <c r="Q1307" s="41"/>
      <c r="R1307" s="40"/>
    </row>
    <row r="1308" spans="1:18" ht="30" customHeight="1" x14ac:dyDescent="0.3">
      <c r="A1308" s="26" t="str">
        <f t="shared" si="40"/>
        <v/>
      </c>
      <c r="B1308" s="26">
        <f>COUNTIFS($A$4:A1308,A1308)</f>
        <v>145</v>
      </c>
      <c r="C1308" s="26" t="str">
        <f t="shared" si="41"/>
        <v>145</v>
      </c>
      <c r="E1308" s="26"/>
      <c r="F1308" s="26"/>
      <c r="H1308" s="27"/>
      <c r="I1308" s="27"/>
      <c r="J1308" s="27"/>
      <c r="K1308" s="27"/>
      <c r="L1308" s="27"/>
      <c r="M1308" s="27"/>
      <c r="N1308" s="40"/>
      <c r="O1308" s="27"/>
      <c r="P1308" s="27"/>
      <c r="Q1308" s="41"/>
      <c r="R1308" s="40"/>
    </row>
    <row r="1309" spans="1:18" ht="30" customHeight="1" x14ac:dyDescent="0.3">
      <c r="A1309" s="26" t="str">
        <f t="shared" si="40"/>
        <v/>
      </c>
      <c r="B1309" s="26">
        <f>COUNTIFS($A$4:A1309,A1309)</f>
        <v>146</v>
      </c>
      <c r="C1309" s="26" t="str">
        <f t="shared" si="41"/>
        <v>146</v>
      </c>
      <c r="E1309" s="26"/>
      <c r="F1309" s="26"/>
      <c r="H1309" s="27"/>
      <c r="I1309" s="27"/>
      <c r="J1309" s="27"/>
      <c r="K1309" s="27"/>
      <c r="L1309" s="27"/>
      <c r="M1309" s="27"/>
      <c r="N1309" s="40"/>
      <c r="O1309" s="27"/>
      <c r="P1309" s="27"/>
      <c r="Q1309" s="41"/>
      <c r="R1309" s="40"/>
    </row>
    <row r="1310" spans="1:18" ht="30" customHeight="1" x14ac:dyDescent="0.3">
      <c r="A1310" s="26" t="str">
        <f t="shared" si="40"/>
        <v/>
      </c>
      <c r="B1310" s="26">
        <f>COUNTIFS($A$4:A1310,A1310)</f>
        <v>147</v>
      </c>
      <c r="C1310" s="26" t="str">
        <f t="shared" si="41"/>
        <v>147</v>
      </c>
      <c r="E1310" s="26"/>
      <c r="F1310" s="26"/>
      <c r="H1310" s="27"/>
      <c r="I1310" s="27"/>
      <c r="J1310" s="27"/>
      <c r="K1310" s="27"/>
      <c r="L1310" s="27"/>
      <c r="M1310" s="27"/>
      <c r="N1310" s="40"/>
      <c r="O1310" s="27"/>
      <c r="P1310" s="27"/>
      <c r="Q1310" s="41"/>
      <c r="R1310" s="40"/>
    </row>
    <row r="1311" spans="1:18" ht="30" customHeight="1" x14ac:dyDescent="0.3">
      <c r="A1311" s="26" t="str">
        <f t="shared" si="40"/>
        <v/>
      </c>
      <c r="B1311" s="26">
        <f>COUNTIFS($A$4:A1311,A1311)</f>
        <v>148</v>
      </c>
      <c r="C1311" s="26" t="str">
        <f t="shared" si="41"/>
        <v>148</v>
      </c>
      <c r="E1311" s="26"/>
      <c r="F1311" s="26"/>
      <c r="H1311" s="27"/>
      <c r="I1311" s="27"/>
      <c r="J1311" s="27"/>
      <c r="K1311" s="27"/>
      <c r="L1311" s="27"/>
      <c r="M1311" s="27"/>
      <c r="N1311" s="40"/>
      <c r="O1311" s="27"/>
      <c r="P1311" s="27"/>
      <c r="Q1311" s="41"/>
      <c r="R1311" s="40"/>
    </row>
    <row r="1312" spans="1:18" ht="30" customHeight="1" x14ac:dyDescent="0.3">
      <c r="A1312" s="26" t="str">
        <f t="shared" si="40"/>
        <v/>
      </c>
      <c r="B1312" s="26">
        <f>COUNTIFS($A$4:A1312,A1312)</f>
        <v>149</v>
      </c>
      <c r="C1312" s="26" t="str">
        <f t="shared" si="41"/>
        <v>149</v>
      </c>
      <c r="E1312" s="26"/>
      <c r="F1312" s="26"/>
      <c r="H1312" s="27"/>
      <c r="I1312" s="27"/>
      <c r="J1312" s="27"/>
      <c r="K1312" s="27"/>
      <c r="L1312" s="27"/>
      <c r="M1312" s="27"/>
      <c r="N1312" s="40"/>
      <c r="O1312" s="27"/>
      <c r="P1312" s="27"/>
      <c r="Q1312" s="41"/>
      <c r="R1312" s="40"/>
    </row>
    <row r="1313" spans="1:18" ht="30" customHeight="1" x14ac:dyDescent="0.3">
      <c r="A1313" s="26" t="str">
        <f t="shared" si="40"/>
        <v/>
      </c>
      <c r="B1313" s="26">
        <f>COUNTIFS($A$4:A1313,A1313)</f>
        <v>150</v>
      </c>
      <c r="C1313" s="26" t="str">
        <f t="shared" si="41"/>
        <v>150</v>
      </c>
      <c r="E1313" s="26"/>
      <c r="F1313" s="26"/>
      <c r="H1313" s="27"/>
      <c r="I1313" s="27"/>
      <c r="J1313" s="27"/>
      <c r="K1313" s="27"/>
      <c r="L1313" s="27"/>
      <c r="M1313" s="27"/>
      <c r="N1313" s="40"/>
      <c r="O1313" s="27"/>
      <c r="P1313" s="27"/>
      <c r="Q1313" s="41"/>
      <c r="R1313" s="40"/>
    </row>
    <row r="1314" spans="1:18" ht="30" customHeight="1" x14ac:dyDescent="0.3">
      <c r="A1314" s="26" t="str">
        <f t="shared" si="40"/>
        <v/>
      </c>
      <c r="B1314" s="26">
        <f>COUNTIFS($A$4:A1314,A1314)</f>
        <v>151</v>
      </c>
      <c r="C1314" s="26" t="str">
        <f t="shared" si="41"/>
        <v>151</v>
      </c>
      <c r="E1314" s="26"/>
      <c r="F1314" s="26"/>
      <c r="H1314" s="27"/>
      <c r="I1314" s="27"/>
      <c r="J1314" s="27"/>
      <c r="K1314" s="27"/>
      <c r="L1314" s="27"/>
      <c r="M1314" s="27"/>
      <c r="N1314" s="40"/>
      <c r="O1314" s="27"/>
      <c r="P1314" s="27"/>
      <c r="Q1314" s="41"/>
      <c r="R1314" s="40"/>
    </row>
    <row r="1315" spans="1:18" ht="30" customHeight="1" x14ac:dyDescent="0.3">
      <c r="A1315" s="26" t="str">
        <f t="shared" si="40"/>
        <v/>
      </c>
      <c r="B1315" s="26">
        <f>COUNTIFS($A$4:A1315,A1315)</f>
        <v>152</v>
      </c>
      <c r="C1315" s="26" t="str">
        <f t="shared" si="41"/>
        <v>152</v>
      </c>
      <c r="E1315" s="26"/>
      <c r="F1315" s="26"/>
      <c r="H1315" s="27"/>
      <c r="I1315" s="27"/>
      <c r="J1315" s="27"/>
      <c r="K1315" s="27"/>
      <c r="L1315" s="27"/>
      <c r="M1315" s="27"/>
      <c r="N1315" s="40"/>
      <c r="O1315" s="27"/>
      <c r="P1315" s="27"/>
      <c r="Q1315" s="41"/>
      <c r="R1315" s="40"/>
    </row>
    <row r="1316" spans="1:18" ht="30" customHeight="1" x14ac:dyDescent="0.3">
      <c r="A1316" s="26" t="str">
        <f t="shared" si="40"/>
        <v/>
      </c>
      <c r="B1316" s="26">
        <f>COUNTIFS($A$4:A1316,A1316)</f>
        <v>153</v>
      </c>
      <c r="C1316" s="26" t="str">
        <f t="shared" si="41"/>
        <v>153</v>
      </c>
      <c r="E1316" s="26"/>
      <c r="F1316" s="26"/>
      <c r="H1316" s="27"/>
      <c r="I1316" s="27"/>
      <c r="J1316" s="27"/>
      <c r="K1316" s="27"/>
      <c r="L1316" s="27"/>
      <c r="M1316" s="27"/>
      <c r="N1316" s="40"/>
      <c r="O1316" s="27"/>
      <c r="P1316" s="27"/>
      <c r="Q1316" s="41"/>
      <c r="R1316" s="40"/>
    </row>
    <row r="1317" spans="1:18" ht="30" customHeight="1" x14ac:dyDescent="0.3">
      <c r="A1317" s="26" t="str">
        <f t="shared" si="40"/>
        <v/>
      </c>
      <c r="B1317" s="26">
        <f>COUNTIFS($A$4:A1317,A1317)</f>
        <v>154</v>
      </c>
      <c r="C1317" s="26" t="str">
        <f t="shared" si="41"/>
        <v>154</v>
      </c>
      <c r="E1317" s="26"/>
      <c r="F1317" s="26"/>
      <c r="H1317" s="27"/>
      <c r="I1317" s="27"/>
      <c r="J1317" s="27"/>
      <c r="K1317" s="27"/>
      <c r="L1317" s="27"/>
      <c r="M1317" s="27"/>
      <c r="N1317" s="40"/>
      <c r="O1317" s="27"/>
      <c r="P1317" s="27"/>
      <c r="Q1317" s="41"/>
      <c r="R1317" s="40"/>
    </row>
    <row r="1318" spans="1:18" ht="30" customHeight="1" x14ac:dyDescent="0.3">
      <c r="A1318" s="26" t="str">
        <f t="shared" si="40"/>
        <v/>
      </c>
      <c r="B1318" s="26">
        <f>COUNTIFS($A$4:A1318,A1318)</f>
        <v>155</v>
      </c>
      <c r="C1318" s="26" t="str">
        <f t="shared" si="41"/>
        <v>155</v>
      </c>
      <c r="E1318" s="26"/>
      <c r="F1318" s="26"/>
      <c r="H1318" s="27"/>
      <c r="I1318" s="27"/>
      <c r="J1318" s="27"/>
      <c r="K1318" s="27"/>
      <c r="L1318" s="27"/>
      <c r="M1318" s="27"/>
      <c r="N1318" s="40"/>
      <c r="O1318" s="27"/>
      <c r="P1318" s="27"/>
      <c r="Q1318" s="41"/>
      <c r="R1318" s="40"/>
    </row>
    <row r="1319" spans="1:18" ht="30" customHeight="1" x14ac:dyDescent="0.3">
      <c r="A1319" s="26" t="str">
        <f t="shared" si="40"/>
        <v/>
      </c>
      <c r="B1319" s="26">
        <f>COUNTIFS($A$4:A1319,A1319)</f>
        <v>156</v>
      </c>
      <c r="C1319" s="26" t="str">
        <f t="shared" si="41"/>
        <v>156</v>
      </c>
      <c r="E1319" s="26"/>
      <c r="F1319" s="26"/>
      <c r="H1319" s="27"/>
      <c r="I1319" s="27"/>
      <c r="J1319" s="27"/>
      <c r="K1319" s="27"/>
      <c r="L1319" s="27"/>
      <c r="M1319" s="27"/>
      <c r="N1319" s="40"/>
      <c r="O1319" s="27"/>
      <c r="P1319" s="27"/>
      <c r="Q1319" s="41"/>
      <c r="R1319" s="40"/>
    </row>
    <row r="1320" spans="1:18" ht="30" customHeight="1" x14ac:dyDescent="0.3">
      <c r="A1320" s="26" t="str">
        <f t="shared" si="40"/>
        <v/>
      </c>
      <c r="B1320" s="26">
        <f>COUNTIFS($A$4:A1320,A1320)</f>
        <v>157</v>
      </c>
      <c r="C1320" s="26" t="str">
        <f t="shared" si="41"/>
        <v>157</v>
      </c>
      <c r="E1320" s="26"/>
      <c r="F1320" s="26"/>
      <c r="H1320" s="27"/>
      <c r="I1320" s="27"/>
      <c r="J1320" s="27"/>
      <c r="K1320" s="27"/>
      <c r="L1320" s="27"/>
      <c r="M1320" s="27"/>
      <c r="N1320" s="40"/>
      <c r="O1320" s="27"/>
      <c r="P1320" s="27"/>
      <c r="Q1320" s="41"/>
      <c r="R1320" s="40"/>
    </row>
    <row r="1321" spans="1:18" ht="30" customHeight="1" x14ac:dyDescent="0.3">
      <c r="A1321" s="26" t="str">
        <f t="shared" si="40"/>
        <v/>
      </c>
      <c r="B1321" s="26">
        <f>COUNTIFS($A$4:A1321,A1321)</f>
        <v>158</v>
      </c>
      <c r="C1321" s="26" t="str">
        <f t="shared" si="41"/>
        <v>158</v>
      </c>
      <c r="E1321" s="26"/>
      <c r="F1321" s="26"/>
      <c r="H1321" s="27"/>
      <c r="I1321" s="27"/>
      <c r="J1321" s="27"/>
      <c r="K1321" s="27"/>
      <c r="L1321" s="27"/>
      <c r="M1321" s="27"/>
      <c r="N1321" s="40"/>
      <c r="O1321" s="27"/>
      <c r="P1321" s="27"/>
      <c r="Q1321" s="41"/>
      <c r="R1321" s="40"/>
    </row>
    <row r="1322" spans="1:18" ht="30" customHeight="1" x14ac:dyDescent="0.3">
      <c r="A1322" s="26" t="str">
        <f t="shared" si="40"/>
        <v/>
      </c>
      <c r="B1322" s="26">
        <f>COUNTIFS($A$4:A1322,A1322)</f>
        <v>159</v>
      </c>
      <c r="C1322" s="26" t="str">
        <f t="shared" si="41"/>
        <v>159</v>
      </c>
      <c r="E1322" s="26"/>
      <c r="F1322" s="26"/>
      <c r="H1322" s="27"/>
      <c r="I1322" s="27"/>
      <c r="J1322" s="27"/>
      <c r="K1322" s="27"/>
      <c r="L1322" s="27"/>
      <c r="M1322" s="27"/>
      <c r="N1322" s="40"/>
      <c r="O1322" s="27"/>
      <c r="P1322" s="27"/>
      <c r="Q1322" s="41"/>
      <c r="R1322" s="40"/>
    </row>
    <row r="1323" spans="1:18" ht="30" customHeight="1" x14ac:dyDescent="0.3">
      <c r="A1323" s="26" t="str">
        <f t="shared" si="40"/>
        <v/>
      </c>
      <c r="B1323" s="26">
        <f>COUNTIFS($A$4:A1323,A1323)</f>
        <v>160</v>
      </c>
      <c r="C1323" s="26" t="str">
        <f t="shared" si="41"/>
        <v>160</v>
      </c>
      <c r="E1323" s="26"/>
      <c r="F1323" s="26"/>
      <c r="H1323" s="27"/>
      <c r="I1323" s="27"/>
      <c r="J1323" s="27"/>
      <c r="K1323" s="27"/>
      <c r="L1323" s="27"/>
      <c r="M1323" s="27"/>
      <c r="N1323" s="40"/>
      <c r="O1323" s="27"/>
      <c r="P1323" s="27"/>
      <c r="Q1323" s="41"/>
      <c r="R1323" s="40"/>
    </row>
    <row r="1324" spans="1:18" ht="30" customHeight="1" x14ac:dyDescent="0.3">
      <c r="A1324" s="26" t="str">
        <f t="shared" si="40"/>
        <v/>
      </c>
      <c r="B1324" s="26">
        <f>COUNTIFS($A$4:A1324,A1324)</f>
        <v>161</v>
      </c>
      <c r="C1324" s="26" t="str">
        <f t="shared" si="41"/>
        <v>161</v>
      </c>
      <c r="E1324" s="26"/>
      <c r="F1324" s="26"/>
      <c r="H1324" s="27"/>
      <c r="I1324" s="27"/>
      <c r="J1324" s="27"/>
      <c r="K1324" s="27"/>
      <c r="L1324" s="27"/>
      <c r="M1324" s="27"/>
      <c r="N1324" s="40"/>
      <c r="O1324" s="27"/>
      <c r="P1324" s="27"/>
      <c r="Q1324" s="41"/>
      <c r="R1324" s="40"/>
    </row>
    <row r="1325" spans="1:18" ht="30" customHeight="1" x14ac:dyDescent="0.3">
      <c r="A1325" s="26" t="str">
        <f t="shared" si="40"/>
        <v/>
      </c>
      <c r="B1325" s="26">
        <f>COUNTIFS($A$4:A1325,A1325)</f>
        <v>162</v>
      </c>
      <c r="C1325" s="26" t="str">
        <f t="shared" si="41"/>
        <v>162</v>
      </c>
      <c r="E1325" s="26"/>
      <c r="F1325" s="26"/>
      <c r="H1325" s="27"/>
      <c r="I1325" s="27"/>
      <c r="J1325" s="27"/>
      <c r="K1325" s="27"/>
      <c r="L1325" s="27"/>
      <c r="M1325" s="27"/>
      <c r="N1325" s="40"/>
      <c r="O1325" s="27"/>
      <c r="P1325" s="27"/>
      <c r="Q1325" s="41"/>
      <c r="R1325" s="40"/>
    </row>
    <row r="1326" spans="1:18" ht="30" customHeight="1" x14ac:dyDescent="0.3">
      <c r="A1326" s="26" t="str">
        <f t="shared" si="40"/>
        <v/>
      </c>
      <c r="B1326" s="26">
        <f>COUNTIFS($A$4:A1326,A1326)</f>
        <v>163</v>
      </c>
      <c r="C1326" s="26" t="str">
        <f t="shared" si="41"/>
        <v>163</v>
      </c>
      <c r="E1326" s="26"/>
      <c r="F1326" s="26"/>
      <c r="H1326" s="27"/>
      <c r="I1326" s="27"/>
      <c r="J1326" s="27"/>
      <c r="K1326" s="27"/>
      <c r="L1326" s="27"/>
      <c r="M1326" s="27"/>
      <c r="N1326" s="40"/>
      <c r="O1326" s="27"/>
      <c r="P1326" s="27"/>
      <c r="Q1326" s="41"/>
      <c r="R1326" s="40"/>
    </row>
    <row r="1327" spans="1:18" ht="30" customHeight="1" x14ac:dyDescent="0.3">
      <c r="A1327" s="26" t="str">
        <f t="shared" si="40"/>
        <v/>
      </c>
      <c r="B1327" s="26">
        <f>COUNTIFS($A$4:A1327,A1327)</f>
        <v>164</v>
      </c>
      <c r="C1327" s="26" t="str">
        <f t="shared" si="41"/>
        <v>164</v>
      </c>
      <c r="E1327" s="26"/>
      <c r="F1327" s="26"/>
      <c r="H1327" s="27"/>
      <c r="I1327" s="27"/>
      <c r="J1327" s="27"/>
      <c r="K1327" s="27"/>
      <c r="L1327" s="27"/>
      <c r="M1327" s="27"/>
      <c r="N1327" s="40"/>
      <c r="O1327" s="27"/>
      <c r="P1327" s="27"/>
      <c r="Q1327" s="41"/>
      <c r="R1327" s="40"/>
    </row>
    <row r="1328" spans="1:18" ht="30" customHeight="1" x14ac:dyDescent="0.3">
      <c r="A1328" s="26" t="str">
        <f t="shared" si="40"/>
        <v/>
      </c>
      <c r="B1328" s="26">
        <f>COUNTIFS($A$4:A1328,A1328)</f>
        <v>165</v>
      </c>
      <c r="C1328" s="26" t="str">
        <f t="shared" si="41"/>
        <v>165</v>
      </c>
      <c r="E1328" s="26"/>
      <c r="F1328" s="26"/>
      <c r="H1328" s="27"/>
      <c r="I1328" s="27"/>
      <c r="J1328" s="27"/>
      <c r="K1328" s="27"/>
      <c r="L1328" s="27"/>
      <c r="M1328" s="27"/>
      <c r="N1328" s="40"/>
      <c r="O1328" s="27"/>
      <c r="P1328" s="27"/>
      <c r="Q1328" s="41"/>
      <c r="R1328" s="40"/>
    </row>
    <row r="1329" spans="1:18" ht="30" customHeight="1" x14ac:dyDescent="0.3">
      <c r="A1329" s="26" t="str">
        <f t="shared" si="40"/>
        <v/>
      </c>
      <c r="B1329" s="26">
        <f>COUNTIFS($A$4:A1329,A1329)</f>
        <v>166</v>
      </c>
      <c r="C1329" s="26" t="str">
        <f t="shared" si="41"/>
        <v>166</v>
      </c>
      <c r="E1329" s="26"/>
      <c r="F1329" s="26"/>
      <c r="H1329" s="27"/>
      <c r="I1329" s="27"/>
      <c r="J1329" s="27"/>
      <c r="K1329" s="27"/>
      <c r="L1329" s="27"/>
      <c r="M1329" s="27"/>
      <c r="N1329" s="40"/>
      <c r="O1329" s="27"/>
      <c r="P1329" s="27"/>
      <c r="Q1329" s="41"/>
      <c r="R1329" s="40"/>
    </row>
    <row r="1330" spans="1:18" ht="30" customHeight="1" x14ac:dyDescent="0.3">
      <c r="A1330" s="26" t="str">
        <f t="shared" si="40"/>
        <v/>
      </c>
      <c r="B1330" s="26">
        <f>COUNTIFS($A$4:A1330,A1330)</f>
        <v>167</v>
      </c>
      <c r="C1330" s="26" t="str">
        <f t="shared" si="41"/>
        <v>167</v>
      </c>
      <c r="E1330" s="26"/>
      <c r="F1330" s="26"/>
      <c r="H1330" s="27"/>
      <c r="I1330" s="27"/>
      <c r="J1330" s="27"/>
      <c r="K1330" s="27"/>
      <c r="L1330" s="27"/>
      <c r="M1330" s="27"/>
      <c r="N1330" s="40"/>
      <c r="O1330" s="27"/>
      <c r="P1330" s="27"/>
      <c r="Q1330" s="41"/>
      <c r="R1330" s="40"/>
    </row>
    <row r="1331" spans="1:18" ht="30" customHeight="1" x14ac:dyDescent="0.3">
      <c r="A1331" s="26" t="str">
        <f t="shared" si="40"/>
        <v/>
      </c>
      <c r="B1331" s="26">
        <f>COUNTIFS($A$4:A1331,A1331)</f>
        <v>168</v>
      </c>
      <c r="C1331" s="26" t="str">
        <f t="shared" si="41"/>
        <v>168</v>
      </c>
      <c r="E1331" s="26"/>
      <c r="F1331" s="26"/>
      <c r="H1331" s="27"/>
      <c r="I1331" s="27"/>
      <c r="J1331" s="27"/>
      <c r="K1331" s="27"/>
      <c r="L1331" s="27"/>
      <c r="M1331" s="27"/>
      <c r="N1331" s="40"/>
      <c r="O1331" s="27"/>
      <c r="P1331" s="27"/>
      <c r="Q1331" s="41"/>
      <c r="R1331" s="40"/>
    </row>
    <row r="1332" spans="1:18" ht="30" customHeight="1" x14ac:dyDescent="0.3">
      <c r="A1332" s="26" t="str">
        <f t="shared" si="40"/>
        <v/>
      </c>
      <c r="B1332" s="26">
        <f>COUNTIFS($A$4:A1332,A1332)</f>
        <v>169</v>
      </c>
      <c r="C1332" s="26" t="str">
        <f t="shared" si="41"/>
        <v>169</v>
      </c>
      <c r="E1332" s="26"/>
      <c r="F1332" s="26"/>
      <c r="H1332" s="27"/>
      <c r="I1332" s="27"/>
      <c r="J1332" s="27"/>
      <c r="K1332" s="27"/>
      <c r="L1332" s="27"/>
      <c r="M1332" s="27"/>
      <c r="N1332" s="40"/>
      <c r="O1332" s="27"/>
      <c r="P1332" s="27"/>
      <c r="Q1332" s="41"/>
      <c r="R1332" s="40"/>
    </row>
    <row r="1333" spans="1:18" ht="30" customHeight="1" x14ac:dyDescent="0.3">
      <c r="A1333" s="26" t="str">
        <f t="shared" si="40"/>
        <v/>
      </c>
      <c r="B1333" s="26">
        <f>COUNTIFS($A$4:A1333,A1333)</f>
        <v>170</v>
      </c>
      <c r="C1333" s="26" t="str">
        <f t="shared" si="41"/>
        <v>170</v>
      </c>
      <c r="E1333" s="26"/>
      <c r="F1333" s="26"/>
      <c r="H1333" s="27"/>
      <c r="I1333" s="27"/>
      <c r="J1333" s="27"/>
      <c r="K1333" s="27"/>
      <c r="L1333" s="27"/>
      <c r="M1333" s="27"/>
      <c r="N1333" s="40"/>
      <c r="O1333" s="27"/>
      <c r="P1333" s="27"/>
      <c r="Q1333" s="41"/>
      <c r="R1333" s="40"/>
    </row>
    <row r="1334" spans="1:18" ht="30" customHeight="1" x14ac:dyDescent="0.3">
      <c r="A1334" s="26" t="str">
        <f t="shared" si="40"/>
        <v/>
      </c>
      <c r="B1334" s="26">
        <f>COUNTIFS($A$4:A1334,A1334)</f>
        <v>171</v>
      </c>
      <c r="C1334" s="26" t="str">
        <f t="shared" si="41"/>
        <v>171</v>
      </c>
      <c r="E1334" s="26"/>
      <c r="F1334" s="26"/>
      <c r="H1334" s="27"/>
      <c r="I1334" s="27"/>
      <c r="J1334" s="27"/>
      <c r="K1334" s="27"/>
      <c r="L1334" s="27"/>
      <c r="M1334" s="27"/>
      <c r="N1334" s="40"/>
      <c r="O1334" s="27"/>
      <c r="P1334" s="27"/>
      <c r="Q1334" s="41"/>
      <c r="R1334" s="40"/>
    </row>
    <row r="1335" spans="1:18" ht="30" customHeight="1" x14ac:dyDescent="0.3">
      <c r="A1335" s="26" t="str">
        <f t="shared" si="40"/>
        <v/>
      </c>
      <c r="B1335" s="26">
        <f>COUNTIFS($A$4:A1335,A1335)</f>
        <v>172</v>
      </c>
      <c r="C1335" s="26" t="str">
        <f t="shared" si="41"/>
        <v>172</v>
      </c>
      <c r="E1335" s="26"/>
      <c r="F1335" s="26"/>
      <c r="H1335" s="27"/>
      <c r="I1335" s="27"/>
      <c r="J1335" s="27"/>
      <c r="K1335" s="27"/>
      <c r="L1335" s="27"/>
      <c r="M1335" s="27"/>
      <c r="N1335" s="40"/>
      <c r="O1335" s="27"/>
      <c r="P1335" s="27"/>
      <c r="Q1335" s="41"/>
      <c r="R1335" s="40"/>
    </row>
    <row r="1336" spans="1:18" ht="30" customHeight="1" x14ac:dyDescent="0.3">
      <c r="A1336" s="26" t="str">
        <f t="shared" si="40"/>
        <v/>
      </c>
      <c r="B1336" s="26">
        <f>COUNTIFS($A$4:A1336,A1336)</f>
        <v>173</v>
      </c>
      <c r="C1336" s="26" t="str">
        <f t="shared" si="41"/>
        <v>173</v>
      </c>
      <c r="E1336" s="26"/>
      <c r="F1336" s="26"/>
      <c r="H1336" s="27"/>
      <c r="I1336" s="27"/>
      <c r="J1336" s="27"/>
      <c r="K1336" s="27"/>
      <c r="L1336" s="27"/>
      <c r="M1336" s="27"/>
      <c r="N1336" s="40"/>
      <c r="O1336" s="27"/>
      <c r="P1336" s="27"/>
      <c r="Q1336" s="41"/>
      <c r="R1336" s="40"/>
    </row>
    <row r="1337" spans="1:18" ht="30" customHeight="1" x14ac:dyDescent="0.3">
      <c r="A1337" s="26" t="str">
        <f t="shared" si="40"/>
        <v/>
      </c>
      <c r="B1337" s="26">
        <f>COUNTIFS($A$4:A1337,A1337)</f>
        <v>174</v>
      </c>
      <c r="C1337" s="26" t="str">
        <f t="shared" si="41"/>
        <v>174</v>
      </c>
      <c r="E1337" s="26"/>
      <c r="F1337" s="26"/>
      <c r="H1337" s="27"/>
      <c r="I1337" s="27"/>
      <c r="J1337" s="27"/>
      <c r="K1337" s="27"/>
      <c r="L1337" s="27"/>
      <c r="M1337" s="27"/>
      <c r="N1337" s="40"/>
      <c r="O1337" s="27"/>
      <c r="P1337" s="27"/>
      <c r="Q1337" s="41"/>
      <c r="R1337" s="40"/>
    </row>
    <row r="1338" spans="1:18" ht="30" customHeight="1" x14ac:dyDescent="0.3">
      <c r="A1338" s="26" t="str">
        <f t="shared" si="40"/>
        <v/>
      </c>
      <c r="B1338" s="26">
        <f>COUNTIFS($A$4:A1338,A1338)</f>
        <v>175</v>
      </c>
      <c r="C1338" s="26" t="str">
        <f t="shared" si="41"/>
        <v>175</v>
      </c>
      <c r="E1338" s="26"/>
      <c r="F1338" s="26"/>
      <c r="H1338" s="27"/>
      <c r="I1338" s="27"/>
      <c r="J1338" s="27"/>
      <c r="K1338" s="27"/>
      <c r="L1338" s="27"/>
      <c r="M1338" s="27"/>
      <c r="N1338" s="40"/>
      <c r="O1338" s="27"/>
      <c r="P1338" s="27"/>
      <c r="Q1338" s="41"/>
      <c r="R1338" s="40"/>
    </row>
    <row r="1339" spans="1:18" ht="30" customHeight="1" x14ac:dyDescent="0.3">
      <c r="A1339" s="26" t="str">
        <f t="shared" si="40"/>
        <v/>
      </c>
      <c r="B1339" s="26">
        <f>COUNTIFS($A$4:A1339,A1339)</f>
        <v>176</v>
      </c>
      <c r="C1339" s="26" t="str">
        <f t="shared" si="41"/>
        <v>176</v>
      </c>
      <c r="E1339" s="26"/>
      <c r="F1339" s="26"/>
      <c r="H1339" s="27"/>
      <c r="I1339" s="27"/>
      <c r="J1339" s="27"/>
      <c r="K1339" s="27"/>
      <c r="L1339" s="27"/>
      <c r="M1339" s="27"/>
      <c r="N1339" s="40"/>
      <c r="O1339" s="27"/>
      <c r="P1339" s="27"/>
      <c r="Q1339" s="41"/>
      <c r="R1339" s="40"/>
    </row>
    <row r="1340" spans="1:18" ht="30" customHeight="1" x14ac:dyDescent="0.3">
      <c r="A1340" s="26" t="str">
        <f t="shared" si="40"/>
        <v/>
      </c>
      <c r="B1340" s="26">
        <f>COUNTIFS($A$4:A1340,A1340)</f>
        <v>177</v>
      </c>
      <c r="C1340" s="26" t="str">
        <f t="shared" si="41"/>
        <v>177</v>
      </c>
      <c r="E1340" s="26"/>
      <c r="F1340" s="26"/>
      <c r="H1340" s="27"/>
      <c r="I1340" s="27"/>
      <c r="J1340" s="27"/>
      <c r="K1340" s="27"/>
      <c r="L1340" s="27"/>
      <c r="M1340" s="27"/>
      <c r="N1340" s="40"/>
      <c r="O1340" s="27"/>
      <c r="P1340" s="27"/>
      <c r="Q1340" s="41"/>
      <c r="R1340" s="40"/>
    </row>
    <row r="1341" spans="1:18" ht="30" customHeight="1" x14ac:dyDescent="0.3">
      <c r="A1341" s="26" t="str">
        <f t="shared" si="40"/>
        <v/>
      </c>
      <c r="B1341" s="26">
        <f>COUNTIFS($A$4:A1341,A1341)</f>
        <v>178</v>
      </c>
      <c r="C1341" s="26" t="str">
        <f t="shared" si="41"/>
        <v>178</v>
      </c>
      <c r="E1341" s="26"/>
      <c r="F1341" s="26"/>
      <c r="H1341" s="27"/>
      <c r="I1341" s="27"/>
      <c r="J1341" s="27"/>
      <c r="K1341" s="27"/>
      <c r="L1341" s="27"/>
      <c r="M1341" s="27"/>
      <c r="N1341" s="40"/>
      <c r="O1341" s="27"/>
      <c r="P1341" s="27"/>
      <c r="Q1341" s="41"/>
      <c r="R1341" s="40"/>
    </row>
    <row r="1342" spans="1:18" ht="30" customHeight="1" x14ac:dyDescent="0.3">
      <c r="A1342" s="26" t="str">
        <f t="shared" si="40"/>
        <v/>
      </c>
      <c r="B1342" s="26">
        <f>COUNTIFS($A$4:A1342,A1342)</f>
        <v>179</v>
      </c>
      <c r="C1342" s="26" t="str">
        <f t="shared" si="41"/>
        <v>179</v>
      </c>
      <c r="E1342" s="26"/>
      <c r="F1342" s="26"/>
      <c r="H1342" s="27"/>
      <c r="I1342" s="27"/>
      <c r="J1342" s="27"/>
      <c r="K1342" s="27"/>
      <c r="L1342" s="27"/>
      <c r="M1342" s="27"/>
      <c r="N1342" s="40"/>
      <c r="O1342" s="27"/>
      <c r="P1342" s="27"/>
      <c r="Q1342" s="41"/>
      <c r="R1342" s="40"/>
    </row>
    <row r="1343" spans="1:18" ht="30" customHeight="1" x14ac:dyDescent="0.3">
      <c r="A1343" s="26" t="str">
        <f t="shared" si="40"/>
        <v/>
      </c>
      <c r="B1343" s="26">
        <f>COUNTIFS($A$4:A1343,A1343)</f>
        <v>180</v>
      </c>
      <c r="C1343" s="26" t="str">
        <f t="shared" si="41"/>
        <v>180</v>
      </c>
      <c r="E1343" s="26"/>
      <c r="F1343" s="26"/>
      <c r="H1343" s="27"/>
      <c r="I1343" s="27"/>
      <c r="J1343" s="27"/>
      <c r="K1343" s="27"/>
      <c r="L1343" s="27"/>
      <c r="M1343" s="27"/>
      <c r="N1343" s="40"/>
      <c r="O1343" s="27"/>
      <c r="P1343" s="27"/>
      <c r="Q1343" s="41"/>
      <c r="R1343" s="40"/>
    </row>
    <row r="1344" spans="1:18" ht="30" customHeight="1" x14ac:dyDescent="0.3">
      <c r="A1344" s="26" t="str">
        <f t="shared" si="40"/>
        <v/>
      </c>
      <c r="B1344" s="26">
        <f>COUNTIFS($A$4:A1344,A1344)</f>
        <v>181</v>
      </c>
      <c r="C1344" s="26" t="str">
        <f t="shared" si="41"/>
        <v>181</v>
      </c>
      <c r="E1344" s="26"/>
      <c r="F1344" s="26"/>
      <c r="H1344" s="27"/>
      <c r="I1344" s="27"/>
      <c r="J1344" s="27"/>
      <c r="K1344" s="27"/>
      <c r="L1344" s="27"/>
      <c r="M1344" s="27"/>
      <c r="N1344" s="40"/>
      <c r="O1344" s="27"/>
      <c r="P1344" s="27"/>
      <c r="Q1344" s="41"/>
      <c r="R1344" s="40"/>
    </row>
    <row r="1345" spans="1:18" ht="30" customHeight="1" x14ac:dyDescent="0.3">
      <c r="A1345" s="26" t="str">
        <f t="shared" si="40"/>
        <v/>
      </c>
      <c r="B1345" s="26">
        <f>COUNTIFS($A$4:A1345,A1345)</f>
        <v>182</v>
      </c>
      <c r="C1345" s="26" t="str">
        <f t="shared" si="41"/>
        <v>182</v>
      </c>
      <c r="E1345" s="26"/>
      <c r="F1345" s="26"/>
      <c r="H1345" s="27"/>
      <c r="I1345" s="27"/>
      <c r="J1345" s="27"/>
      <c r="K1345" s="27"/>
      <c r="L1345" s="27"/>
      <c r="M1345" s="27"/>
      <c r="N1345" s="40"/>
      <c r="O1345" s="27"/>
      <c r="P1345" s="27"/>
      <c r="Q1345" s="41"/>
      <c r="R1345" s="40"/>
    </row>
    <row r="1346" spans="1:18" ht="30" customHeight="1" x14ac:dyDescent="0.3">
      <c r="A1346" s="26" t="str">
        <f t="shared" si="40"/>
        <v/>
      </c>
      <c r="B1346" s="26">
        <f>COUNTIFS($A$4:A1346,A1346)</f>
        <v>183</v>
      </c>
      <c r="C1346" s="26" t="str">
        <f t="shared" si="41"/>
        <v>183</v>
      </c>
      <c r="E1346" s="26"/>
      <c r="F1346" s="26"/>
      <c r="H1346" s="27"/>
      <c r="I1346" s="27"/>
      <c r="J1346" s="27"/>
      <c r="K1346" s="27"/>
      <c r="L1346" s="27"/>
      <c r="M1346" s="27"/>
      <c r="N1346" s="40"/>
      <c r="O1346" s="27"/>
      <c r="P1346" s="27"/>
      <c r="Q1346" s="41"/>
      <c r="R1346" s="40"/>
    </row>
    <row r="1347" spans="1:18" ht="30" customHeight="1" x14ac:dyDescent="0.3">
      <c r="A1347" s="26" t="str">
        <f t="shared" si="40"/>
        <v/>
      </c>
      <c r="B1347" s="26">
        <f>COUNTIFS($A$4:A1347,A1347)</f>
        <v>184</v>
      </c>
      <c r="C1347" s="26" t="str">
        <f t="shared" si="41"/>
        <v>184</v>
      </c>
      <c r="E1347" s="26"/>
      <c r="F1347" s="26"/>
      <c r="H1347" s="27"/>
      <c r="I1347" s="27"/>
      <c r="J1347" s="27"/>
      <c r="K1347" s="27"/>
      <c r="L1347" s="27"/>
      <c r="M1347" s="27"/>
      <c r="N1347" s="40"/>
      <c r="O1347" s="27"/>
      <c r="P1347" s="27"/>
      <c r="Q1347" s="41"/>
      <c r="R1347" s="40"/>
    </row>
    <row r="1348" spans="1:18" ht="30" customHeight="1" x14ac:dyDescent="0.3">
      <c r="A1348" s="26" t="str">
        <f t="shared" si="40"/>
        <v/>
      </c>
      <c r="B1348" s="26">
        <f>COUNTIFS($A$4:A1348,A1348)</f>
        <v>185</v>
      </c>
      <c r="C1348" s="26" t="str">
        <f t="shared" si="41"/>
        <v>185</v>
      </c>
      <c r="E1348" s="26"/>
      <c r="F1348" s="26"/>
      <c r="H1348" s="27"/>
      <c r="I1348" s="27"/>
      <c r="J1348" s="27"/>
      <c r="K1348" s="27"/>
      <c r="L1348" s="27"/>
      <c r="M1348" s="27"/>
      <c r="N1348" s="40"/>
      <c r="O1348" s="27"/>
      <c r="P1348" s="27"/>
      <c r="Q1348" s="41"/>
      <c r="R1348" s="40"/>
    </row>
    <row r="1349" spans="1:18" ht="30" customHeight="1" x14ac:dyDescent="0.3">
      <c r="A1349" s="26" t="str">
        <f t="shared" si="40"/>
        <v/>
      </c>
      <c r="B1349" s="26">
        <f>COUNTIFS($A$4:A1349,A1349)</f>
        <v>186</v>
      </c>
      <c r="C1349" s="26" t="str">
        <f t="shared" si="41"/>
        <v>186</v>
      </c>
      <c r="E1349" s="26"/>
      <c r="F1349" s="26"/>
      <c r="H1349" s="27"/>
      <c r="I1349" s="27"/>
      <c r="J1349" s="27"/>
      <c r="K1349" s="27"/>
      <c r="L1349" s="27"/>
      <c r="M1349" s="27"/>
      <c r="N1349" s="40"/>
      <c r="O1349" s="27"/>
      <c r="P1349" s="27"/>
      <c r="Q1349" s="41"/>
      <c r="R1349" s="40"/>
    </row>
    <row r="1350" spans="1:18" ht="30" customHeight="1" x14ac:dyDescent="0.3">
      <c r="A1350" s="26" t="str">
        <f t="shared" si="40"/>
        <v/>
      </c>
      <c r="B1350" s="26">
        <f>COUNTIFS($A$4:A1350,A1350)</f>
        <v>187</v>
      </c>
      <c r="C1350" s="26" t="str">
        <f t="shared" si="41"/>
        <v>187</v>
      </c>
      <c r="E1350" s="26"/>
      <c r="F1350" s="26"/>
      <c r="H1350" s="27"/>
      <c r="I1350" s="27"/>
      <c r="J1350" s="27"/>
      <c r="K1350" s="27"/>
      <c r="L1350" s="27"/>
      <c r="M1350" s="27"/>
      <c r="N1350" s="40"/>
      <c r="O1350" s="27"/>
      <c r="P1350" s="27"/>
      <c r="Q1350" s="41"/>
      <c r="R1350" s="40"/>
    </row>
    <row r="1351" spans="1:18" ht="30" customHeight="1" x14ac:dyDescent="0.3">
      <c r="A1351" s="26" t="str">
        <f t="shared" si="40"/>
        <v/>
      </c>
      <c r="B1351" s="26">
        <f>COUNTIFS($A$4:A1351,A1351)</f>
        <v>188</v>
      </c>
      <c r="C1351" s="26" t="str">
        <f t="shared" si="41"/>
        <v>188</v>
      </c>
      <c r="E1351" s="26"/>
      <c r="F1351" s="26"/>
      <c r="H1351" s="27"/>
      <c r="I1351" s="27"/>
      <c r="J1351" s="27"/>
      <c r="K1351" s="27"/>
      <c r="L1351" s="27"/>
      <c r="M1351" s="27"/>
      <c r="N1351" s="40"/>
      <c r="O1351" s="27"/>
      <c r="P1351" s="27"/>
      <c r="Q1351" s="41"/>
      <c r="R1351" s="40"/>
    </row>
    <row r="1352" spans="1:18" ht="30" customHeight="1" x14ac:dyDescent="0.3">
      <c r="A1352" s="26" t="str">
        <f t="shared" si="40"/>
        <v/>
      </c>
      <c r="B1352" s="26">
        <f>COUNTIFS($A$4:A1352,A1352)</f>
        <v>189</v>
      </c>
      <c r="C1352" s="26" t="str">
        <f t="shared" si="41"/>
        <v>189</v>
      </c>
      <c r="E1352" s="26"/>
      <c r="F1352" s="26"/>
      <c r="H1352" s="27"/>
      <c r="I1352" s="27"/>
      <c r="J1352" s="27"/>
      <c r="K1352" s="27"/>
      <c r="L1352" s="27"/>
      <c r="M1352" s="27"/>
      <c r="N1352" s="40"/>
      <c r="O1352" s="27"/>
      <c r="P1352" s="27"/>
      <c r="Q1352" s="41"/>
      <c r="R1352" s="40"/>
    </row>
    <row r="1353" spans="1:18" ht="30" customHeight="1" x14ac:dyDescent="0.3">
      <c r="A1353" s="26" t="str">
        <f t="shared" si="40"/>
        <v/>
      </c>
      <c r="B1353" s="26">
        <f>COUNTIFS($A$4:A1353,A1353)</f>
        <v>190</v>
      </c>
      <c r="C1353" s="26" t="str">
        <f t="shared" si="41"/>
        <v>190</v>
      </c>
      <c r="E1353" s="26"/>
      <c r="F1353" s="26"/>
      <c r="H1353" s="27"/>
      <c r="I1353" s="27"/>
      <c r="J1353" s="27"/>
      <c r="K1353" s="27"/>
      <c r="L1353" s="27"/>
      <c r="M1353" s="27"/>
      <c r="N1353" s="40"/>
      <c r="O1353" s="27"/>
      <c r="P1353" s="27"/>
      <c r="Q1353" s="41"/>
      <c r="R1353" s="40"/>
    </row>
    <row r="1354" spans="1:18" ht="30" customHeight="1" x14ac:dyDescent="0.3">
      <c r="A1354" s="26" t="str">
        <f t="shared" si="40"/>
        <v/>
      </c>
      <c r="B1354" s="26">
        <f>COUNTIFS($A$4:A1354,A1354)</f>
        <v>191</v>
      </c>
      <c r="C1354" s="26" t="str">
        <f t="shared" si="41"/>
        <v>191</v>
      </c>
      <c r="E1354" s="26"/>
      <c r="F1354" s="26"/>
      <c r="H1354" s="27"/>
      <c r="I1354" s="27"/>
      <c r="J1354" s="27"/>
      <c r="K1354" s="27"/>
      <c r="L1354" s="27"/>
      <c r="M1354" s="27"/>
      <c r="N1354" s="40"/>
      <c r="O1354" s="27"/>
      <c r="P1354" s="27"/>
      <c r="Q1354" s="41"/>
      <c r="R1354" s="40"/>
    </row>
    <row r="1355" spans="1:18" ht="30" customHeight="1" x14ac:dyDescent="0.3">
      <c r="A1355" s="26" t="str">
        <f t="shared" si="40"/>
        <v/>
      </c>
      <c r="B1355" s="26">
        <f>COUNTIFS($A$4:A1355,A1355)</f>
        <v>192</v>
      </c>
      <c r="C1355" s="26" t="str">
        <f t="shared" si="41"/>
        <v>192</v>
      </c>
      <c r="E1355" s="26"/>
      <c r="F1355" s="26"/>
      <c r="H1355" s="27"/>
      <c r="I1355" s="27"/>
      <c r="J1355" s="27"/>
      <c r="K1355" s="27"/>
      <c r="L1355" s="27"/>
      <c r="M1355" s="27"/>
      <c r="N1355" s="40"/>
      <c r="O1355" s="27"/>
      <c r="P1355" s="27"/>
      <c r="Q1355" s="41"/>
      <c r="R1355" s="40"/>
    </row>
    <row r="1356" spans="1:18" ht="30" customHeight="1" x14ac:dyDescent="0.3">
      <c r="A1356" s="26" t="str">
        <f t="shared" si="40"/>
        <v/>
      </c>
      <c r="B1356" s="26">
        <f>COUNTIFS($A$4:A1356,A1356)</f>
        <v>193</v>
      </c>
      <c r="C1356" s="26" t="str">
        <f t="shared" si="41"/>
        <v>193</v>
      </c>
      <c r="E1356" s="26"/>
      <c r="F1356" s="26"/>
      <c r="H1356" s="27"/>
      <c r="I1356" s="27"/>
      <c r="J1356" s="27"/>
      <c r="K1356" s="27"/>
      <c r="L1356" s="27"/>
      <c r="M1356" s="27"/>
      <c r="N1356" s="40"/>
      <c r="O1356" s="27"/>
      <c r="P1356" s="27"/>
      <c r="Q1356" s="41"/>
      <c r="R1356" s="40"/>
    </row>
    <row r="1357" spans="1:18" ht="30" customHeight="1" x14ac:dyDescent="0.3">
      <c r="A1357" s="26" t="str">
        <f t="shared" si="40"/>
        <v/>
      </c>
      <c r="B1357" s="26">
        <f>COUNTIFS($A$4:A1357,A1357)</f>
        <v>194</v>
      </c>
      <c r="C1357" s="26" t="str">
        <f t="shared" si="41"/>
        <v>194</v>
      </c>
      <c r="E1357" s="26"/>
      <c r="F1357" s="26"/>
      <c r="H1357" s="27"/>
      <c r="I1357" s="27"/>
      <c r="J1357" s="27"/>
      <c r="K1357" s="27"/>
      <c r="L1357" s="27"/>
      <c r="M1357" s="27"/>
      <c r="N1357" s="40"/>
      <c r="O1357" s="27"/>
      <c r="P1357" s="27"/>
      <c r="Q1357" s="41"/>
      <c r="R1357" s="40"/>
    </row>
    <row r="1358" spans="1:18" ht="30" customHeight="1" x14ac:dyDescent="0.3">
      <c r="A1358" s="26" t="str">
        <f t="shared" si="40"/>
        <v/>
      </c>
      <c r="B1358" s="26">
        <f>COUNTIFS($A$4:A1358,A1358)</f>
        <v>195</v>
      </c>
      <c r="C1358" s="26" t="str">
        <f t="shared" si="41"/>
        <v>195</v>
      </c>
      <c r="E1358" s="26"/>
      <c r="F1358" s="26"/>
      <c r="H1358" s="27"/>
      <c r="I1358" s="27"/>
      <c r="J1358" s="27"/>
      <c r="K1358" s="27"/>
      <c r="L1358" s="27"/>
      <c r="M1358" s="27"/>
      <c r="N1358" s="40"/>
      <c r="O1358" s="27"/>
      <c r="P1358" s="27"/>
      <c r="Q1358" s="41"/>
      <c r="R1358" s="40"/>
    </row>
    <row r="1359" spans="1:18" ht="30" customHeight="1" x14ac:dyDescent="0.3">
      <c r="A1359" s="26" t="str">
        <f t="shared" si="40"/>
        <v/>
      </c>
      <c r="B1359" s="26">
        <f>COUNTIFS($A$4:A1359,A1359)</f>
        <v>196</v>
      </c>
      <c r="C1359" s="26" t="str">
        <f t="shared" si="41"/>
        <v>196</v>
      </c>
      <c r="E1359" s="26"/>
      <c r="F1359" s="26"/>
      <c r="H1359" s="27"/>
      <c r="I1359" s="27"/>
      <c r="J1359" s="27"/>
      <c r="K1359" s="27"/>
      <c r="L1359" s="27"/>
      <c r="M1359" s="27"/>
      <c r="N1359" s="40"/>
      <c r="O1359" s="27"/>
      <c r="P1359" s="27"/>
      <c r="Q1359" s="41"/>
      <c r="R1359" s="40"/>
    </row>
    <row r="1360" spans="1:18" ht="30" customHeight="1" x14ac:dyDescent="0.3">
      <c r="A1360" s="26" t="str">
        <f t="shared" si="40"/>
        <v/>
      </c>
      <c r="B1360" s="26">
        <f>COUNTIFS($A$4:A1360,A1360)</f>
        <v>197</v>
      </c>
      <c r="C1360" s="26" t="str">
        <f t="shared" si="41"/>
        <v>197</v>
      </c>
      <c r="E1360" s="26"/>
      <c r="F1360" s="26"/>
      <c r="H1360" s="27"/>
      <c r="I1360" s="27"/>
      <c r="J1360" s="27"/>
      <c r="K1360" s="27"/>
      <c r="L1360" s="27"/>
      <c r="M1360" s="27"/>
      <c r="N1360" s="40"/>
      <c r="O1360" s="27"/>
      <c r="P1360" s="27"/>
      <c r="Q1360" s="41"/>
      <c r="R1360" s="40"/>
    </row>
    <row r="1361" spans="1:18" ht="30" customHeight="1" x14ac:dyDescent="0.3">
      <c r="A1361" s="26" t="str">
        <f t="shared" ref="A1361:A1424" si="42">I1361&amp;H1361</f>
        <v/>
      </c>
      <c r="B1361" s="26">
        <f>COUNTIFS($A$4:A1361,A1361)</f>
        <v>198</v>
      </c>
      <c r="C1361" s="26" t="str">
        <f t="shared" ref="C1361:C1424" si="43">A1361&amp;B1361</f>
        <v>198</v>
      </c>
      <c r="E1361" s="26"/>
      <c r="F1361" s="26"/>
      <c r="H1361" s="27"/>
      <c r="I1361" s="27"/>
      <c r="J1361" s="27"/>
      <c r="K1361" s="27"/>
      <c r="L1361" s="27"/>
      <c r="M1361" s="27"/>
      <c r="N1361" s="40"/>
      <c r="O1361" s="27"/>
      <c r="P1361" s="27"/>
      <c r="Q1361" s="41"/>
      <c r="R1361" s="40"/>
    </row>
    <row r="1362" spans="1:18" ht="30" customHeight="1" x14ac:dyDescent="0.3">
      <c r="A1362" s="26" t="str">
        <f t="shared" si="42"/>
        <v/>
      </c>
      <c r="B1362" s="26">
        <f>COUNTIFS($A$4:A1362,A1362)</f>
        <v>199</v>
      </c>
      <c r="C1362" s="26" t="str">
        <f t="shared" si="43"/>
        <v>199</v>
      </c>
      <c r="E1362" s="26"/>
      <c r="F1362" s="26"/>
      <c r="H1362" s="27"/>
      <c r="I1362" s="27"/>
      <c r="J1362" s="27"/>
      <c r="K1362" s="27"/>
      <c r="L1362" s="27"/>
      <c r="M1362" s="27"/>
      <c r="N1362" s="40"/>
      <c r="O1362" s="27"/>
      <c r="P1362" s="27"/>
      <c r="Q1362" s="41"/>
      <c r="R1362" s="40"/>
    </row>
    <row r="1363" spans="1:18" ht="30" customHeight="1" x14ac:dyDescent="0.3">
      <c r="A1363" s="26" t="str">
        <f t="shared" si="42"/>
        <v/>
      </c>
      <c r="B1363" s="26">
        <f>COUNTIFS($A$4:A1363,A1363)</f>
        <v>200</v>
      </c>
      <c r="C1363" s="26" t="str">
        <f t="shared" si="43"/>
        <v>200</v>
      </c>
      <c r="E1363" s="26"/>
      <c r="F1363" s="26"/>
      <c r="H1363" s="27"/>
      <c r="I1363" s="27"/>
      <c r="J1363" s="27"/>
      <c r="K1363" s="27"/>
      <c r="L1363" s="27"/>
      <c r="M1363" s="27"/>
      <c r="N1363" s="40"/>
      <c r="O1363" s="27"/>
      <c r="P1363" s="27"/>
      <c r="Q1363" s="41"/>
      <c r="R1363" s="40"/>
    </row>
    <row r="1364" spans="1:18" ht="30" customHeight="1" x14ac:dyDescent="0.3">
      <c r="A1364" s="26" t="str">
        <f t="shared" si="42"/>
        <v/>
      </c>
      <c r="B1364" s="26">
        <f>COUNTIFS($A$4:A1364,A1364)</f>
        <v>201</v>
      </c>
      <c r="C1364" s="26" t="str">
        <f t="shared" si="43"/>
        <v>201</v>
      </c>
      <c r="E1364" s="26"/>
      <c r="F1364" s="26"/>
      <c r="H1364" s="27"/>
      <c r="I1364" s="27"/>
      <c r="J1364" s="27"/>
      <c r="K1364" s="27"/>
      <c r="L1364" s="27"/>
      <c r="M1364" s="27"/>
      <c r="N1364" s="40"/>
      <c r="O1364" s="27"/>
      <c r="P1364" s="27"/>
      <c r="Q1364" s="41"/>
      <c r="R1364" s="40"/>
    </row>
    <row r="1365" spans="1:18" ht="30" customHeight="1" x14ac:dyDescent="0.3">
      <c r="A1365" s="26" t="str">
        <f t="shared" si="42"/>
        <v/>
      </c>
      <c r="B1365" s="26">
        <f>COUNTIFS($A$4:A1365,A1365)</f>
        <v>202</v>
      </c>
      <c r="C1365" s="26" t="str">
        <f t="shared" si="43"/>
        <v>202</v>
      </c>
      <c r="E1365" s="26"/>
      <c r="F1365" s="26"/>
      <c r="H1365" s="27"/>
      <c r="I1365" s="27"/>
      <c r="J1365" s="27"/>
      <c r="K1365" s="27"/>
      <c r="L1365" s="27"/>
      <c r="M1365" s="27"/>
      <c r="N1365" s="40"/>
      <c r="O1365" s="27"/>
      <c r="P1365" s="27"/>
      <c r="Q1365" s="41"/>
      <c r="R1365" s="40"/>
    </row>
    <row r="1366" spans="1:18" ht="30" customHeight="1" x14ac:dyDescent="0.3">
      <c r="A1366" s="26" t="str">
        <f t="shared" si="42"/>
        <v/>
      </c>
      <c r="B1366" s="26">
        <f>COUNTIFS($A$4:A1366,A1366)</f>
        <v>203</v>
      </c>
      <c r="C1366" s="26" t="str">
        <f t="shared" si="43"/>
        <v>203</v>
      </c>
      <c r="E1366" s="26"/>
      <c r="F1366" s="26"/>
      <c r="H1366" s="27"/>
      <c r="I1366" s="27"/>
      <c r="J1366" s="27"/>
      <c r="K1366" s="27"/>
      <c r="L1366" s="27"/>
      <c r="M1366" s="27"/>
      <c r="N1366" s="40"/>
      <c r="O1366" s="27"/>
      <c r="P1366" s="27"/>
      <c r="Q1366" s="41"/>
      <c r="R1366" s="40"/>
    </row>
    <row r="1367" spans="1:18" ht="30" customHeight="1" x14ac:dyDescent="0.3">
      <c r="A1367" s="26" t="str">
        <f t="shared" si="42"/>
        <v/>
      </c>
      <c r="B1367" s="26">
        <f>COUNTIFS($A$4:A1367,A1367)</f>
        <v>204</v>
      </c>
      <c r="C1367" s="26" t="str">
        <f t="shared" si="43"/>
        <v>204</v>
      </c>
      <c r="E1367" s="26"/>
      <c r="F1367" s="26"/>
      <c r="H1367" s="27"/>
      <c r="I1367" s="27"/>
      <c r="J1367" s="27"/>
      <c r="K1367" s="27"/>
      <c r="L1367" s="27"/>
      <c r="M1367" s="27"/>
      <c r="N1367" s="40"/>
      <c r="O1367" s="27"/>
      <c r="P1367" s="27"/>
      <c r="Q1367" s="41"/>
      <c r="R1367" s="40"/>
    </row>
    <row r="1368" spans="1:18" ht="30" customHeight="1" x14ac:dyDescent="0.3">
      <c r="A1368" s="26" t="str">
        <f t="shared" si="42"/>
        <v/>
      </c>
      <c r="B1368" s="26">
        <f>COUNTIFS($A$4:A1368,A1368)</f>
        <v>205</v>
      </c>
      <c r="C1368" s="26" t="str">
        <f t="shared" si="43"/>
        <v>205</v>
      </c>
      <c r="E1368" s="26"/>
      <c r="F1368" s="26"/>
      <c r="H1368" s="27"/>
      <c r="I1368" s="27"/>
      <c r="J1368" s="27"/>
      <c r="K1368" s="27"/>
      <c r="L1368" s="27"/>
      <c r="M1368" s="27"/>
      <c r="N1368" s="40"/>
      <c r="O1368" s="27"/>
      <c r="P1368" s="27"/>
      <c r="Q1368" s="41"/>
      <c r="R1368" s="40"/>
    </row>
    <row r="1369" spans="1:18" ht="30" customHeight="1" x14ac:dyDescent="0.3">
      <c r="A1369" s="26" t="str">
        <f t="shared" si="42"/>
        <v/>
      </c>
      <c r="B1369" s="26">
        <f>COUNTIFS($A$4:A1369,A1369)</f>
        <v>206</v>
      </c>
      <c r="C1369" s="26" t="str">
        <f t="shared" si="43"/>
        <v>206</v>
      </c>
      <c r="E1369" s="26"/>
      <c r="F1369" s="26"/>
      <c r="H1369" s="27"/>
      <c r="I1369" s="27"/>
      <c r="J1369" s="27"/>
      <c r="K1369" s="27"/>
      <c r="L1369" s="27"/>
      <c r="M1369" s="27"/>
      <c r="N1369" s="40"/>
      <c r="O1369" s="27"/>
      <c r="P1369" s="27"/>
      <c r="Q1369" s="41"/>
      <c r="R1369" s="40"/>
    </row>
    <row r="1370" spans="1:18" ht="30" customHeight="1" x14ac:dyDescent="0.3">
      <c r="A1370" s="26" t="str">
        <f t="shared" si="42"/>
        <v/>
      </c>
      <c r="B1370" s="26">
        <f>COUNTIFS($A$4:A1370,A1370)</f>
        <v>207</v>
      </c>
      <c r="C1370" s="26" t="str">
        <f t="shared" si="43"/>
        <v>207</v>
      </c>
      <c r="E1370" s="26"/>
      <c r="F1370" s="26"/>
      <c r="H1370" s="27"/>
      <c r="I1370" s="27"/>
      <c r="J1370" s="27"/>
      <c r="K1370" s="27"/>
      <c r="L1370" s="27"/>
      <c r="M1370" s="27"/>
      <c r="N1370" s="40"/>
      <c r="O1370" s="27"/>
      <c r="P1370" s="27"/>
      <c r="Q1370" s="41"/>
      <c r="R1370" s="40"/>
    </row>
    <row r="1371" spans="1:18" ht="30" customHeight="1" x14ac:dyDescent="0.3">
      <c r="A1371" s="26" t="str">
        <f t="shared" si="42"/>
        <v/>
      </c>
      <c r="B1371" s="26">
        <f>COUNTIFS($A$4:A1371,A1371)</f>
        <v>208</v>
      </c>
      <c r="C1371" s="26" t="str">
        <f t="shared" si="43"/>
        <v>208</v>
      </c>
      <c r="E1371" s="26"/>
      <c r="F1371" s="26"/>
      <c r="H1371" s="27"/>
      <c r="I1371" s="27"/>
      <c r="J1371" s="27"/>
      <c r="K1371" s="27"/>
      <c r="L1371" s="27"/>
      <c r="M1371" s="27"/>
      <c r="N1371" s="40"/>
      <c r="O1371" s="27"/>
      <c r="P1371" s="27"/>
      <c r="Q1371" s="41"/>
      <c r="R1371" s="40"/>
    </row>
    <row r="1372" spans="1:18" ht="30" customHeight="1" x14ac:dyDescent="0.3">
      <c r="A1372" s="26" t="str">
        <f t="shared" si="42"/>
        <v/>
      </c>
      <c r="B1372" s="26">
        <f>COUNTIFS($A$4:A1372,A1372)</f>
        <v>209</v>
      </c>
      <c r="C1372" s="26" t="str">
        <f t="shared" si="43"/>
        <v>209</v>
      </c>
      <c r="E1372" s="26"/>
      <c r="F1372" s="26"/>
      <c r="H1372" s="27"/>
      <c r="I1372" s="27"/>
      <c r="J1372" s="27"/>
      <c r="K1372" s="27"/>
      <c r="L1372" s="27"/>
      <c r="M1372" s="27"/>
      <c r="N1372" s="40"/>
      <c r="O1372" s="27"/>
      <c r="P1372" s="27"/>
      <c r="Q1372" s="41"/>
      <c r="R1372" s="40"/>
    </row>
    <row r="1373" spans="1:18" ht="30" customHeight="1" x14ac:dyDescent="0.3">
      <c r="A1373" s="26" t="str">
        <f t="shared" si="42"/>
        <v/>
      </c>
      <c r="B1373" s="26">
        <f>COUNTIFS($A$4:A1373,A1373)</f>
        <v>210</v>
      </c>
      <c r="C1373" s="26" t="str">
        <f t="shared" si="43"/>
        <v>210</v>
      </c>
      <c r="E1373" s="26"/>
      <c r="F1373" s="26"/>
      <c r="H1373" s="27"/>
      <c r="I1373" s="27"/>
      <c r="J1373" s="27"/>
      <c r="K1373" s="27"/>
      <c r="L1373" s="27"/>
      <c r="M1373" s="27"/>
      <c r="N1373" s="40"/>
      <c r="O1373" s="27"/>
      <c r="P1373" s="27"/>
      <c r="Q1373" s="41"/>
      <c r="R1373" s="40"/>
    </row>
    <row r="1374" spans="1:18" ht="30" customHeight="1" x14ac:dyDescent="0.3">
      <c r="A1374" s="26" t="str">
        <f t="shared" si="42"/>
        <v/>
      </c>
      <c r="B1374" s="26">
        <f>COUNTIFS($A$4:A1374,A1374)</f>
        <v>211</v>
      </c>
      <c r="C1374" s="26" t="str">
        <f t="shared" si="43"/>
        <v>211</v>
      </c>
      <c r="E1374" s="26"/>
      <c r="F1374" s="26"/>
      <c r="H1374" s="27"/>
      <c r="I1374" s="27"/>
      <c r="J1374" s="27"/>
      <c r="K1374" s="27"/>
      <c r="L1374" s="27"/>
      <c r="M1374" s="27"/>
      <c r="N1374" s="40"/>
      <c r="O1374" s="27"/>
      <c r="P1374" s="27"/>
      <c r="Q1374" s="41"/>
      <c r="R1374" s="40"/>
    </row>
    <row r="1375" spans="1:18" ht="30" customHeight="1" x14ac:dyDescent="0.3">
      <c r="A1375" s="26" t="str">
        <f t="shared" si="42"/>
        <v/>
      </c>
      <c r="B1375" s="26">
        <f>COUNTIFS($A$4:A1375,A1375)</f>
        <v>212</v>
      </c>
      <c r="C1375" s="26" t="str">
        <f t="shared" si="43"/>
        <v>212</v>
      </c>
      <c r="E1375" s="26"/>
      <c r="F1375" s="26"/>
      <c r="H1375" s="27"/>
      <c r="I1375" s="27"/>
      <c r="J1375" s="27"/>
      <c r="K1375" s="27"/>
      <c r="L1375" s="27"/>
      <c r="M1375" s="27"/>
      <c r="N1375" s="40"/>
      <c r="O1375" s="27"/>
      <c r="P1375" s="27"/>
      <c r="Q1375" s="41"/>
      <c r="R1375" s="40"/>
    </row>
    <row r="1376" spans="1:18" ht="30" customHeight="1" x14ac:dyDescent="0.3">
      <c r="A1376" s="26" t="str">
        <f t="shared" si="42"/>
        <v/>
      </c>
      <c r="B1376" s="26">
        <f>COUNTIFS($A$4:A1376,A1376)</f>
        <v>213</v>
      </c>
      <c r="C1376" s="26" t="str">
        <f t="shared" si="43"/>
        <v>213</v>
      </c>
      <c r="E1376" s="26"/>
      <c r="F1376" s="26"/>
      <c r="H1376" s="27"/>
      <c r="I1376" s="27"/>
      <c r="J1376" s="27"/>
      <c r="K1376" s="27"/>
      <c r="L1376" s="27"/>
      <c r="M1376" s="27"/>
      <c r="N1376" s="40"/>
      <c r="O1376" s="27"/>
      <c r="P1376" s="27"/>
      <c r="Q1376" s="41"/>
      <c r="R1376" s="40"/>
    </row>
    <row r="1377" spans="1:18" ht="30" customHeight="1" x14ac:dyDescent="0.3">
      <c r="A1377" s="26" t="str">
        <f t="shared" si="42"/>
        <v/>
      </c>
      <c r="B1377" s="26">
        <f>COUNTIFS($A$4:A1377,A1377)</f>
        <v>214</v>
      </c>
      <c r="C1377" s="26" t="str">
        <f t="shared" si="43"/>
        <v>214</v>
      </c>
      <c r="E1377" s="26"/>
      <c r="F1377" s="26"/>
      <c r="H1377" s="27"/>
      <c r="I1377" s="27"/>
      <c r="J1377" s="27"/>
      <c r="K1377" s="27"/>
      <c r="L1377" s="27"/>
      <c r="M1377" s="27"/>
      <c r="N1377" s="40"/>
      <c r="O1377" s="27"/>
      <c r="P1377" s="27"/>
      <c r="Q1377" s="41"/>
      <c r="R1377" s="40"/>
    </row>
    <row r="1378" spans="1:18" ht="30" customHeight="1" x14ac:dyDescent="0.3">
      <c r="A1378" s="26" t="str">
        <f t="shared" si="42"/>
        <v/>
      </c>
      <c r="B1378" s="26">
        <f>COUNTIFS($A$4:A1378,A1378)</f>
        <v>215</v>
      </c>
      <c r="C1378" s="26" t="str">
        <f t="shared" si="43"/>
        <v>215</v>
      </c>
      <c r="E1378" s="26"/>
      <c r="F1378" s="26"/>
      <c r="H1378" s="27"/>
      <c r="I1378" s="27"/>
      <c r="J1378" s="27"/>
      <c r="K1378" s="27"/>
      <c r="L1378" s="27"/>
      <c r="M1378" s="27"/>
      <c r="N1378" s="40"/>
      <c r="O1378" s="27"/>
      <c r="P1378" s="27"/>
      <c r="Q1378" s="41"/>
      <c r="R1378" s="40"/>
    </row>
    <row r="1379" spans="1:18" ht="30" customHeight="1" x14ac:dyDescent="0.3">
      <c r="A1379" s="26" t="str">
        <f t="shared" si="42"/>
        <v/>
      </c>
      <c r="B1379" s="26">
        <f>COUNTIFS($A$4:A1379,A1379)</f>
        <v>216</v>
      </c>
      <c r="C1379" s="26" t="str">
        <f t="shared" si="43"/>
        <v>216</v>
      </c>
      <c r="E1379" s="26"/>
      <c r="F1379" s="26"/>
      <c r="H1379" s="27"/>
      <c r="I1379" s="27"/>
      <c r="J1379" s="27"/>
      <c r="K1379" s="27"/>
      <c r="L1379" s="27"/>
      <c r="M1379" s="27"/>
      <c r="N1379" s="40"/>
      <c r="O1379" s="27"/>
      <c r="P1379" s="27"/>
      <c r="Q1379" s="41"/>
      <c r="R1379" s="40"/>
    </row>
    <row r="1380" spans="1:18" ht="30" customHeight="1" x14ac:dyDescent="0.3">
      <c r="A1380" s="26" t="str">
        <f t="shared" si="42"/>
        <v/>
      </c>
      <c r="B1380" s="26">
        <f>COUNTIFS($A$4:A1380,A1380)</f>
        <v>217</v>
      </c>
      <c r="C1380" s="26" t="str">
        <f t="shared" si="43"/>
        <v>217</v>
      </c>
      <c r="E1380" s="26"/>
      <c r="F1380" s="26"/>
      <c r="H1380" s="27"/>
      <c r="I1380" s="27"/>
      <c r="J1380" s="27"/>
      <c r="K1380" s="27"/>
      <c r="L1380" s="27"/>
      <c r="M1380" s="27"/>
      <c r="N1380" s="40"/>
      <c r="O1380" s="27"/>
      <c r="P1380" s="27"/>
      <c r="Q1380" s="41"/>
      <c r="R1380" s="40"/>
    </row>
    <row r="1381" spans="1:18" ht="30" customHeight="1" x14ac:dyDescent="0.3">
      <c r="A1381" s="26" t="str">
        <f t="shared" si="42"/>
        <v/>
      </c>
      <c r="B1381" s="26">
        <f>COUNTIFS($A$4:A1381,A1381)</f>
        <v>218</v>
      </c>
      <c r="C1381" s="26" t="str">
        <f t="shared" si="43"/>
        <v>218</v>
      </c>
      <c r="E1381" s="26"/>
      <c r="F1381" s="26"/>
      <c r="H1381" s="27"/>
      <c r="I1381" s="27"/>
      <c r="J1381" s="27"/>
      <c r="K1381" s="27"/>
      <c r="L1381" s="27"/>
      <c r="M1381" s="27"/>
      <c r="N1381" s="40"/>
      <c r="O1381" s="27"/>
      <c r="P1381" s="27"/>
      <c r="Q1381" s="41"/>
      <c r="R1381" s="40"/>
    </row>
    <row r="1382" spans="1:18" ht="30" customHeight="1" x14ac:dyDescent="0.3">
      <c r="A1382" s="26" t="str">
        <f t="shared" si="42"/>
        <v/>
      </c>
      <c r="B1382" s="26">
        <f>COUNTIFS($A$4:A1382,A1382)</f>
        <v>219</v>
      </c>
      <c r="C1382" s="26" t="str">
        <f t="shared" si="43"/>
        <v>219</v>
      </c>
      <c r="E1382" s="26"/>
      <c r="F1382" s="26"/>
      <c r="H1382" s="27"/>
      <c r="I1382" s="27"/>
      <c r="J1382" s="27"/>
      <c r="K1382" s="27"/>
      <c r="L1382" s="27"/>
      <c r="M1382" s="27"/>
      <c r="N1382" s="40"/>
      <c r="O1382" s="27"/>
      <c r="P1382" s="27"/>
      <c r="Q1382" s="41"/>
      <c r="R1382" s="40"/>
    </row>
    <row r="1383" spans="1:18" ht="30" customHeight="1" x14ac:dyDescent="0.3">
      <c r="A1383" s="26" t="str">
        <f t="shared" si="42"/>
        <v/>
      </c>
      <c r="B1383" s="26">
        <f>COUNTIFS($A$4:A1383,A1383)</f>
        <v>220</v>
      </c>
      <c r="C1383" s="26" t="str">
        <f t="shared" si="43"/>
        <v>220</v>
      </c>
      <c r="E1383" s="26"/>
      <c r="F1383" s="26"/>
      <c r="H1383" s="27"/>
      <c r="I1383" s="27"/>
      <c r="J1383" s="27"/>
      <c r="K1383" s="27"/>
      <c r="L1383" s="27"/>
      <c r="M1383" s="27"/>
      <c r="N1383" s="40"/>
      <c r="O1383" s="27"/>
      <c r="P1383" s="27"/>
      <c r="Q1383" s="41"/>
      <c r="R1383" s="40"/>
    </row>
    <row r="1384" spans="1:18" ht="30" customHeight="1" x14ac:dyDescent="0.3">
      <c r="A1384" s="26" t="str">
        <f t="shared" si="42"/>
        <v/>
      </c>
      <c r="B1384" s="26">
        <f>COUNTIFS($A$4:A1384,A1384)</f>
        <v>221</v>
      </c>
      <c r="C1384" s="26" t="str">
        <f t="shared" si="43"/>
        <v>221</v>
      </c>
      <c r="E1384" s="26"/>
      <c r="F1384" s="26"/>
      <c r="H1384" s="27"/>
      <c r="I1384" s="27"/>
      <c r="J1384" s="27"/>
      <c r="K1384" s="27"/>
      <c r="L1384" s="27"/>
      <c r="M1384" s="27"/>
      <c r="N1384" s="40"/>
      <c r="O1384" s="27"/>
      <c r="P1384" s="27"/>
      <c r="Q1384" s="41"/>
      <c r="R1384" s="40"/>
    </row>
    <row r="1385" spans="1:18" ht="30" customHeight="1" x14ac:dyDescent="0.3">
      <c r="A1385" s="26" t="str">
        <f t="shared" si="42"/>
        <v/>
      </c>
      <c r="B1385" s="26">
        <f>COUNTIFS($A$4:A1385,A1385)</f>
        <v>222</v>
      </c>
      <c r="C1385" s="26" t="str">
        <f t="shared" si="43"/>
        <v>222</v>
      </c>
      <c r="E1385" s="26"/>
      <c r="F1385" s="26"/>
      <c r="H1385" s="27"/>
      <c r="I1385" s="27"/>
      <c r="J1385" s="27"/>
      <c r="K1385" s="27"/>
      <c r="L1385" s="27"/>
      <c r="M1385" s="27"/>
      <c r="N1385" s="40"/>
      <c r="O1385" s="27"/>
      <c r="P1385" s="27"/>
      <c r="Q1385" s="41"/>
      <c r="R1385" s="40"/>
    </row>
    <row r="1386" spans="1:18" ht="30" customHeight="1" x14ac:dyDescent="0.3">
      <c r="A1386" s="26" t="str">
        <f t="shared" si="42"/>
        <v/>
      </c>
      <c r="B1386" s="26">
        <f>COUNTIFS($A$4:A1386,A1386)</f>
        <v>223</v>
      </c>
      <c r="C1386" s="26" t="str">
        <f t="shared" si="43"/>
        <v>223</v>
      </c>
      <c r="E1386" s="26"/>
      <c r="F1386" s="26"/>
      <c r="H1386" s="27"/>
      <c r="I1386" s="27"/>
      <c r="J1386" s="27"/>
      <c r="K1386" s="27"/>
      <c r="L1386" s="27"/>
      <c r="M1386" s="27"/>
      <c r="N1386" s="40"/>
      <c r="O1386" s="27"/>
      <c r="P1386" s="27"/>
      <c r="Q1386" s="41"/>
      <c r="R1386" s="40"/>
    </row>
    <row r="1387" spans="1:18" ht="30" customHeight="1" x14ac:dyDescent="0.3">
      <c r="A1387" s="26" t="str">
        <f t="shared" si="42"/>
        <v/>
      </c>
      <c r="B1387" s="26">
        <f>COUNTIFS($A$4:A1387,A1387)</f>
        <v>224</v>
      </c>
      <c r="C1387" s="26" t="str">
        <f t="shared" si="43"/>
        <v>224</v>
      </c>
      <c r="E1387" s="26"/>
      <c r="F1387" s="26"/>
      <c r="H1387" s="27"/>
      <c r="I1387" s="27"/>
      <c r="J1387" s="27"/>
      <c r="K1387" s="27"/>
      <c r="L1387" s="27"/>
      <c r="M1387" s="27"/>
      <c r="N1387" s="40"/>
      <c r="O1387" s="27"/>
      <c r="P1387" s="27"/>
      <c r="Q1387" s="41"/>
      <c r="R1387" s="40"/>
    </row>
    <row r="1388" spans="1:18" ht="30" customHeight="1" x14ac:dyDescent="0.3">
      <c r="A1388" s="26" t="str">
        <f t="shared" si="42"/>
        <v/>
      </c>
      <c r="B1388" s="26">
        <f>COUNTIFS($A$4:A1388,A1388)</f>
        <v>225</v>
      </c>
      <c r="C1388" s="26" t="str">
        <f t="shared" si="43"/>
        <v>225</v>
      </c>
      <c r="E1388" s="26"/>
      <c r="F1388" s="26"/>
      <c r="H1388" s="27"/>
      <c r="I1388" s="27"/>
      <c r="J1388" s="27"/>
      <c r="K1388" s="27"/>
      <c r="L1388" s="27"/>
      <c r="M1388" s="27"/>
      <c r="N1388" s="40"/>
      <c r="O1388" s="27"/>
      <c r="P1388" s="27"/>
      <c r="Q1388" s="41"/>
      <c r="R1388" s="40"/>
    </row>
    <row r="1389" spans="1:18" ht="30" customHeight="1" x14ac:dyDescent="0.3">
      <c r="A1389" s="26" t="str">
        <f t="shared" si="42"/>
        <v/>
      </c>
      <c r="B1389" s="26">
        <f>COUNTIFS($A$4:A1389,A1389)</f>
        <v>226</v>
      </c>
      <c r="C1389" s="26" t="str">
        <f t="shared" si="43"/>
        <v>226</v>
      </c>
      <c r="E1389" s="26"/>
      <c r="F1389" s="26"/>
      <c r="H1389" s="27"/>
      <c r="I1389" s="27"/>
      <c r="J1389" s="27"/>
      <c r="K1389" s="27"/>
      <c r="L1389" s="27"/>
      <c r="M1389" s="27"/>
      <c r="N1389" s="40"/>
      <c r="O1389" s="27"/>
      <c r="P1389" s="27"/>
      <c r="Q1389" s="41"/>
      <c r="R1389" s="40"/>
    </row>
    <row r="1390" spans="1:18" ht="30" customHeight="1" x14ac:dyDescent="0.3">
      <c r="A1390" s="26" t="str">
        <f t="shared" si="42"/>
        <v/>
      </c>
      <c r="B1390" s="26">
        <f>COUNTIFS($A$4:A1390,A1390)</f>
        <v>227</v>
      </c>
      <c r="C1390" s="26" t="str">
        <f t="shared" si="43"/>
        <v>227</v>
      </c>
      <c r="E1390" s="26"/>
      <c r="F1390" s="26"/>
      <c r="H1390" s="27"/>
      <c r="I1390" s="27"/>
      <c r="J1390" s="27"/>
      <c r="K1390" s="27"/>
      <c r="L1390" s="27"/>
      <c r="M1390" s="27"/>
      <c r="N1390" s="40"/>
      <c r="O1390" s="27"/>
      <c r="P1390" s="27"/>
      <c r="Q1390" s="41"/>
      <c r="R1390" s="40"/>
    </row>
    <row r="1391" spans="1:18" ht="30" customHeight="1" x14ac:dyDescent="0.3">
      <c r="A1391" s="26" t="str">
        <f t="shared" si="42"/>
        <v/>
      </c>
      <c r="B1391" s="26">
        <f>COUNTIFS($A$4:A1391,A1391)</f>
        <v>228</v>
      </c>
      <c r="C1391" s="26" t="str">
        <f t="shared" si="43"/>
        <v>228</v>
      </c>
      <c r="E1391" s="26"/>
      <c r="F1391" s="26"/>
      <c r="H1391" s="27"/>
      <c r="I1391" s="27"/>
      <c r="J1391" s="27"/>
      <c r="K1391" s="27"/>
      <c r="L1391" s="27"/>
      <c r="M1391" s="27"/>
      <c r="N1391" s="40"/>
      <c r="O1391" s="27"/>
      <c r="P1391" s="27"/>
      <c r="Q1391" s="41"/>
      <c r="R1391" s="40"/>
    </row>
    <row r="1392" spans="1:18" ht="30" customHeight="1" x14ac:dyDescent="0.3">
      <c r="A1392" s="26" t="str">
        <f t="shared" si="42"/>
        <v/>
      </c>
      <c r="B1392" s="26">
        <f>COUNTIFS($A$4:A1392,A1392)</f>
        <v>229</v>
      </c>
      <c r="C1392" s="26" t="str">
        <f t="shared" si="43"/>
        <v>229</v>
      </c>
      <c r="E1392" s="26"/>
      <c r="F1392" s="26"/>
      <c r="H1392" s="27"/>
      <c r="I1392" s="27"/>
      <c r="J1392" s="27"/>
      <c r="K1392" s="27"/>
      <c r="L1392" s="27"/>
      <c r="M1392" s="27"/>
      <c r="N1392" s="40"/>
      <c r="O1392" s="27"/>
      <c r="P1392" s="27"/>
      <c r="Q1392" s="41"/>
      <c r="R1392" s="40"/>
    </row>
    <row r="1393" spans="1:18" ht="30" customHeight="1" x14ac:dyDescent="0.3">
      <c r="A1393" s="26" t="str">
        <f t="shared" si="42"/>
        <v/>
      </c>
      <c r="B1393" s="26">
        <f>COUNTIFS($A$4:A1393,A1393)</f>
        <v>230</v>
      </c>
      <c r="C1393" s="26" t="str">
        <f t="shared" si="43"/>
        <v>230</v>
      </c>
      <c r="E1393" s="26"/>
      <c r="F1393" s="26"/>
      <c r="H1393" s="27"/>
      <c r="I1393" s="27"/>
      <c r="J1393" s="27"/>
      <c r="K1393" s="27"/>
      <c r="L1393" s="27"/>
      <c r="M1393" s="27"/>
      <c r="N1393" s="40"/>
      <c r="O1393" s="27"/>
      <c r="P1393" s="27"/>
      <c r="Q1393" s="41"/>
      <c r="R1393" s="40"/>
    </row>
    <row r="1394" spans="1:18" ht="30" customHeight="1" x14ac:dyDescent="0.3">
      <c r="A1394" s="26" t="str">
        <f t="shared" si="42"/>
        <v/>
      </c>
      <c r="B1394" s="26">
        <f>COUNTIFS($A$4:A1394,A1394)</f>
        <v>231</v>
      </c>
      <c r="C1394" s="26" t="str">
        <f t="shared" si="43"/>
        <v>231</v>
      </c>
      <c r="E1394" s="26"/>
      <c r="F1394" s="26"/>
      <c r="H1394" s="27"/>
      <c r="I1394" s="27"/>
      <c r="J1394" s="27"/>
      <c r="K1394" s="27"/>
      <c r="L1394" s="27"/>
      <c r="M1394" s="27"/>
      <c r="N1394" s="40"/>
      <c r="O1394" s="27"/>
      <c r="P1394" s="27"/>
      <c r="Q1394" s="41"/>
      <c r="R1394" s="40"/>
    </row>
    <row r="1395" spans="1:18" ht="30" customHeight="1" x14ac:dyDescent="0.3">
      <c r="A1395" s="26" t="str">
        <f t="shared" si="42"/>
        <v/>
      </c>
      <c r="B1395" s="26">
        <f>COUNTIFS($A$4:A1395,A1395)</f>
        <v>232</v>
      </c>
      <c r="C1395" s="26" t="str">
        <f t="shared" si="43"/>
        <v>232</v>
      </c>
      <c r="E1395" s="26"/>
      <c r="F1395" s="26"/>
      <c r="H1395" s="27"/>
      <c r="I1395" s="27"/>
      <c r="J1395" s="27"/>
      <c r="K1395" s="27"/>
      <c r="L1395" s="27"/>
      <c r="M1395" s="27"/>
      <c r="N1395" s="40"/>
      <c r="O1395" s="27"/>
      <c r="P1395" s="27"/>
      <c r="Q1395" s="41"/>
      <c r="R1395" s="40"/>
    </row>
    <row r="1396" spans="1:18" ht="30" customHeight="1" x14ac:dyDescent="0.3">
      <c r="A1396" s="26" t="str">
        <f t="shared" si="42"/>
        <v/>
      </c>
      <c r="B1396" s="26">
        <f>COUNTIFS($A$4:A1396,A1396)</f>
        <v>233</v>
      </c>
      <c r="C1396" s="26" t="str">
        <f t="shared" si="43"/>
        <v>233</v>
      </c>
      <c r="E1396" s="26"/>
      <c r="F1396" s="26"/>
      <c r="H1396" s="27"/>
      <c r="I1396" s="27"/>
      <c r="J1396" s="27"/>
      <c r="K1396" s="27"/>
      <c r="L1396" s="27"/>
      <c r="M1396" s="27"/>
      <c r="N1396" s="40"/>
      <c r="O1396" s="27"/>
      <c r="P1396" s="27"/>
      <c r="Q1396" s="41"/>
      <c r="R1396" s="40"/>
    </row>
    <row r="1397" spans="1:18" ht="30" customHeight="1" x14ac:dyDescent="0.3">
      <c r="A1397" s="26" t="str">
        <f t="shared" si="42"/>
        <v/>
      </c>
      <c r="B1397" s="26">
        <f>COUNTIFS($A$4:A1397,A1397)</f>
        <v>234</v>
      </c>
      <c r="C1397" s="26" t="str">
        <f t="shared" si="43"/>
        <v>234</v>
      </c>
      <c r="E1397" s="26"/>
      <c r="F1397" s="26"/>
      <c r="H1397" s="27"/>
      <c r="I1397" s="27"/>
      <c r="J1397" s="27"/>
      <c r="K1397" s="27"/>
      <c r="L1397" s="27"/>
      <c r="M1397" s="27"/>
      <c r="N1397" s="40"/>
      <c r="O1397" s="27"/>
      <c r="P1397" s="27"/>
      <c r="Q1397" s="41"/>
      <c r="R1397" s="40"/>
    </row>
    <row r="1398" spans="1:18" ht="30" customHeight="1" x14ac:dyDescent="0.3">
      <c r="A1398" s="26" t="str">
        <f t="shared" si="42"/>
        <v/>
      </c>
      <c r="B1398" s="26">
        <f>COUNTIFS($A$4:A1398,A1398)</f>
        <v>235</v>
      </c>
      <c r="C1398" s="26" t="str">
        <f t="shared" si="43"/>
        <v>235</v>
      </c>
      <c r="E1398" s="26"/>
      <c r="F1398" s="26"/>
      <c r="H1398" s="27"/>
      <c r="I1398" s="27"/>
      <c r="J1398" s="27"/>
      <c r="K1398" s="27"/>
      <c r="L1398" s="27"/>
      <c r="M1398" s="27"/>
      <c r="N1398" s="40"/>
      <c r="O1398" s="27"/>
      <c r="P1398" s="27"/>
      <c r="Q1398" s="41"/>
      <c r="R1398" s="40"/>
    </row>
    <row r="1399" spans="1:18" ht="30" customHeight="1" x14ac:dyDescent="0.3">
      <c r="A1399" s="26" t="str">
        <f t="shared" si="42"/>
        <v/>
      </c>
      <c r="B1399" s="26">
        <f>COUNTIFS($A$4:A1399,A1399)</f>
        <v>236</v>
      </c>
      <c r="C1399" s="26" t="str">
        <f t="shared" si="43"/>
        <v>236</v>
      </c>
      <c r="E1399" s="26"/>
      <c r="F1399" s="26"/>
      <c r="H1399" s="27"/>
      <c r="I1399" s="27"/>
      <c r="J1399" s="27"/>
      <c r="K1399" s="27"/>
      <c r="L1399" s="27"/>
      <c r="M1399" s="27"/>
      <c r="N1399" s="40"/>
      <c r="O1399" s="27"/>
      <c r="P1399" s="27"/>
      <c r="Q1399" s="41"/>
      <c r="R1399" s="40"/>
    </row>
    <row r="1400" spans="1:18" ht="30" customHeight="1" x14ac:dyDescent="0.3">
      <c r="A1400" s="26" t="str">
        <f t="shared" si="42"/>
        <v/>
      </c>
      <c r="B1400" s="26">
        <f>COUNTIFS($A$4:A1400,A1400)</f>
        <v>237</v>
      </c>
      <c r="C1400" s="26" t="str">
        <f t="shared" si="43"/>
        <v>237</v>
      </c>
      <c r="E1400" s="26"/>
      <c r="F1400" s="26"/>
      <c r="H1400" s="27"/>
      <c r="I1400" s="27"/>
      <c r="J1400" s="27"/>
      <c r="K1400" s="27"/>
      <c r="L1400" s="27"/>
      <c r="M1400" s="27"/>
      <c r="N1400" s="40"/>
      <c r="O1400" s="27"/>
      <c r="P1400" s="27"/>
      <c r="Q1400" s="41"/>
      <c r="R1400" s="40"/>
    </row>
    <row r="1401" spans="1:18" ht="30" customHeight="1" x14ac:dyDescent="0.3">
      <c r="A1401" s="26" t="str">
        <f t="shared" si="42"/>
        <v/>
      </c>
      <c r="B1401" s="26">
        <f>COUNTIFS($A$4:A1401,A1401)</f>
        <v>238</v>
      </c>
      <c r="C1401" s="26" t="str">
        <f t="shared" si="43"/>
        <v>238</v>
      </c>
      <c r="E1401" s="26"/>
      <c r="F1401" s="26"/>
      <c r="H1401" s="27"/>
      <c r="I1401" s="27"/>
      <c r="J1401" s="27"/>
      <c r="K1401" s="27"/>
      <c r="L1401" s="27"/>
      <c r="M1401" s="27"/>
      <c r="N1401" s="40"/>
      <c r="O1401" s="27"/>
      <c r="P1401" s="27"/>
      <c r="Q1401" s="41"/>
      <c r="R1401" s="40"/>
    </row>
    <row r="1402" spans="1:18" ht="30" customHeight="1" x14ac:dyDescent="0.3">
      <c r="A1402" s="26" t="str">
        <f t="shared" si="42"/>
        <v/>
      </c>
      <c r="B1402" s="26">
        <f>COUNTIFS($A$4:A1402,A1402)</f>
        <v>239</v>
      </c>
      <c r="C1402" s="26" t="str">
        <f t="shared" si="43"/>
        <v>239</v>
      </c>
      <c r="E1402" s="26"/>
      <c r="F1402" s="26"/>
      <c r="H1402" s="27"/>
      <c r="I1402" s="27"/>
      <c r="J1402" s="27"/>
      <c r="K1402" s="27"/>
      <c r="L1402" s="27"/>
      <c r="M1402" s="27"/>
      <c r="N1402" s="40"/>
      <c r="O1402" s="27"/>
      <c r="P1402" s="27"/>
      <c r="Q1402" s="41"/>
      <c r="R1402" s="40"/>
    </row>
    <row r="1403" spans="1:18" ht="30" customHeight="1" x14ac:dyDescent="0.3">
      <c r="A1403" s="26" t="str">
        <f t="shared" si="42"/>
        <v/>
      </c>
      <c r="B1403" s="26">
        <f>COUNTIFS($A$4:A1403,A1403)</f>
        <v>240</v>
      </c>
      <c r="C1403" s="26" t="str">
        <f t="shared" si="43"/>
        <v>240</v>
      </c>
      <c r="E1403" s="26"/>
      <c r="F1403" s="26"/>
      <c r="H1403" s="27"/>
      <c r="I1403" s="27"/>
      <c r="J1403" s="27"/>
      <c r="K1403" s="27"/>
      <c r="L1403" s="27"/>
      <c r="M1403" s="27"/>
      <c r="N1403" s="40"/>
      <c r="O1403" s="27"/>
      <c r="P1403" s="27"/>
      <c r="Q1403" s="41"/>
      <c r="R1403" s="40"/>
    </row>
    <row r="1404" spans="1:18" ht="30" customHeight="1" x14ac:dyDescent="0.3">
      <c r="A1404" s="26" t="str">
        <f t="shared" si="42"/>
        <v/>
      </c>
      <c r="B1404" s="26">
        <f>COUNTIFS($A$4:A1404,A1404)</f>
        <v>241</v>
      </c>
      <c r="C1404" s="26" t="str">
        <f t="shared" si="43"/>
        <v>241</v>
      </c>
      <c r="E1404" s="26"/>
      <c r="F1404" s="26"/>
      <c r="H1404" s="27"/>
      <c r="I1404" s="27"/>
      <c r="J1404" s="27"/>
      <c r="K1404" s="27"/>
      <c r="L1404" s="27"/>
      <c r="M1404" s="27"/>
      <c r="N1404" s="40"/>
      <c r="O1404" s="27"/>
      <c r="P1404" s="27"/>
      <c r="Q1404" s="41"/>
      <c r="R1404" s="40"/>
    </row>
    <row r="1405" spans="1:18" ht="30" customHeight="1" x14ac:dyDescent="0.3">
      <c r="A1405" s="26" t="str">
        <f t="shared" si="42"/>
        <v/>
      </c>
      <c r="B1405" s="26">
        <f>COUNTIFS($A$4:A1405,A1405)</f>
        <v>242</v>
      </c>
      <c r="C1405" s="26" t="str">
        <f t="shared" si="43"/>
        <v>242</v>
      </c>
      <c r="E1405" s="26"/>
      <c r="F1405" s="26"/>
      <c r="H1405" s="27"/>
      <c r="I1405" s="27"/>
      <c r="J1405" s="27"/>
      <c r="K1405" s="27"/>
      <c r="L1405" s="27"/>
      <c r="M1405" s="27"/>
      <c r="N1405" s="40"/>
      <c r="O1405" s="27"/>
      <c r="P1405" s="27"/>
      <c r="Q1405" s="41"/>
      <c r="R1405" s="40"/>
    </row>
    <row r="1406" spans="1:18" ht="30" customHeight="1" x14ac:dyDescent="0.3">
      <c r="A1406" s="26" t="str">
        <f t="shared" si="42"/>
        <v/>
      </c>
      <c r="B1406" s="26">
        <f>COUNTIFS($A$4:A1406,A1406)</f>
        <v>243</v>
      </c>
      <c r="C1406" s="26" t="str">
        <f t="shared" si="43"/>
        <v>243</v>
      </c>
      <c r="E1406" s="26"/>
      <c r="F1406" s="26"/>
      <c r="H1406" s="27"/>
      <c r="I1406" s="27"/>
      <c r="J1406" s="27"/>
      <c r="K1406" s="27"/>
      <c r="L1406" s="27"/>
      <c r="M1406" s="27"/>
      <c r="N1406" s="40"/>
      <c r="O1406" s="27"/>
      <c r="P1406" s="27"/>
      <c r="Q1406" s="41"/>
      <c r="R1406" s="40"/>
    </row>
    <row r="1407" spans="1:18" ht="30" customHeight="1" x14ac:dyDescent="0.3">
      <c r="A1407" s="26" t="str">
        <f t="shared" si="42"/>
        <v/>
      </c>
      <c r="B1407" s="26">
        <f>COUNTIFS($A$4:A1407,A1407)</f>
        <v>244</v>
      </c>
      <c r="C1407" s="26" t="str">
        <f t="shared" si="43"/>
        <v>244</v>
      </c>
      <c r="E1407" s="26"/>
      <c r="F1407" s="26"/>
      <c r="H1407" s="27"/>
      <c r="I1407" s="27"/>
      <c r="J1407" s="27"/>
      <c r="K1407" s="27"/>
      <c r="L1407" s="27"/>
      <c r="M1407" s="27"/>
      <c r="N1407" s="40"/>
      <c r="O1407" s="27"/>
      <c r="P1407" s="27"/>
      <c r="Q1407" s="41"/>
      <c r="R1407" s="40"/>
    </row>
    <row r="1408" spans="1:18" ht="30" customHeight="1" x14ac:dyDescent="0.3">
      <c r="A1408" s="26" t="str">
        <f t="shared" si="42"/>
        <v/>
      </c>
      <c r="B1408" s="26">
        <f>COUNTIFS($A$4:A1408,A1408)</f>
        <v>245</v>
      </c>
      <c r="C1408" s="26" t="str">
        <f t="shared" si="43"/>
        <v>245</v>
      </c>
      <c r="E1408" s="26"/>
      <c r="F1408" s="26"/>
      <c r="H1408" s="27"/>
      <c r="I1408" s="27"/>
      <c r="J1408" s="27"/>
      <c r="K1408" s="27"/>
      <c r="L1408" s="27"/>
      <c r="M1408" s="27"/>
      <c r="N1408" s="40"/>
      <c r="O1408" s="27"/>
      <c r="P1408" s="27"/>
      <c r="Q1408" s="41"/>
      <c r="R1408" s="40"/>
    </row>
    <row r="1409" spans="1:18" ht="30" customHeight="1" x14ac:dyDescent="0.3">
      <c r="A1409" s="26" t="str">
        <f t="shared" si="42"/>
        <v/>
      </c>
      <c r="B1409" s="26">
        <f>COUNTIFS($A$4:A1409,A1409)</f>
        <v>246</v>
      </c>
      <c r="C1409" s="26" t="str">
        <f t="shared" si="43"/>
        <v>246</v>
      </c>
      <c r="E1409" s="26"/>
      <c r="F1409" s="26"/>
      <c r="H1409" s="27"/>
      <c r="I1409" s="27"/>
      <c r="J1409" s="27"/>
      <c r="K1409" s="27"/>
      <c r="L1409" s="27"/>
      <c r="M1409" s="27"/>
      <c r="N1409" s="40"/>
      <c r="O1409" s="27"/>
      <c r="P1409" s="27"/>
      <c r="Q1409" s="41"/>
      <c r="R1409" s="40"/>
    </row>
    <row r="1410" spans="1:18" ht="30" customHeight="1" x14ac:dyDescent="0.3">
      <c r="A1410" s="26" t="str">
        <f t="shared" si="42"/>
        <v/>
      </c>
      <c r="B1410" s="26">
        <f>COUNTIFS($A$4:A1410,A1410)</f>
        <v>247</v>
      </c>
      <c r="C1410" s="26" t="str">
        <f t="shared" si="43"/>
        <v>247</v>
      </c>
      <c r="E1410" s="26"/>
      <c r="F1410" s="26"/>
      <c r="H1410" s="27"/>
      <c r="I1410" s="27"/>
      <c r="J1410" s="27"/>
      <c r="K1410" s="27"/>
      <c r="L1410" s="27"/>
      <c r="M1410" s="27"/>
      <c r="N1410" s="40"/>
      <c r="O1410" s="27"/>
      <c r="P1410" s="27"/>
      <c r="Q1410" s="41"/>
      <c r="R1410" s="40"/>
    </row>
    <row r="1411" spans="1:18" ht="30" customHeight="1" x14ac:dyDescent="0.3">
      <c r="A1411" s="26" t="str">
        <f t="shared" si="42"/>
        <v/>
      </c>
      <c r="B1411" s="26">
        <f>COUNTIFS($A$4:A1411,A1411)</f>
        <v>248</v>
      </c>
      <c r="C1411" s="26" t="str">
        <f t="shared" si="43"/>
        <v>248</v>
      </c>
      <c r="E1411" s="26"/>
      <c r="F1411" s="26"/>
      <c r="H1411" s="27"/>
      <c r="I1411" s="27"/>
      <c r="J1411" s="27"/>
      <c r="K1411" s="27"/>
      <c r="L1411" s="27"/>
      <c r="M1411" s="27"/>
      <c r="N1411" s="40"/>
      <c r="O1411" s="27"/>
      <c r="P1411" s="27"/>
      <c r="Q1411" s="41"/>
      <c r="R1411" s="40"/>
    </row>
    <row r="1412" spans="1:18" ht="30" customHeight="1" x14ac:dyDescent="0.3">
      <c r="A1412" s="26" t="str">
        <f t="shared" si="42"/>
        <v/>
      </c>
      <c r="B1412" s="26">
        <f>COUNTIFS($A$4:A1412,A1412)</f>
        <v>249</v>
      </c>
      <c r="C1412" s="26" t="str">
        <f t="shared" si="43"/>
        <v>249</v>
      </c>
      <c r="E1412" s="26"/>
      <c r="F1412" s="26"/>
      <c r="H1412" s="27"/>
      <c r="I1412" s="27"/>
      <c r="J1412" s="27"/>
      <c r="K1412" s="27"/>
      <c r="L1412" s="27"/>
      <c r="M1412" s="27"/>
      <c r="N1412" s="40"/>
      <c r="O1412" s="27"/>
      <c r="P1412" s="27"/>
      <c r="Q1412" s="41"/>
      <c r="R1412" s="40"/>
    </row>
    <row r="1413" spans="1:18" ht="30" customHeight="1" x14ac:dyDescent="0.3">
      <c r="A1413" s="26" t="str">
        <f t="shared" si="42"/>
        <v/>
      </c>
      <c r="B1413" s="26">
        <f>COUNTIFS($A$4:A1413,A1413)</f>
        <v>250</v>
      </c>
      <c r="C1413" s="26" t="str">
        <f t="shared" si="43"/>
        <v>250</v>
      </c>
      <c r="E1413" s="26"/>
      <c r="F1413" s="26"/>
      <c r="H1413" s="27"/>
      <c r="I1413" s="27"/>
      <c r="J1413" s="27"/>
      <c r="K1413" s="27"/>
      <c r="L1413" s="27"/>
      <c r="M1413" s="27"/>
      <c r="N1413" s="40"/>
      <c r="O1413" s="27"/>
      <c r="P1413" s="27"/>
      <c r="Q1413" s="41"/>
      <c r="R1413" s="40"/>
    </row>
    <row r="1414" spans="1:18" ht="30" customHeight="1" x14ac:dyDescent="0.3">
      <c r="A1414" s="26" t="str">
        <f t="shared" si="42"/>
        <v/>
      </c>
      <c r="B1414" s="26">
        <f>COUNTIFS($A$4:A1414,A1414)</f>
        <v>251</v>
      </c>
      <c r="C1414" s="26" t="str">
        <f t="shared" si="43"/>
        <v>251</v>
      </c>
      <c r="E1414" s="26"/>
      <c r="F1414" s="26"/>
      <c r="H1414" s="27"/>
      <c r="I1414" s="27"/>
      <c r="J1414" s="27"/>
      <c r="K1414" s="27"/>
      <c r="L1414" s="27"/>
      <c r="M1414" s="27"/>
      <c r="N1414" s="40"/>
      <c r="O1414" s="27"/>
      <c r="P1414" s="27"/>
      <c r="Q1414" s="41"/>
      <c r="R1414" s="40"/>
    </row>
    <row r="1415" spans="1:18" ht="30" customHeight="1" x14ac:dyDescent="0.3">
      <c r="A1415" s="26" t="str">
        <f t="shared" si="42"/>
        <v/>
      </c>
      <c r="B1415" s="26">
        <f>COUNTIFS($A$4:A1415,A1415)</f>
        <v>252</v>
      </c>
      <c r="C1415" s="26" t="str">
        <f t="shared" si="43"/>
        <v>252</v>
      </c>
      <c r="E1415" s="26"/>
      <c r="F1415" s="26"/>
      <c r="H1415" s="27"/>
      <c r="I1415" s="27"/>
      <c r="J1415" s="27"/>
      <c r="K1415" s="27"/>
      <c r="L1415" s="27"/>
      <c r="M1415" s="27"/>
      <c r="N1415" s="40"/>
      <c r="O1415" s="27"/>
      <c r="P1415" s="27"/>
      <c r="Q1415" s="41"/>
      <c r="R1415" s="40"/>
    </row>
    <row r="1416" spans="1:18" ht="30" customHeight="1" x14ac:dyDescent="0.3">
      <c r="A1416" s="26" t="str">
        <f t="shared" si="42"/>
        <v/>
      </c>
      <c r="B1416" s="26">
        <f>COUNTIFS($A$4:A1416,A1416)</f>
        <v>253</v>
      </c>
      <c r="C1416" s="26" t="str">
        <f t="shared" si="43"/>
        <v>253</v>
      </c>
      <c r="E1416" s="26"/>
      <c r="F1416" s="26"/>
      <c r="H1416" s="27"/>
      <c r="I1416" s="27"/>
      <c r="J1416" s="27"/>
      <c r="K1416" s="27"/>
      <c r="L1416" s="27"/>
      <c r="M1416" s="27"/>
      <c r="N1416" s="40"/>
      <c r="O1416" s="27"/>
      <c r="P1416" s="27"/>
      <c r="Q1416" s="41"/>
      <c r="R1416" s="40"/>
    </row>
    <row r="1417" spans="1:18" ht="30" customHeight="1" x14ac:dyDescent="0.3">
      <c r="A1417" s="26" t="str">
        <f t="shared" si="42"/>
        <v/>
      </c>
      <c r="B1417" s="26">
        <f>COUNTIFS($A$4:A1417,A1417)</f>
        <v>254</v>
      </c>
      <c r="C1417" s="26" t="str">
        <f t="shared" si="43"/>
        <v>254</v>
      </c>
      <c r="E1417" s="26"/>
      <c r="F1417" s="26"/>
      <c r="H1417" s="27"/>
      <c r="I1417" s="27"/>
      <c r="J1417" s="27"/>
      <c r="K1417" s="27"/>
      <c r="L1417" s="27"/>
      <c r="M1417" s="27"/>
      <c r="N1417" s="40"/>
      <c r="O1417" s="27"/>
      <c r="P1417" s="27"/>
      <c r="Q1417" s="41"/>
      <c r="R1417" s="40"/>
    </row>
    <row r="1418" spans="1:18" ht="30" customHeight="1" x14ac:dyDescent="0.3">
      <c r="A1418" s="26" t="str">
        <f t="shared" si="42"/>
        <v/>
      </c>
      <c r="B1418" s="26">
        <f>COUNTIFS($A$4:A1418,A1418)</f>
        <v>255</v>
      </c>
      <c r="C1418" s="26" t="str">
        <f t="shared" si="43"/>
        <v>255</v>
      </c>
      <c r="E1418" s="26"/>
      <c r="F1418" s="26"/>
      <c r="H1418" s="27"/>
      <c r="I1418" s="27"/>
      <c r="J1418" s="27"/>
      <c r="K1418" s="27"/>
      <c r="L1418" s="27"/>
      <c r="M1418" s="27"/>
      <c r="N1418" s="40"/>
      <c r="O1418" s="27"/>
      <c r="P1418" s="27"/>
      <c r="Q1418" s="41"/>
      <c r="R1418" s="40"/>
    </row>
    <row r="1419" spans="1:18" ht="30" customHeight="1" x14ac:dyDescent="0.3">
      <c r="A1419" s="26" t="str">
        <f t="shared" si="42"/>
        <v/>
      </c>
      <c r="B1419" s="26">
        <f>COUNTIFS($A$4:A1419,A1419)</f>
        <v>256</v>
      </c>
      <c r="C1419" s="26" t="str">
        <f t="shared" si="43"/>
        <v>256</v>
      </c>
      <c r="E1419" s="26"/>
      <c r="F1419" s="26"/>
      <c r="H1419" s="27"/>
      <c r="I1419" s="27"/>
      <c r="J1419" s="27"/>
      <c r="K1419" s="27"/>
      <c r="L1419" s="27"/>
      <c r="M1419" s="27"/>
      <c r="N1419" s="40"/>
      <c r="O1419" s="27"/>
      <c r="P1419" s="27"/>
      <c r="Q1419" s="41"/>
      <c r="R1419" s="40"/>
    </row>
    <row r="1420" spans="1:18" ht="30" customHeight="1" x14ac:dyDescent="0.3">
      <c r="A1420" s="26" t="str">
        <f t="shared" si="42"/>
        <v/>
      </c>
      <c r="B1420" s="26">
        <f>COUNTIFS($A$4:A1420,A1420)</f>
        <v>257</v>
      </c>
      <c r="C1420" s="26" t="str">
        <f t="shared" si="43"/>
        <v>257</v>
      </c>
      <c r="E1420" s="26"/>
      <c r="F1420" s="26"/>
      <c r="H1420" s="27"/>
      <c r="I1420" s="27"/>
      <c r="J1420" s="27"/>
      <c r="K1420" s="27"/>
      <c r="L1420" s="27"/>
      <c r="M1420" s="27"/>
      <c r="N1420" s="40"/>
      <c r="O1420" s="27"/>
      <c r="P1420" s="27"/>
      <c r="Q1420" s="41"/>
      <c r="R1420" s="40"/>
    </row>
    <row r="1421" spans="1:18" ht="30" customHeight="1" x14ac:dyDescent="0.3">
      <c r="A1421" s="26" t="str">
        <f t="shared" si="42"/>
        <v/>
      </c>
      <c r="B1421" s="26">
        <f>COUNTIFS($A$4:A1421,A1421)</f>
        <v>258</v>
      </c>
      <c r="C1421" s="26" t="str">
        <f t="shared" si="43"/>
        <v>258</v>
      </c>
      <c r="E1421" s="26"/>
      <c r="F1421" s="26"/>
      <c r="H1421" s="27"/>
      <c r="I1421" s="27"/>
      <c r="J1421" s="27"/>
      <c r="K1421" s="27"/>
      <c r="L1421" s="27"/>
      <c r="M1421" s="27"/>
      <c r="N1421" s="40"/>
      <c r="O1421" s="27"/>
      <c r="P1421" s="27"/>
      <c r="Q1421" s="41"/>
      <c r="R1421" s="40"/>
    </row>
    <row r="1422" spans="1:18" ht="30" customHeight="1" x14ac:dyDescent="0.3">
      <c r="A1422" s="26" t="str">
        <f t="shared" si="42"/>
        <v/>
      </c>
      <c r="B1422" s="26">
        <f>COUNTIFS($A$4:A1422,A1422)</f>
        <v>259</v>
      </c>
      <c r="C1422" s="26" t="str">
        <f t="shared" si="43"/>
        <v>259</v>
      </c>
      <c r="E1422" s="26"/>
      <c r="F1422" s="26"/>
      <c r="H1422" s="27"/>
      <c r="I1422" s="27"/>
      <c r="J1422" s="27"/>
      <c r="K1422" s="27"/>
      <c r="L1422" s="27"/>
      <c r="M1422" s="27"/>
      <c r="N1422" s="40"/>
      <c r="O1422" s="27"/>
      <c r="P1422" s="27"/>
      <c r="Q1422" s="41"/>
      <c r="R1422" s="40"/>
    </row>
    <row r="1423" spans="1:18" ht="30" customHeight="1" x14ac:dyDescent="0.3">
      <c r="A1423" s="26" t="str">
        <f t="shared" si="42"/>
        <v/>
      </c>
      <c r="B1423" s="26">
        <f>COUNTIFS($A$4:A1423,A1423)</f>
        <v>260</v>
      </c>
      <c r="C1423" s="26" t="str">
        <f t="shared" si="43"/>
        <v>260</v>
      </c>
      <c r="E1423" s="26"/>
      <c r="F1423" s="26"/>
      <c r="H1423" s="27"/>
      <c r="I1423" s="27"/>
      <c r="J1423" s="27"/>
      <c r="K1423" s="27"/>
      <c r="L1423" s="27"/>
      <c r="M1423" s="27"/>
      <c r="N1423" s="40"/>
      <c r="O1423" s="27"/>
      <c r="P1423" s="27"/>
      <c r="Q1423" s="41"/>
      <c r="R1423" s="40"/>
    </row>
    <row r="1424" spans="1:18" ht="30" customHeight="1" x14ac:dyDescent="0.3">
      <c r="A1424" s="26" t="str">
        <f t="shared" si="42"/>
        <v/>
      </c>
      <c r="B1424" s="26">
        <f>COUNTIFS($A$4:A1424,A1424)</f>
        <v>261</v>
      </c>
      <c r="C1424" s="26" t="str">
        <f t="shared" si="43"/>
        <v>261</v>
      </c>
      <c r="E1424" s="26"/>
      <c r="F1424" s="26"/>
      <c r="H1424" s="27"/>
      <c r="I1424" s="27"/>
      <c r="J1424" s="27"/>
      <c r="K1424" s="27"/>
      <c r="L1424" s="27"/>
      <c r="M1424" s="27"/>
      <c r="N1424" s="40"/>
      <c r="O1424" s="27"/>
      <c r="P1424" s="27"/>
      <c r="Q1424" s="41"/>
      <c r="R1424" s="40"/>
    </row>
    <row r="1425" spans="1:18" ht="30" customHeight="1" x14ac:dyDescent="0.3">
      <c r="A1425" s="26" t="str">
        <f t="shared" ref="A1425:A1488" si="44">I1425&amp;H1425</f>
        <v/>
      </c>
      <c r="B1425" s="26">
        <f>COUNTIFS($A$4:A1425,A1425)</f>
        <v>262</v>
      </c>
      <c r="C1425" s="26" t="str">
        <f t="shared" ref="C1425:C1488" si="45">A1425&amp;B1425</f>
        <v>262</v>
      </c>
      <c r="E1425" s="26"/>
      <c r="F1425" s="26"/>
      <c r="H1425" s="27"/>
      <c r="I1425" s="27"/>
      <c r="J1425" s="27"/>
      <c r="K1425" s="27"/>
      <c r="L1425" s="27"/>
      <c r="M1425" s="27"/>
      <c r="N1425" s="40"/>
      <c r="O1425" s="27"/>
      <c r="P1425" s="27"/>
      <c r="Q1425" s="41"/>
      <c r="R1425" s="40"/>
    </row>
    <row r="1426" spans="1:18" ht="30" customHeight="1" x14ac:dyDescent="0.3">
      <c r="A1426" s="26" t="str">
        <f t="shared" si="44"/>
        <v/>
      </c>
      <c r="B1426" s="26">
        <f>COUNTIFS($A$4:A1426,A1426)</f>
        <v>263</v>
      </c>
      <c r="C1426" s="26" t="str">
        <f t="shared" si="45"/>
        <v>263</v>
      </c>
      <c r="E1426" s="26"/>
      <c r="F1426" s="26"/>
      <c r="H1426" s="27"/>
      <c r="I1426" s="27"/>
      <c r="J1426" s="27"/>
      <c r="K1426" s="27"/>
      <c r="L1426" s="27"/>
      <c r="M1426" s="27"/>
      <c r="N1426" s="40"/>
      <c r="O1426" s="27"/>
      <c r="P1426" s="27"/>
      <c r="Q1426" s="41"/>
      <c r="R1426" s="40"/>
    </row>
    <row r="1427" spans="1:18" ht="30" customHeight="1" x14ac:dyDescent="0.3">
      <c r="A1427" s="26" t="str">
        <f t="shared" si="44"/>
        <v/>
      </c>
      <c r="B1427" s="26">
        <f>COUNTIFS($A$4:A1427,A1427)</f>
        <v>264</v>
      </c>
      <c r="C1427" s="26" t="str">
        <f t="shared" si="45"/>
        <v>264</v>
      </c>
      <c r="E1427" s="26"/>
      <c r="F1427" s="26"/>
      <c r="H1427" s="27"/>
      <c r="I1427" s="27"/>
      <c r="J1427" s="27"/>
      <c r="K1427" s="27"/>
      <c r="L1427" s="27"/>
      <c r="M1427" s="27"/>
      <c r="N1427" s="40"/>
      <c r="O1427" s="27"/>
      <c r="P1427" s="27"/>
      <c r="Q1427" s="41"/>
      <c r="R1427" s="40"/>
    </row>
    <row r="1428" spans="1:18" ht="30" customHeight="1" x14ac:dyDescent="0.3">
      <c r="A1428" s="26" t="str">
        <f t="shared" si="44"/>
        <v/>
      </c>
      <c r="B1428" s="26">
        <f>COUNTIFS($A$4:A1428,A1428)</f>
        <v>265</v>
      </c>
      <c r="C1428" s="26" t="str">
        <f t="shared" si="45"/>
        <v>265</v>
      </c>
      <c r="E1428" s="26"/>
      <c r="F1428" s="26"/>
      <c r="H1428" s="27"/>
      <c r="I1428" s="27"/>
      <c r="J1428" s="27"/>
      <c r="K1428" s="27"/>
      <c r="L1428" s="27"/>
      <c r="M1428" s="27"/>
      <c r="N1428" s="40"/>
      <c r="O1428" s="27"/>
      <c r="P1428" s="27"/>
      <c r="Q1428" s="41"/>
      <c r="R1428" s="40"/>
    </row>
    <row r="1429" spans="1:18" ht="30" customHeight="1" x14ac:dyDescent="0.3">
      <c r="A1429" s="26" t="str">
        <f t="shared" si="44"/>
        <v/>
      </c>
      <c r="B1429" s="26">
        <f>COUNTIFS($A$4:A1429,A1429)</f>
        <v>266</v>
      </c>
      <c r="C1429" s="26" t="str">
        <f t="shared" si="45"/>
        <v>266</v>
      </c>
      <c r="E1429" s="26"/>
      <c r="F1429" s="26"/>
      <c r="H1429" s="27"/>
      <c r="I1429" s="27"/>
      <c r="J1429" s="27"/>
      <c r="K1429" s="27"/>
      <c r="L1429" s="27"/>
      <c r="M1429" s="27"/>
      <c r="N1429" s="40"/>
      <c r="O1429" s="27"/>
      <c r="P1429" s="27"/>
      <c r="Q1429" s="41"/>
      <c r="R1429" s="40"/>
    </row>
    <row r="1430" spans="1:18" ht="30" customHeight="1" x14ac:dyDescent="0.3">
      <c r="A1430" s="26" t="str">
        <f t="shared" si="44"/>
        <v/>
      </c>
      <c r="B1430" s="26">
        <f>COUNTIFS($A$4:A1430,A1430)</f>
        <v>267</v>
      </c>
      <c r="C1430" s="26" t="str">
        <f t="shared" si="45"/>
        <v>267</v>
      </c>
      <c r="E1430" s="26"/>
      <c r="F1430" s="26"/>
      <c r="H1430" s="27"/>
      <c r="I1430" s="27"/>
      <c r="J1430" s="27"/>
      <c r="K1430" s="27"/>
      <c r="L1430" s="27"/>
      <c r="M1430" s="27"/>
      <c r="N1430" s="40"/>
      <c r="O1430" s="27"/>
      <c r="P1430" s="27"/>
      <c r="Q1430" s="41"/>
      <c r="R1430" s="40"/>
    </row>
    <row r="1431" spans="1:18" ht="30" customHeight="1" x14ac:dyDescent="0.3">
      <c r="A1431" s="26" t="str">
        <f t="shared" si="44"/>
        <v/>
      </c>
      <c r="B1431" s="26">
        <f>COUNTIFS($A$4:A1431,A1431)</f>
        <v>268</v>
      </c>
      <c r="C1431" s="26" t="str">
        <f t="shared" si="45"/>
        <v>268</v>
      </c>
      <c r="E1431" s="26"/>
      <c r="F1431" s="26"/>
      <c r="H1431" s="27"/>
      <c r="I1431" s="27"/>
      <c r="J1431" s="27"/>
      <c r="K1431" s="27"/>
      <c r="L1431" s="27"/>
      <c r="M1431" s="27"/>
      <c r="N1431" s="40"/>
      <c r="O1431" s="27"/>
      <c r="P1431" s="27"/>
      <c r="Q1431" s="41"/>
      <c r="R1431" s="40"/>
    </row>
    <row r="1432" spans="1:18" ht="30" customHeight="1" x14ac:dyDescent="0.3">
      <c r="A1432" s="26" t="str">
        <f t="shared" si="44"/>
        <v/>
      </c>
      <c r="B1432" s="26">
        <f>COUNTIFS($A$4:A1432,A1432)</f>
        <v>269</v>
      </c>
      <c r="C1432" s="26" t="str">
        <f t="shared" si="45"/>
        <v>269</v>
      </c>
      <c r="E1432" s="26"/>
      <c r="F1432" s="26"/>
      <c r="H1432" s="27"/>
      <c r="I1432" s="27"/>
      <c r="J1432" s="27"/>
      <c r="K1432" s="27"/>
      <c r="L1432" s="27"/>
      <c r="M1432" s="27"/>
      <c r="N1432" s="40"/>
      <c r="O1432" s="27"/>
      <c r="P1432" s="27"/>
      <c r="Q1432" s="41"/>
      <c r="R1432" s="40"/>
    </row>
    <row r="1433" spans="1:18" ht="30" customHeight="1" x14ac:dyDescent="0.3">
      <c r="A1433" s="26" t="str">
        <f t="shared" si="44"/>
        <v/>
      </c>
      <c r="B1433" s="26">
        <f>COUNTIFS($A$4:A1433,A1433)</f>
        <v>270</v>
      </c>
      <c r="C1433" s="26" t="str">
        <f t="shared" si="45"/>
        <v>270</v>
      </c>
      <c r="E1433" s="26"/>
      <c r="F1433" s="26"/>
      <c r="H1433" s="27"/>
      <c r="I1433" s="27"/>
      <c r="J1433" s="27"/>
      <c r="K1433" s="27"/>
      <c r="L1433" s="27"/>
      <c r="M1433" s="27"/>
      <c r="N1433" s="40"/>
      <c r="O1433" s="27"/>
      <c r="P1433" s="27"/>
      <c r="Q1433" s="41"/>
      <c r="R1433" s="40"/>
    </row>
    <row r="1434" spans="1:18" ht="30" customHeight="1" x14ac:dyDescent="0.3">
      <c r="A1434" s="26" t="str">
        <f t="shared" si="44"/>
        <v/>
      </c>
      <c r="B1434" s="26">
        <f>COUNTIFS($A$4:A1434,A1434)</f>
        <v>271</v>
      </c>
      <c r="C1434" s="26" t="str">
        <f t="shared" si="45"/>
        <v>271</v>
      </c>
      <c r="E1434" s="26"/>
      <c r="F1434" s="26"/>
      <c r="H1434" s="27"/>
      <c r="I1434" s="27"/>
      <c r="J1434" s="27"/>
      <c r="K1434" s="27"/>
      <c r="L1434" s="27"/>
      <c r="M1434" s="27"/>
      <c r="N1434" s="40"/>
      <c r="O1434" s="27"/>
      <c r="P1434" s="27"/>
      <c r="Q1434" s="41"/>
      <c r="R1434" s="40"/>
    </row>
    <row r="1435" spans="1:18" ht="30" customHeight="1" x14ac:dyDescent="0.3">
      <c r="A1435" s="26" t="str">
        <f t="shared" si="44"/>
        <v/>
      </c>
      <c r="B1435" s="26">
        <f>COUNTIFS($A$4:A1435,A1435)</f>
        <v>272</v>
      </c>
      <c r="C1435" s="26" t="str">
        <f t="shared" si="45"/>
        <v>272</v>
      </c>
      <c r="E1435" s="26"/>
      <c r="F1435" s="26"/>
      <c r="H1435" s="27"/>
      <c r="I1435" s="27"/>
      <c r="J1435" s="27"/>
      <c r="K1435" s="27"/>
      <c r="L1435" s="27"/>
      <c r="M1435" s="27"/>
      <c r="N1435" s="40"/>
      <c r="O1435" s="27"/>
      <c r="P1435" s="27"/>
      <c r="Q1435" s="41"/>
      <c r="R1435" s="40"/>
    </row>
    <row r="1436" spans="1:18" ht="30" customHeight="1" x14ac:dyDescent="0.3">
      <c r="A1436" s="26" t="str">
        <f t="shared" si="44"/>
        <v/>
      </c>
      <c r="B1436" s="26">
        <f>COUNTIFS($A$4:A1436,A1436)</f>
        <v>273</v>
      </c>
      <c r="C1436" s="26" t="str">
        <f t="shared" si="45"/>
        <v>273</v>
      </c>
      <c r="E1436" s="26"/>
      <c r="F1436" s="26"/>
      <c r="H1436" s="27"/>
      <c r="I1436" s="27"/>
      <c r="J1436" s="27"/>
      <c r="K1436" s="27"/>
      <c r="L1436" s="27"/>
      <c r="M1436" s="27"/>
      <c r="N1436" s="40"/>
      <c r="O1436" s="27"/>
      <c r="P1436" s="27"/>
      <c r="Q1436" s="41"/>
      <c r="R1436" s="40"/>
    </row>
    <row r="1437" spans="1:18" ht="30" customHeight="1" x14ac:dyDescent="0.3">
      <c r="A1437" s="26" t="str">
        <f t="shared" si="44"/>
        <v/>
      </c>
      <c r="B1437" s="26">
        <f>COUNTIFS($A$4:A1437,A1437)</f>
        <v>274</v>
      </c>
      <c r="C1437" s="26" t="str">
        <f t="shared" si="45"/>
        <v>274</v>
      </c>
      <c r="E1437" s="26"/>
      <c r="F1437" s="26"/>
      <c r="H1437" s="27"/>
      <c r="I1437" s="27"/>
      <c r="J1437" s="27"/>
      <c r="K1437" s="27"/>
      <c r="L1437" s="27"/>
      <c r="M1437" s="27"/>
      <c r="N1437" s="40"/>
      <c r="O1437" s="27"/>
      <c r="P1437" s="27"/>
      <c r="Q1437" s="41"/>
      <c r="R1437" s="40"/>
    </row>
    <row r="1438" spans="1:18" ht="30" customHeight="1" x14ac:dyDescent="0.3">
      <c r="A1438" s="26" t="str">
        <f t="shared" si="44"/>
        <v/>
      </c>
      <c r="B1438" s="26">
        <f>COUNTIFS($A$4:A1438,A1438)</f>
        <v>275</v>
      </c>
      <c r="C1438" s="26" t="str">
        <f t="shared" si="45"/>
        <v>275</v>
      </c>
      <c r="E1438" s="26"/>
      <c r="F1438" s="26"/>
      <c r="H1438" s="27"/>
      <c r="I1438" s="27"/>
      <c r="J1438" s="27"/>
      <c r="K1438" s="27"/>
      <c r="L1438" s="27"/>
      <c r="M1438" s="27"/>
      <c r="N1438" s="40"/>
      <c r="O1438" s="27"/>
      <c r="P1438" s="27"/>
      <c r="Q1438" s="41"/>
      <c r="R1438" s="40"/>
    </row>
    <row r="1439" spans="1:18" ht="30" customHeight="1" x14ac:dyDescent="0.3">
      <c r="A1439" s="26" t="str">
        <f t="shared" si="44"/>
        <v/>
      </c>
      <c r="B1439" s="26">
        <f>COUNTIFS($A$4:A1439,A1439)</f>
        <v>276</v>
      </c>
      <c r="C1439" s="26" t="str">
        <f t="shared" si="45"/>
        <v>276</v>
      </c>
      <c r="E1439" s="26"/>
      <c r="F1439" s="26"/>
      <c r="H1439" s="27"/>
      <c r="I1439" s="27"/>
      <c r="J1439" s="27"/>
      <c r="K1439" s="27"/>
      <c r="L1439" s="27"/>
      <c r="M1439" s="27"/>
      <c r="N1439" s="40"/>
      <c r="O1439" s="27"/>
      <c r="P1439" s="27"/>
      <c r="Q1439" s="41"/>
      <c r="R1439" s="40"/>
    </row>
    <row r="1440" spans="1:18" ht="30" customHeight="1" x14ac:dyDescent="0.3">
      <c r="A1440" s="26" t="str">
        <f t="shared" si="44"/>
        <v/>
      </c>
      <c r="B1440" s="26">
        <f>COUNTIFS($A$4:A1440,A1440)</f>
        <v>277</v>
      </c>
      <c r="C1440" s="26" t="str">
        <f t="shared" si="45"/>
        <v>277</v>
      </c>
      <c r="E1440" s="26"/>
      <c r="F1440" s="26"/>
      <c r="H1440" s="27"/>
      <c r="I1440" s="27"/>
      <c r="J1440" s="27"/>
      <c r="K1440" s="27"/>
      <c r="L1440" s="27"/>
      <c r="M1440" s="27"/>
      <c r="N1440" s="40"/>
      <c r="O1440" s="27"/>
      <c r="P1440" s="27"/>
      <c r="Q1440" s="41"/>
      <c r="R1440" s="40"/>
    </row>
    <row r="1441" spans="1:18" ht="30" customHeight="1" x14ac:dyDescent="0.3">
      <c r="A1441" s="26" t="str">
        <f t="shared" si="44"/>
        <v/>
      </c>
      <c r="B1441" s="26">
        <f>COUNTIFS($A$4:A1441,A1441)</f>
        <v>278</v>
      </c>
      <c r="C1441" s="26" t="str">
        <f t="shared" si="45"/>
        <v>278</v>
      </c>
      <c r="E1441" s="26"/>
      <c r="F1441" s="26"/>
      <c r="H1441" s="27"/>
      <c r="I1441" s="27"/>
      <c r="J1441" s="27"/>
      <c r="K1441" s="27"/>
      <c r="L1441" s="27"/>
      <c r="M1441" s="27"/>
      <c r="N1441" s="40"/>
      <c r="O1441" s="27"/>
      <c r="P1441" s="27"/>
      <c r="Q1441" s="41"/>
      <c r="R1441" s="40"/>
    </row>
    <row r="1442" spans="1:18" ht="30" customHeight="1" x14ac:dyDescent="0.3">
      <c r="A1442" s="26" t="str">
        <f t="shared" si="44"/>
        <v/>
      </c>
      <c r="B1442" s="26">
        <f>COUNTIFS($A$4:A1442,A1442)</f>
        <v>279</v>
      </c>
      <c r="C1442" s="26" t="str">
        <f t="shared" si="45"/>
        <v>279</v>
      </c>
      <c r="E1442" s="26"/>
      <c r="F1442" s="26"/>
      <c r="H1442" s="27"/>
      <c r="I1442" s="27"/>
      <c r="J1442" s="27"/>
      <c r="K1442" s="27"/>
      <c r="L1442" s="27"/>
      <c r="M1442" s="27"/>
      <c r="N1442" s="40"/>
      <c r="O1442" s="27"/>
      <c r="P1442" s="27"/>
      <c r="Q1442" s="41"/>
      <c r="R1442" s="40"/>
    </row>
    <row r="1443" spans="1:18" ht="30" customHeight="1" x14ac:dyDescent="0.3">
      <c r="A1443" s="26" t="str">
        <f t="shared" si="44"/>
        <v/>
      </c>
      <c r="B1443" s="26">
        <f>COUNTIFS($A$4:A1443,A1443)</f>
        <v>280</v>
      </c>
      <c r="C1443" s="26" t="str">
        <f t="shared" si="45"/>
        <v>280</v>
      </c>
      <c r="E1443" s="26"/>
      <c r="F1443" s="26"/>
      <c r="H1443" s="27"/>
      <c r="I1443" s="27"/>
      <c r="J1443" s="27"/>
      <c r="K1443" s="27"/>
      <c r="L1443" s="27"/>
      <c r="M1443" s="27"/>
      <c r="N1443" s="40"/>
      <c r="O1443" s="27"/>
      <c r="P1443" s="27"/>
      <c r="Q1443" s="41"/>
      <c r="R1443" s="40"/>
    </row>
    <row r="1444" spans="1:18" ht="30" customHeight="1" x14ac:dyDescent="0.3">
      <c r="A1444" s="26" t="str">
        <f t="shared" si="44"/>
        <v/>
      </c>
      <c r="B1444" s="26">
        <f>COUNTIFS($A$4:A1444,A1444)</f>
        <v>281</v>
      </c>
      <c r="C1444" s="26" t="str">
        <f t="shared" si="45"/>
        <v>281</v>
      </c>
      <c r="E1444" s="26"/>
      <c r="F1444" s="26"/>
      <c r="H1444" s="27"/>
      <c r="I1444" s="27"/>
      <c r="J1444" s="27"/>
      <c r="K1444" s="27"/>
      <c r="L1444" s="27"/>
      <c r="M1444" s="27"/>
      <c r="N1444" s="40"/>
      <c r="O1444" s="27"/>
      <c r="P1444" s="27"/>
      <c r="Q1444" s="41"/>
      <c r="R1444" s="40"/>
    </row>
    <row r="1445" spans="1:18" ht="30" customHeight="1" x14ac:dyDescent="0.3">
      <c r="A1445" s="26" t="str">
        <f t="shared" si="44"/>
        <v/>
      </c>
      <c r="B1445" s="26">
        <f>COUNTIFS($A$4:A1445,A1445)</f>
        <v>282</v>
      </c>
      <c r="C1445" s="26" t="str">
        <f t="shared" si="45"/>
        <v>282</v>
      </c>
      <c r="E1445" s="26"/>
      <c r="F1445" s="26"/>
      <c r="H1445" s="27"/>
      <c r="I1445" s="27"/>
      <c r="J1445" s="27"/>
      <c r="K1445" s="27"/>
      <c r="L1445" s="27"/>
      <c r="M1445" s="27"/>
      <c r="N1445" s="40"/>
      <c r="O1445" s="27"/>
      <c r="P1445" s="27"/>
      <c r="Q1445" s="41"/>
      <c r="R1445" s="40"/>
    </row>
    <row r="1446" spans="1:18" ht="30" customHeight="1" x14ac:dyDescent="0.3">
      <c r="A1446" s="26" t="str">
        <f t="shared" si="44"/>
        <v/>
      </c>
      <c r="B1446" s="26">
        <f>COUNTIFS($A$4:A1446,A1446)</f>
        <v>283</v>
      </c>
      <c r="C1446" s="26" t="str">
        <f t="shared" si="45"/>
        <v>283</v>
      </c>
      <c r="E1446" s="26"/>
      <c r="F1446" s="26"/>
      <c r="H1446" s="27"/>
      <c r="I1446" s="27"/>
      <c r="J1446" s="27"/>
      <c r="K1446" s="27"/>
      <c r="L1446" s="27"/>
      <c r="M1446" s="27"/>
      <c r="N1446" s="40"/>
      <c r="O1446" s="27"/>
      <c r="P1446" s="27"/>
      <c r="Q1446" s="41"/>
      <c r="R1446" s="40"/>
    </row>
    <row r="1447" spans="1:18" ht="30" customHeight="1" x14ac:dyDescent="0.3">
      <c r="A1447" s="26" t="str">
        <f t="shared" si="44"/>
        <v/>
      </c>
      <c r="B1447" s="26">
        <f>COUNTIFS($A$4:A1447,A1447)</f>
        <v>284</v>
      </c>
      <c r="C1447" s="26" t="str">
        <f t="shared" si="45"/>
        <v>284</v>
      </c>
      <c r="E1447" s="26"/>
      <c r="F1447" s="26"/>
      <c r="H1447" s="27"/>
      <c r="I1447" s="27"/>
      <c r="J1447" s="27"/>
      <c r="K1447" s="27"/>
      <c r="L1447" s="27"/>
      <c r="M1447" s="27"/>
      <c r="N1447" s="40"/>
      <c r="O1447" s="27"/>
      <c r="P1447" s="27"/>
      <c r="Q1447" s="41"/>
      <c r="R1447" s="40"/>
    </row>
    <row r="1448" spans="1:18" ht="30" customHeight="1" x14ac:dyDescent="0.3">
      <c r="A1448" s="26" t="str">
        <f t="shared" si="44"/>
        <v/>
      </c>
      <c r="B1448" s="26">
        <f>COUNTIFS($A$4:A1448,A1448)</f>
        <v>285</v>
      </c>
      <c r="C1448" s="26" t="str">
        <f t="shared" si="45"/>
        <v>285</v>
      </c>
      <c r="E1448" s="26"/>
      <c r="F1448" s="26"/>
      <c r="H1448" s="27"/>
      <c r="I1448" s="27"/>
      <c r="J1448" s="27"/>
      <c r="K1448" s="27"/>
      <c r="L1448" s="27"/>
      <c r="M1448" s="27"/>
      <c r="N1448" s="40"/>
      <c r="O1448" s="27"/>
      <c r="P1448" s="27"/>
      <c r="Q1448" s="41"/>
      <c r="R1448" s="40"/>
    </row>
    <row r="1449" spans="1:18" ht="30" customHeight="1" x14ac:dyDescent="0.3">
      <c r="A1449" s="26" t="str">
        <f t="shared" si="44"/>
        <v/>
      </c>
      <c r="B1449" s="26">
        <f>COUNTIFS($A$4:A1449,A1449)</f>
        <v>286</v>
      </c>
      <c r="C1449" s="26" t="str">
        <f t="shared" si="45"/>
        <v>286</v>
      </c>
      <c r="E1449" s="26"/>
      <c r="F1449" s="26"/>
      <c r="H1449" s="27"/>
      <c r="I1449" s="27"/>
      <c r="J1449" s="27"/>
      <c r="K1449" s="27"/>
      <c r="L1449" s="27"/>
      <c r="M1449" s="27"/>
      <c r="N1449" s="40"/>
      <c r="O1449" s="27"/>
      <c r="P1449" s="27"/>
      <c r="Q1449" s="41"/>
      <c r="R1449" s="40"/>
    </row>
    <row r="1450" spans="1:18" ht="30" customHeight="1" x14ac:dyDescent="0.3">
      <c r="A1450" s="26" t="str">
        <f t="shared" si="44"/>
        <v/>
      </c>
      <c r="B1450" s="26">
        <f>COUNTIFS($A$4:A1450,A1450)</f>
        <v>287</v>
      </c>
      <c r="C1450" s="26" t="str">
        <f t="shared" si="45"/>
        <v>287</v>
      </c>
      <c r="E1450" s="26"/>
      <c r="F1450" s="26"/>
      <c r="H1450" s="27"/>
      <c r="I1450" s="27"/>
      <c r="J1450" s="27"/>
      <c r="K1450" s="27"/>
      <c r="L1450" s="27"/>
      <c r="M1450" s="27"/>
      <c r="N1450" s="40"/>
      <c r="O1450" s="27"/>
      <c r="P1450" s="27"/>
      <c r="Q1450" s="41"/>
      <c r="R1450" s="40"/>
    </row>
    <row r="1451" spans="1:18" ht="30" customHeight="1" x14ac:dyDescent="0.3">
      <c r="A1451" s="26" t="str">
        <f t="shared" si="44"/>
        <v/>
      </c>
      <c r="B1451" s="26">
        <f>COUNTIFS($A$4:A1451,A1451)</f>
        <v>288</v>
      </c>
      <c r="C1451" s="26" t="str">
        <f t="shared" si="45"/>
        <v>288</v>
      </c>
      <c r="E1451" s="26"/>
      <c r="F1451" s="26"/>
      <c r="H1451" s="27"/>
      <c r="I1451" s="27"/>
      <c r="J1451" s="27"/>
      <c r="K1451" s="27"/>
      <c r="L1451" s="27"/>
      <c r="M1451" s="27"/>
      <c r="N1451" s="40"/>
      <c r="O1451" s="27"/>
      <c r="P1451" s="27"/>
      <c r="Q1451" s="41"/>
      <c r="R1451" s="40"/>
    </row>
    <row r="1452" spans="1:18" ht="30" customHeight="1" x14ac:dyDescent="0.3">
      <c r="A1452" s="26" t="str">
        <f t="shared" si="44"/>
        <v/>
      </c>
      <c r="B1452" s="26">
        <f>COUNTIFS($A$4:A1452,A1452)</f>
        <v>289</v>
      </c>
      <c r="C1452" s="26" t="str">
        <f t="shared" si="45"/>
        <v>289</v>
      </c>
      <c r="E1452" s="26"/>
      <c r="F1452" s="26"/>
      <c r="H1452" s="27"/>
      <c r="I1452" s="27"/>
      <c r="J1452" s="27"/>
      <c r="K1452" s="27"/>
      <c r="L1452" s="27"/>
      <c r="M1452" s="27"/>
      <c r="N1452" s="40"/>
      <c r="O1452" s="27"/>
      <c r="P1452" s="27"/>
      <c r="Q1452" s="41"/>
      <c r="R1452" s="40"/>
    </row>
    <row r="1453" spans="1:18" ht="30" customHeight="1" x14ac:dyDescent="0.3">
      <c r="A1453" s="26" t="str">
        <f t="shared" si="44"/>
        <v/>
      </c>
      <c r="B1453" s="26">
        <f>COUNTIFS($A$4:A1453,A1453)</f>
        <v>290</v>
      </c>
      <c r="C1453" s="26" t="str">
        <f t="shared" si="45"/>
        <v>290</v>
      </c>
      <c r="E1453" s="26"/>
      <c r="F1453" s="26"/>
      <c r="H1453" s="27"/>
      <c r="I1453" s="27"/>
      <c r="J1453" s="27"/>
      <c r="K1453" s="27"/>
      <c r="L1453" s="27"/>
      <c r="M1453" s="27"/>
      <c r="N1453" s="40"/>
      <c r="O1453" s="27"/>
      <c r="P1453" s="27"/>
      <c r="Q1453" s="41"/>
      <c r="R1453" s="40"/>
    </row>
    <row r="1454" spans="1:18" ht="30" customHeight="1" x14ac:dyDescent="0.3">
      <c r="A1454" s="26" t="str">
        <f t="shared" si="44"/>
        <v/>
      </c>
      <c r="B1454" s="26">
        <f>COUNTIFS($A$4:A1454,A1454)</f>
        <v>291</v>
      </c>
      <c r="C1454" s="26" t="str">
        <f t="shared" si="45"/>
        <v>291</v>
      </c>
      <c r="E1454" s="26"/>
      <c r="F1454" s="26"/>
      <c r="H1454" s="27"/>
      <c r="I1454" s="27"/>
      <c r="J1454" s="27"/>
      <c r="K1454" s="27"/>
      <c r="L1454" s="27"/>
      <c r="M1454" s="27"/>
      <c r="N1454" s="40"/>
      <c r="O1454" s="27"/>
      <c r="P1454" s="27"/>
      <c r="Q1454" s="41"/>
      <c r="R1454" s="40"/>
    </row>
    <row r="1455" spans="1:18" ht="30" customHeight="1" x14ac:dyDescent="0.3">
      <c r="A1455" s="26" t="str">
        <f t="shared" si="44"/>
        <v/>
      </c>
      <c r="B1455" s="26">
        <f>COUNTIFS($A$4:A1455,A1455)</f>
        <v>292</v>
      </c>
      <c r="C1455" s="26" t="str">
        <f t="shared" si="45"/>
        <v>292</v>
      </c>
      <c r="E1455" s="26"/>
      <c r="F1455" s="26"/>
      <c r="H1455" s="27"/>
      <c r="I1455" s="27"/>
      <c r="J1455" s="27"/>
      <c r="K1455" s="27"/>
      <c r="L1455" s="27"/>
      <c r="M1455" s="27"/>
      <c r="N1455" s="40"/>
      <c r="O1455" s="27"/>
      <c r="P1455" s="27"/>
      <c r="Q1455" s="41"/>
      <c r="R1455" s="40"/>
    </row>
    <row r="1456" spans="1:18" ht="30" customHeight="1" x14ac:dyDescent="0.3">
      <c r="A1456" s="26" t="str">
        <f t="shared" si="44"/>
        <v/>
      </c>
      <c r="B1456" s="26">
        <f>COUNTIFS($A$4:A1456,A1456)</f>
        <v>293</v>
      </c>
      <c r="C1456" s="26" t="str">
        <f t="shared" si="45"/>
        <v>293</v>
      </c>
      <c r="E1456" s="26"/>
      <c r="F1456" s="26"/>
      <c r="H1456" s="27"/>
      <c r="I1456" s="27"/>
      <c r="J1456" s="27"/>
      <c r="K1456" s="27"/>
      <c r="L1456" s="27"/>
      <c r="M1456" s="27"/>
      <c r="N1456" s="40"/>
      <c r="O1456" s="27"/>
      <c r="P1456" s="27"/>
      <c r="Q1456" s="41"/>
      <c r="R1456" s="40"/>
    </row>
    <row r="1457" spans="1:18" ht="30" customHeight="1" x14ac:dyDescent="0.3">
      <c r="A1457" s="26" t="str">
        <f t="shared" si="44"/>
        <v/>
      </c>
      <c r="B1457" s="26">
        <f>COUNTIFS($A$4:A1457,A1457)</f>
        <v>294</v>
      </c>
      <c r="C1457" s="26" t="str">
        <f t="shared" si="45"/>
        <v>294</v>
      </c>
      <c r="E1457" s="26"/>
      <c r="F1457" s="26"/>
      <c r="H1457" s="27"/>
      <c r="I1457" s="27"/>
      <c r="J1457" s="27"/>
      <c r="K1457" s="27"/>
      <c r="L1457" s="27"/>
      <c r="M1457" s="27"/>
      <c r="N1457" s="40"/>
      <c r="O1457" s="27"/>
      <c r="P1457" s="27"/>
      <c r="Q1457" s="41"/>
      <c r="R1457" s="40"/>
    </row>
    <row r="1458" spans="1:18" ht="30" customHeight="1" x14ac:dyDescent="0.3">
      <c r="A1458" s="26" t="str">
        <f t="shared" si="44"/>
        <v/>
      </c>
      <c r="B1458" s="26">
        <f>COUNTIFS($A$4:A1458,A1458)</f>
        <v>295</v>
      </c>
      <c r="C1458" s="26" t="str">
        <f t="shared" si="45"/>
        <v>295</v>
      </c>
      <c r="E1458" s="26"/>
      <c r="F1458" s="26"/>
      <c r="H1458" s="27"/>
      <c r="I1458" s="27"/>
      <c r="J1458" s="27"/>
      <c r="K1458" s="27"/>
      <c r="L1458" s="27"/>
      <c r="M1458" s="27"/>
      <c r="N1458" s="40"/>
      <c r="O1458" s="27"/>
      <c r="P1458" s="27"/>
      <c r="Q1458" s="41"/>
      <c r="R1458" s="40"/>
    </row>
    <row r="1459" spans="1:18" ht="30" customHeight="1" x14ac:dyDescent="0.3">
      <c r="A1459" s="26" t="str">
        <f t="shared" si="44"/>
        <v/>
      </c>
      <c r="B1459" s="26">
        <f>COUNTIFS($A$4:A1459,A1459)</f>
        <v>296</v>
      </c>
      <c r="C1459" s="26" t="str">
        <f t="shared" si="45"/>
        <v>296</v>
      </c>
      <c r="E1459" s="26"/>
      <c r="F1459" s="26"/>
      <c r="H1459" s="27"/>
      <c r="I1459" s="27"/>
      <c r="J1459" s="27"/>
      <c r="K1459" s="27"/>
      <c r="L1459" s="27"/>
      <c r="M1459" s="27"/>
      <c r="N1459" s="40"/>
      <c r="O1459" s="27"/>
      <c r="P1459" s="27"/>
      <c r="Q1459" s="41"/>
      <c r="R1459" s="40"/>
    </row>
    <row r="1460" spans="1:18" ht="30" customHeight="1" x14ac:dyDescent="0.3">
      <c r="A1460" s="26" t="str">
        <f t="shared" si="44"/>
        <v/>
      </c>
      <c r="B1460" s="26">
        <f>COUNTIFS($A$4:A1460,A1460)</f>
        <v>297</v>
      </c>
      <c r="C1460" s="26" t="str">
        <f t="shared" si="45"/>
        <v>297</v>
      </c>
      <c r="E1460" s="26"/>
      <c r="F1460" s="26"/>
      <c r="H1460" s="27"/>
      <c r="I1460" s="27"/>
      <c r="J1460" s="27"/>
      <c r="K1460" s="27"/>
      <c r="L1460" s="27"/>
      <c r="M1460" s="27"/>
      <c r="N1460" s="40"/>
      <c r="O1460" s="27"/>
      <c r="P1460" s="27"/>
      <c r="Q1460" s="41"/>
      <c r="R1460" s="40"/>
    </row>
    <row r="1461" spans="1:18" ht="30" customHeight="1" x14ac:dyDescent="0.3">
      <c r="A1461" s="26" t="str">
        <f t="shared" si="44"/>
        <v/>
      </c>
      <c r="B1461" s="26">
        <f>COUNTIFS($A$4:A1461,A1461)</f>
        <v>298</v>
      </c>
      <c r="C1461" s="26" t="str">
        <f t="shared" si="45"/>
        <v>298</v>
      </c>
      <c r="E1461" s="26"/>
      <c r="F1461" s="26"/>
      <c r="H1461" s="27"/>
      <c r="I1461" s="27"/>
      <c r="J1461" s="27"/>
      <c r="K1461" s="27"/>
      <c r="L1461" s="27"/>
      <c r="M1461" s="27"/>
      <c r="N1461" s="40"/>
      <c r="O1461" s="27"/>
      <c r="P1461" s="27"/>
      <c r="Q1461" s="41"/>
      <c r="R1461" s="40"/>
    </row>
    <row r="1462" spans="1:18" ht="30" customHeight="1" x14ac:dyDescent="0.3">
      <c r="A1462" s="26" t="str">
        <f t="shared" si="44"/>
        <v/>
      </c>
      <c r="B1462" s="26">
        <f>COUNTIFS($A$4:A1462,A1462)</f>
        <v>299</v>
      </c>
      <c r="C1462" s="26" t="str">
        <f t="shared" si="45"/>
        <v>299</v>
      </c>
      <c r="E1462" s="26"/>
      <c r="F1462" s="26"/>
      <c r="H1462" s="27"/>
      <c r="I1462" s="27"/>
      <c r="J1462" s="27"/>
      <c r="K1462" s="27"/>
      <c r="L1462" s="27"/>
      <c r="M1462" s="27"/>
      <c r="N1462" s="40"/>
      <c r="O1462" s="27"/>
      <c r="P1462" s="27"/>
      <c r="Q1462" s="41"/>
      <c r="R1462" s="40"/>
    </row>
    <row r="1463" spans="1:18" ht="30" customHeight="1" x14ac:dyDescent="0.3">
      <c r="A1463" s="26" t="str">
        <f t="shared" si="44"/>
        <v/>
      </c>
      <c r="B1463" s="26">
        <f>COUNTIFS($A$4:A1463,A1463)</f>
        <v>300</v>
      </c>
      <c r="C1463" s="26" t="str">
        <f t="shared" si="45"/>
        <v>300</v>
      </c>
      <c r="E1463" s="26"/>
      <c r="F1463" s="26"/>
      <c r="H1463" s="27"/>
      <c r="I1463" s="27"/>
      <c r="J1463" s="27"/>
      <c r="K1463" s="27"/>
      <c r="L1463" s="27"/>
      <c r="M1463" s="27"/>
      <c r="N1463" s="40"/>
      <c r="O1463" s="27"/>
      <c r="P1463" s="27"/>
      <c r="Q1463" s="41"/>
      <c r="R1463" s="40"/>
    </row>
    <row r="1464" spans="1:18" ht="30" customHeight="1" x14ac:dyDescent="0.3">
      <c r="A1464" s="26" t="str">
        <f t="shared" si="44"/>
        <v/>
      </c>
      <c r="B1464" s="26">
        <f>COUNTIFS($A$4:A1464,A1464)</f>
        <v>301</v>
      </c>
      <c r="C1464" s="26" t="str">
        <f t="shared" si="45"/>
        <v>301</v>
      </c>
      <c r="E1464" s="26"/>
      <c r="F1464" s="26"/>
      <c r="H1464" s="27"/>
      <c r="I1464" s="27"/>
      <c r="J1464" s="27"/>
      <c r="K1464" s="27"/>
      <c r="L1464" s="27"/>
      <c r="M1464" s="27"/>
      <c r="N1464" s="40"/>
      <c r="O1464" s="27"/>
      <c r="P1464" s="27"/>
      <c r="Q1464" s="41"/>
      <c r="R1464" s="40"/>
    </row>
    <row r="1465" spans="1:18" ht="30" customHeight="1" x14ac:dyDescent="0.3">
      <c r="A1465" s="26" t="str">
        <f t="shared" si="44"/>
        <v/>
      </c>
      <c r="B1465" s="26">
        <f>COUNTIFS($A$4:A1465,A1465)</f>
        <v>302</v>
      </c>
      <c r="C1465" s="26" t="str">
        <f t="shared" si="45"/>
        <v>302</v>
      </c>
      <c r="E1465" s="26"/>
      <c r="F1465" s="26"/>
      <c r="H1465" s="27"/>
      <c r="I1465" s="27"/>
      <c r="J1465" s="27"/>
      <c r="K1465" s="27"/>
      <c r="L1465" s="27"/>
      <c r="M1465" s="27"/>
      <c r="N1465" s="40"/>
      <c r="O1465" s="27"/>
      <c r="P1465" s="27"/>
      <c r="Q1465" s="41"/>
      <c r="R1465" s="40"/>
    </row>
    <row r="1466" spans="1:18" ht="30" customHeight="1" x14ac:dyDescent="0.3">
      <c r="A1466" s="26" t="str">
        <f t="shared" si="44"/>
        <v/>
      </c>
      <c r="B1466" s="26">
        <f>COUNTIFS($A$4:A1466,A1466)</f>
        <v>303</v>
      </c>
      <c r="C1466" s="26" t="str">
        <f t="shared" si="45"/>
        <v>303</v>
      </c>
      <c r="E1466" s="26"/>
      <c r="F1466" s="26"/>
      <c r="H1466" s="27"/>
      <c r="I1466" s="27"/>
      <c r="J1466" s="27"/>
      <c r="K1466" s="27"/>
      <c r="L1466" s="27"/>
      <c r="M1466" s="27"/>
      <c r="N1466" s="40"/>
      <c r="O1466" s="27"/>
      <c r="P1466" s="27"/>
      <c r="Q1466" s="41"/>
      <c r="R1466" s="40"/>
    </row>
    <row r="1467" spans="1:18" ht="30" customHeight="1" x14ac:dyDescent="0.3">
      <c r="A1467" s="26" t="str">
        <f t="shared" si="44"/>
        <v/>
      </c>
      <c r="B1467" s="26">
        <f>COUNTIFS($A$4:A1467,A1467)</f>
        <v>304</v>
      </c>
      <c r="C1467" s="26" t="str">
        <f t="shared" si="45"/>
        <v>304</v>
      </c>
      <c r="E1467" s="26"/>
      <c r="F1467" s="26"/>
      <c r="H1467" s="27"/>
      <c r="I1467" s="27"/>
      <c r="J1467" s="27"/>
      <c r="K1467" s="27"/>
      <c r="L1467" s="27"/>
      <c r="M1467" s="27"/>
      <c r="N1467" s="40"/>
      <c r="O1467" s="27"/>
      <c r="P1467" s="27"/>
      <c r="Q1467" s="41"/>
      <c r="R1467" s="40"/>
    </row>
    <row r="1468" spans="1:18" ht="30" customHeight="1" x14ac:dyDescent="0.3">
      <c r="A1468" s="26" t="str">
        <f t="shared" si="44"/>
        <v/>
      </c>
      <c r="B1468" s="26">
        <f>COUNTIFS($A$4:A1468,A1468)</f>
        <v>305</v>
      </c>
      <c r="C1468" s="26" t="str">
        <f t="shared" si="45"/>
        <v>305</v>
      </c>
      <c r="E1468" s="26"/>
      <c r="F1468" s="26"/>
      <c r="H1468" s="27"/>
      <c r="I1468" s="27"/>
      <c r="J1468" s="27"/>
      <c r="K1468" s="27"/>
      <c r="L1468" s="27"/>
      <c r="M1468" s="27"/>
      <c r="N1468" s="40"/>
      <c r="O1468" s="27"/>
      <c r="P1468" s="27"/>
      <c r="Q1468" s="41"/>
      <c r="R1468" s="40"/>
    </row>
    <row r="1469" spans="1:18" ht="30" customHeight="1" x14ac:dyDescent="0.3">
      <c r="A1469" s="26" t="str">
        <f t="shared" si="44"/>
        <v/>
      </c>
      <c r="B1469" s="26">
        <f>COUNTIFS($A$4:A1469,A1469)</f>
        <v>306</v>
      </c>
      <c r="C1469" s="26" t="str">
        <f t="shared" si="45"/>
        <v>306</v>
      </c>
      <c r="E1469" s="26"/>
      <c r="F1469" s="26"/>
      <c r="H1469" s="27"/>
      <c r="I1469" s="27"/>
      <c r="J1469" s="27"/>
      <c r="K1469" s="27"/>
      <c r="L1469" s="27"/>
      <c r="M1469" s="27"/>
      <c r="N1469" s="40"/>
      <c r="O1469" s="27"/>
      <c r="P1469" s="27"/>
      <c r="Q1469" s="41"/>
      <c r="R1469" s="40"/>
    </row>
    <row r="1470" spans="1:18" ht="30" customHeight="1" x14ac:dyDescent="0.3">
      <c r="A1470" s="26" t="str">
        <f t="shared" si="44"/>
        <v/>
      </c>
      <c r="B1470" s="26">
        <f>COUNTIFS($A$4:A1470,A1470)</f>
        <v>307</v>
      </c>
      <c r="C1470" s="26" t="str">
        <f t="shared" si="45"/>
        <v>307</v>
      </c>
      <c r="E1470" s="26"/>
      <c r="F1470" s="26"/>
      <c r="H1470" s="27"/>
      <c r="I1470" s="27"/>
      <c r="J1470" s="27"/>
      <c r="K1470" s="27"/>
      <c r="L1470" s="27"/>
      <c r="M1470" s="27"/>
      <c r="N1470" s="40"/>
      <c r="O1470" s="27"/>
      <c r="P1470" s="27"/>
      <c r="Q1470" s="41"/>
      <c r="R1470" s="40"/>
    </row>
    <row r="1471" spans="1:18" ht="30" customHeight="1" x14ac:dyDescent="0.3">
      <c r="A1471" s="26" t="str">
        <f t="shared" si="44"/>
        <v/>
      </c>
      <c r="B1471" s="26">
        <f>COUNTIFS($A$4:A1471,A1471)</f>
        <v>308</v>
      </c>
      <c r="C1471" s="26" t="str">
        <f t="shared" si="45"/>
        <v>308</v>
      </c>
      <c r="E1471" s="26"/>
      <c r="F1471" s="26"/>
      <c r="H1471" s="27"/>
      <c r="I1471" s="27"/>
      <c r="J1471" s="27"/>
      <c r="K1471" s="27"/>
      <c r="L1471" s="27"/>
      <c r="M1471" s="27"/>
      <c r="N1471" s="40"/>
      <c r="O1471" s="27"/>
      <c r="P1471" s="27"/>
      <c r="Q1471" s="41"/>
      <c r="R1471" s="40"/>
    </row>
    <row r="1472" spans="1:18" ht="30" customHeight="1" x14ac:dyDescent="0.3">
      <c r="A1472" s="26" t="str">
        <f t="shared" si="44"/>
        <v/>
      </c>
      <c r="B1472" s="26">
        <f>COUNTIFS($A$4:A1472,A1472)</f>
        <v>309</v>
      </c>
      <c r="C1472" s="26" t="str">
        <f t="shared" si="45"/>
        <v>309</v>
      </c>
      <c r="E1472" s="26"/>
      <c r="F1472" s="26"/>
      <c r="H1472" s="27"/>
      <c r="I1472" s="27"/>
      <c r="J1472" s="27"/>
      <c r="K1472" s="27"/>
      <c r="L1472" s="27"/>
      <c r="M1472" s="27"/>
      <c r="N1472" s="40"/>
      <c r="O1472" s="27"/>
      <c r="P1472" s="27"/>
      <c r="Q1472" s="41"/>
      <c r="R1472" s="40"/>
    </row>
    <row r="1473" spans="1:18" ht="30" customHeight="1" x14ac:dyDescent="0.3">
      <c r="A1473" s="26" t="str">
        <f t="shared" si="44"/>
        <v/>
      </c>
      <c r="B1473" s="26">
        <f>COUNTIFS($A$4:A1473,A1473)</f>
        <v>310</v>
      </c>
      <c r="C1473" s="26" t="str">
        <f t="shared" si="45"/>
        <v>310</v>
      </c>
      <c r="E1473" s="26"/>
      <c r="F1473" s="26"/>
      <c r="H1473" s="27"/>
      <c r="I1473" s="27"/>
      <c r="J1473" s="27"/>
      <c r="K1473" s="27"/>
      <c r="L1473" s="27"/>
      <c r="M1473" s="27"/>
      <c r="N1473" s="40"/>
      <c r="O1473" s="27"/>
      <c r="P1473" s="27"/>
      <c r="Q1473" s="41"/>
      <c r="R1473" s="40"/>
    </row>
    <row r="1474" spans="1:18" ht="30" customHeight="1" x14ac:dyDescent="0.3">
      <c r="A1474" s="26" t="str">
        <f t="shared" si="44"/>
        <v/>
      </c>
      <c r="B1474" s="26">
        <f>COUNTIFS($A$4:A1474,A1474)</f>
        <v>311</v>
      </c>
      <c r="C1474" s="26" t="str">
        <f t="shared" si="45"/>
        <v>311</v>
      </c>
      <c r="E1474" s="26"/>
      <c r="F1474" s="26"/>
      <c r="H1474" s="27"/>
      <c r="I1474" s="27"/>
      <c r="J1474" s="27"/>
      <c r="K1474" s="27"/>
      <c r="L1474" s="27"/>
      <c r="M1474" s="27"/>
      <c r="N1474" s="40"/>
      <c r="O1474" s="27"/>
      <c r="P1474" s="27"/>
      <c r="Q1474" s="41"/>
      <c r="R1474" s="40"/>
    </row>
    <row r="1475" spans="1:18" ht="30" customHeight="1" x14ac:dyDescent="0.3">
      <c r="A1475" s="26" t="str">
        <f t="shared" si="44"/>
        <v/>
      </c>
      <c r="B1475" s="26">
        <f>COUNTIFS($A$4:A1475,A1475)</f>
        <v>312</v>
      </c>
      <c r="C1475" s="26" t="str">
        <f t="shared" si="45"/>
        <v>312</v>
      </c>
      <c r="E1475" s="26"/>
      <c r="F1475" s="26"/>
      <c r="H1475" s="27"/>
      <c r="I1475" s="27"/>
      <c r="J1475" s="27"/>
      <c r="K1475" s="27"/>
      <c r="L1475" s="27"/>
      <c r="M1475" s="27"/>
      <c r="N1475" s="40"/>
      <c r="O1475" s="27"/>
      <c r="P1475" s="27"/>
      <c r="Q1475" s="41"/>
      <c r="R1475" s="40"/>
    </row>
    <row r="1476" spans="1:18" ht="30" customHeight="1" x14ac:dyDescent="0.3">
      <c r="A1476" s="26" t="str">
        <f t="shared" si="44"/>
        <v/>
      </c>
      <c r="B1476" s="26">
        <f>COUNTIFS($A$4:A1476,A1476)</f>
        <v>313</v>
      </c>
      <c r="C1476" s="26" t="str">
        <f t="shared" si="45"/>
        <v>313</v>
      </c>
      <c r="E1476" s="26"/>
      <c r="F1476" s="26"/>
      <c r="H1476" s="27"/>
      <c r="I1476" s="27"/>
      <c r="J1476" s="27"/>
      <c r="K1476" s="27"/>
      <c r="L1476" s="27"/>
      <c r="M1476" s="27"/>
      <c r="N1476" s="40"/>
      <c r="O1476" s="27"/>
      <c r="P1476" s="27"/>
      <c r="Q1476" s="41"/>
      <c r="R1476" s="40"/>
    </row>
    <row r="1477" spans="1:18" ht="30" customHeight="1" x14ac:dyDescent="0.3">
      <c r="A1477" s="26" t="str">
        <f t="shared" si="44"/>
        <v/>
      </c>
      <c r="B1477" s="26">
        <f>COUNTIFS($A$4:A1477,A1477)</f>
        <v>314</v>
      </c>
      <c r="C1477" s="26" t="str">
        <f t="shared" si="45"/>
        <v>314</v>
      </c>
      <c r="E1477" s="26"/>
      <c r="F1477" s="26"/>
      <c r="H1477" s="27"/>
      <c r="I1477" s="27"/>
      <c r="J1477" s="27"/>
      <c r="K1477" s="27"/>
      <c r="L1477" s="27"/>
      <c r="M1477" s="27"/>
      <c r="N1477" s="40"/>
      <c r="O1477" s="27"/>
      <c r="P1477" s="27"/>
      <c r="Q1477" s="41"/>
      <c r="R1477" s="40"/>
    </row>
    <row r="1478" spans="1:18" ht="30" customHeight="1" x14ac:dyDescent="0.3">
      <c r="A1478" s="26" t="str">
        <f t="shared" si="44"/>
        <v/>
      </c>
      <c r="B1478" s="26">
        <f>COUNTIFS($A$4:A1478,A1478)</f>
        <v>315</v>
      </c>
      <c r="C1478" s="26" t="str">
        <f t="shared" si="45"/>
        <v>315</v>
      </c>
      <c r="E1478" s="26"/>
      <c r="F1478" s="26"/>
      <c r="H1478" s="27"/>
      <c r="I1478" s="27"/>
      <c r="J1478" s="27"/>
      <c r="K1478" s="27"/>
      <c r="L1478" s="27"/>
      <c r="M1478" s="27"/>
      <c r="N1478" s="40"/>
      <c r="O1478" s="27"/>
      <c r="P1478" s="27"/>
      <c r="Q1478" s="41"/>
      <c r="R1478" s="40"/>
    </row>
    <row r="1479" spans="1:18" ht="30" customHeight="1" x14ac:dyDescent="0.3">
      <c r="A1479" s="26" t="str">
        <f t="shared" si="44"/>
        <v/>
      </c>
      <c r="B1479" s="26">
        <f>COUNTIFS($A$4:A1479,A1479)</f>
        <v>316</v>
      </c>
      <c r="C1479" s="26" t="str">
        <f t="shared" si="45"/>
        <v>316</v>
      </c>
      <c r="E1479" s="26"/>
      <c r="F1479" s="26"/>
      <c r="H1479" s="27"/>
      <c r="I1479" s="27"/>
      <c r="J1479" s="27"/>
      <c r="K1479" s="27"/>
      <c r="L1479" s="27"/>
      <c r="M1479" s="27"/>
      <c r="N1479" s="40"/>
      <c r="O1479" s="27"/>
      <c r="P1479" s="27"/>
      <c r="Q1479" s="41"/>
      <c r="R1479" s="40"/>
    </row>
    <row r="1480" spans="1:18" ht="30" customHeight="1" x14ac:dyDescent="0.3">
      <c r="A1480" s="26" t="str">
        <f t="shared" si="44"/>
        <v/>
      </c>
      <c r="B1480" s="26">
        <f>COUNTIFS($A$4:A1480,A1480)</f>
        <v>317</v>
      </c>
      <c r="C1480" s="26" t="str">
        <f t="shared" si="45"/>
        <v>317</v>
      </c>
      <c r="E1480" s="26"/>
      <c r="F1480" s="26"/>
      <c r="H1480" s="27"/>
      <c r="I1480" s="27"/>
      <c r="J1480" s="27"/>
      <c r="K1480" s="27"/>
      <c r="L1480" s="27"/>
      <c r="M1480" s="27"/>
      <c r="N1480" s="40"/>
      <c r="O1480" s="27"/>
      <c r="P1480" s="27"/>
      <c r="Q1480" s="41"/>
      <c r="R1480" s="40"/>
    </row>
    <row r="1481" spans="1:18" ht="30" customHeight="1" x14ac:dyDescent="0.3">
      <c r="A1481" s="26" t="str">
        <f t="shared" si="44"/>
        <v/>
      </c>
      <c r="B1481" s="26">
        <f>COUNTIFS($A$4:A1481,A1481)</f>
        <v>318</v>
      </c>
      <c r="C1481" s="26" t="str">
        <f t="shared" si="45"/>
        <v>318</v>
      </c>
      <c r="E1481" s="26"/>
      <c r="F1481" s="26"/>
      <c r="H1481" s="27"/>
      <c r="I1481" s="27"/>
      <c r="J1481" s="27"/>
      <c r="K1481" s="27"/>
      <c r="L1481" s="27"/>
      <c r="M1481" s="27"/>
      <c r="N1481" s="40"/>
      <c r="O1481" s="27"/>
      <c r="P1481" s="27"/>
      <c r="Q1481" s="41"/>
      <c r="R1481" s="40"/>
    </row>
    <row r="1482" spans="1:18" ht="30" customHeight="1" x14ac:dyDescent="0.3">
      <c r="A1482" s="26" t="str">
        <f t="shared" si="44"/>
        <v/>
      </c>
      <c r="B1482" s="26">
        <f>COUNTIFS($A$4:A1482,A1482)</f>
        <v>319</v>
      </c>
      <c r="C1482" s="26" t="str">
        <f t="shared" si="45"/>
        <v>319</v>
      </c>
      <c r="E1482" s="26"/>
      <c r="F1482" s="26"/>
      <c r="H1482" s="27"/>
      <c r="I1482" s="27"/>
      <c r="J1482" s="27"/>
      <c r="K1482" s="27"/>
      <c r="L1482" s="27"/>
      <c r="M1482" s="27"/>
      <c r="N1482" s="40"/>
      <c r="O1482" s="27"/>
      <c r="P1482" s="27"/>
      <c r="Q1482" s="41"/>
      <c r="R1482" s="40"/>
    </row>
    <row r="1483" spans="1:18" ht="30" customHeight="1" x14ac:dyDescent="0.3">
      <c r="A1483" s="26" t="str">
        <f t="shared" si="44"/>
        <v/>
      </c>
      <c r="B1483" s="26">
        <f>COUNTIFS($A$4:A1483,A1483)</f>
        <v>320</v>
      </c>
      <c r="C1483" s="26" t="str">
        <f t="shared" si="45"/>
        <v>320</v>
      </c>
      <c r="E1483" s="26"/>
      <c r="F1483" s="26"/>
      <c r="H1483" s="27"/>
      <c r="I1483" s="27"/>
      <c r="J1483" s="27"/>
      <c r="K1483" s="27"/>
      <c r="L1483" s="27"/>
      <c r="M1483" s="27"/>
      <c r="N1483" s="40"/>
      <c r="O1483" s="27"/>
      <c r="P1483" s="27"/>
      <c r="Q1483" s="41"/>
      <c r="R1483" s="40"/>
    </row>
    <row r="1484" spans="1:18" ht="30" customHeight="1" x14ac:dyDescent="0.3">
      <c r="A1484" s="26" t="str">
        <f t="shared" si="44"/>
        <v/>
      </c>
      <c r="B1484" s="26">
        <f>COUNTIFS($A$4:A1484,A1484)</f>
        <v>321</v>
      </c>
      <c r="C1484" s="26" t="str">
        <f t="shared" si="45"/>
        <v>321</v>
      </c>
      <c r="E1484" s="26"/>
      <c r="F1484" s="26"/>
      <c r="H1484" s="27"/>
      <c r="I1484" s="27"/>
      <c r="J1484" s="27"/>
      <c r="K1484" s="27"/>
      <c r="L1484" s="27"/>
      <c r="M1484" s="27"/>
      <c r="N1484" s="40"/>
      <c r="O1484" s="27"/>
      <c r="P1484" s="27"/>
      <c r="Q1484" s="41"/>
      <c r="R1484" s="40"/>
    </row>
    <row r="1485" spans="1:18" ht="30" customHeight="1" x14ac:dyDescent="0.3">
      <c r="A1485" s="26" t="str">
        <f t="shared" si="44"/>
        <v/>
      </c>
      <c r="B1485" s="26">
        <f>COUNTIFS($A$4:A1485,A1485)</f>
        <v>322</v>
      </c>
      <c r="C1485" s="26" t="str">
        <f t="shared" si="45"/>
        <v>322</v>
      </c>
      <c r="E1485" s="26"/>
      <c r="F1485" s="26"/>
      <c r="H1485" s="27"/>
      <c r="I1485" s="27"/>
      <c r="J1485" s="27"/>
      <c r="K1485" s="27"/>
      <c r="L1485" s="27"/>
      <c r="M1485" s="27"/>
      <c r="N1485" s="40"/>
      <c r="O1485" s="27"/>
      <c r="P1485" s="27"/>
      <c r="Q1485" s="41"/>
      <c r="R1485" s="40"/>
    </row>
    <row r="1486" spans="1:18" ht="30" customHeight="1" x14ac:dyDescent="0.3">
      <c r="A1486" s="26" t="str">
        <f t="shared" si="44"/>
        <v/>
      </c>
      <c r="B1486" s="26">
        <f>COUNTIFS($A$4:A1486,A1486)</f>
        <v>323</v>
      </c>
      <c r="C1486" s="26" t="str">
        <f t="shared" si="45"/>
        <v>323</v>
      </c>
      <c r="E1486" s="26"/>
      <c r="F1486" s="26"/>
      <c r="H1486" s="27"/>
      <c r="I1486" s="27"/>
      <c r="J1486" s="27"/>
      <c r="K1486" s="27"/>
      <c r="L1486" s="27"/>
      <c r="M1486" s="27"/>
      <c r="N1486" s="40"/>
      <c r="O1486" s="27"/>
      <c r="P1486" s="27"/>
      <c r="Q1486" s="41"/>
      <c r="R1486" s="40"/>
    </row>
    <row r="1487" spans="1:18" ht="30" customHeight="1" x14ac:dyDescent="0.3">
      <c r="A1487" s="26" t="str">
        <f t="shared" si="44"/>
        <v/>
      </c>
      <c r="B1487" s="26">
        <f>COUNTIFS($A$4:A1487,A1487)</f>
        <v>324</v>
      </c>
      <c r="C1487" s="26" t="str">
        <f t="shared" si="45"/>
        <v>324</v>
      </c>
      <c r="E1487" s="26"/>
      <c r="F1487" s="26"/>
      <c r="H1487" s="27"/>
      <c r="I1487" s="27"/>
      <c r="J1487" s="27"/>
      <c r="K1487" s="27"/>
      <c r="L1487" s="27"/>
      <c r="M1487" s="27"/>
      <c r="N1487" s="40"/>
      <c r="O1487" s="27"/>
      <c r="P1487" s="27"/>
      <c r="Q1487" s="41"/>
      <c r="R1487" s="40"/>
    </row>
    <row r="1488" spans="1:18" ht="30" customHeight="1" x14ac:dyDescent="0.3">
      <c r="A1488" s="26" t="str">
        <f t="shared" si="44"/>
        <v/>
      </c>
      <c r="B1488" s="26">
        <f>COUNTIFS($A$4:A1488,A1488)</f>
        <v>325</v>
      </c>
      <c r="C1488" s="26" t="str">
        <f t="shared" si="45"/>
        <v>325</v>
      </c>
      <c r="E1488" s="26"/>
      <c r="F1488" s="26"/>
      <c r="H1488" s="27"/>
      <c r="I1488" s="27"/>
      <c r="J1488" s="27"/>
      <c r="K1488" s="27"/>
      <c r="L1488" s="27"/>
      <c r="M1488" s="27"/>
      <c r="N1488" s="40"/>
      <c r="O1488" s="27"/>
      <c r="P1488" s="27"/>
      <c r="Q1488" s="41"/>
      <c r="R1488" s="40"/>
    </row>
    <row r="1489" spans="1:18" ht="30" customHeight="1" x14ac:dyDescent="0.3">
      <c r="A1489" s="26" t="str">
        <f t="shared" ref="A1489:A1552" si="46">I1489&amp;H1489</f>
        <v/>
      </c>
      <c r="B1489" s="26">
        <f>COUNTIFS($A$4:A1489,A1489)</f>
        <v>326</v>
      </c>
      <c r="C1489" s="26" t="str">
        <f t="shared" ref="C1489:C1552" si="47">A1489&amp;B1489</f>
        <v>326</v>
      </c>
      <c r="E1489" s="26"/>
      <c r="F1489" s="26"/>
      <c r="H1489" s="27"/>
      <c r="I1489" s="27"/>
      <c r="J1489" s="27"/>
      <c r="K1489" s="27"/>
      <c r="L1489" s="27"/>
      <c r="M1489" s="27"/>
      <c r="N1489" s="40"/>
      <c r="O1489" s="27"/>
      <c r="P1489" s="27"/>
      <c r="Q1489" s="41"/>
      <c r="R1489" s="40"/>
    </row>
    <row r="1490" spans="1:18" ht="30" customHeight="1" x14ac:dyDescent="0.3">
      <c r="A1490" s="26" t="str">
        <f t="shared" si="46"/>
        <v/>
      </c>
      <c r="B1490" s="26">
        <f>COUNTIFS($A$4:A1490,A1490)</f>
        <v>327</v>
      </c>
      <c r="C1490" s="26" t="str">
        <f t="shared" si="47"/>
        <v>327</v>
      </c>
      <c r="E1490" s="26"/>
      <c r="F1490" s="26"/>
      <c r="H1490" s="27"/>
      <c r="I1490" s="27"/>
      <c r="J1490" s="27"/>
      <c r="K1490" s="27"/>
      <c r="L1490" s="27"/>
      <c r="M1490" s="27"/>
      <c r="N1490" s="40"/>
      <c r="O1490" s="27"/>
      <c r="P1490" s="27"/>
      <c r="Q1490" s="41"/>
      <c r="R1490" s="40"/>
    </row>
    <row r="1491" spans="1:18" ht="30" customHeight="1" x14ac:dyDescent="0.3">
      <c r="A1491" s="26" t="str">
        <f t="shared" si="46"/>
        <v/>
      </c>
      <c r="B1491" s="26">
        <f>COUNTIFS($A$4:A1491,A1491)</f>
        <v>328</v>
      </c>
      <c r="C1491" s="26" t="str">
        <f t="shared" si="47"/>
        <v>328</v>
      </c>
      <c r="E1491" s="26"/>
      <c r="F1491" s="26"/>
      <c r="H1491" s="27"/>
      <c r="I1491" s="27"/>
      <c r="J1491" s="27"/>
      <c r="K1491" s="27"/>
      <c r="L1491" s="27"/>
      <c r="M1491" s="27"/>
      <c r="N1491" s="40"/>
      <c r="O1491" s="27"/>
      <c r="P1491" s="27"/>
      <c r="Q1491" s="41"/>
      <c r="R1491" s="40"/>
    </row>
    <row r="1492" spans="1:18" ht="30" customHeight="1" x14ac:dyDescent="0.3">
      <c r="A1492" s="26" t="str">
        <f t="shared" si="46"/>
        <v/>
      </c>
      <c r="B1492" s="26">
        <f>COUNTIFS($A$4:A1492,A1492)</f>
        <v>329</v>
      </c>
      <c r="C1492" s="26" t="str">
        <f t="shared" si="47"/>
        <v>329</v>
      </c>
      <c r="E1492" s="26"/>
      <c r="F1492" s="26"/>
      <c r="H1492" s="27"/>
      <c r="I1492" s="27"/>
      <c r="J1492" s="27"/>
      <c r="K1492" s="27"/>
      <c r="L1492" s="27"/>
      <c r="M1492" s="27"/>
      <c r="N1492" s="40"/>
      <c r="O1492" s="27"/>
      <c r="P1492" s="27"/>
      <c r="Q1492" s="41"/>
      <c r="R1492" s="40"/>
    </row>
    <row r="1493" spans="1:18" ht="30" customHeight="1" x14ac:dyDescent="0.3">
      <c r="A1493" s="26" t="str">
        <f t="shared" si="46"/>
        <v/>
      </c>
      <c r="B1493" s="26">
        <f>COUNTIFS($A$4:A1493,A1493)</f>
        <v>330</v>
      </c>
      <c r="C1493" s="26" t="str">
        <f t="shared" si="47"/>
        <v>330</v>
      </c>
      <c r="E1493" s="26"/>
      <c r="F1493" s="26"/>
      <c r="H1493" s="27"/>
      <c r="I1493" s="27"/>
      <c r="J1493" s="27"/>
      <c r="K1493" s="27"/>
      <c r="L1493" s="27"/>
      <c r="M1493" s="27"/>
      <c r="N1493" s="40"/>
      <c r="O1493" s="27"/>
      <c r="P1493" s="27"/>
      <c r="Q1493" s="41"/>
      <c r="R1493" s="40"/>
    </row>
    <row r="1494" spans="1:18" ht="30" customHeight="1" x14ac:dyDescent="0.3">
      <c r="A1494" s="26" t="str">
        <f t="shared" si="46"/>
        <v/>
      </c>
      <c r="B1494" s="26">
        <f>COUNTIFS($A$4:A1494,A1494)</f>
        <v>331</v>
      </c>
      <c r="C1494" s="26" t="str">
        <f t="shared" si="47"/>
        <v>331</v>
      </c>
      <c r="E1494" s="26"/>
      <c r="F1494" s="26"/>
      <c r="H1494" s="27"/>
      <c r="I1494" s="27"/>
      <c r="J1494" s="27"/>
      <c r="K1494" s="27"/>
      <c r="L1494" s="27"/>
      <c r="M1494" s="27"/>
      <c r="N1494" s="40"/>
      <c r="O1494" s="27"/>
      <c r="P1494" s="27"/>
      <c r="Q1494" s="41"/>
      <c r="R1494" s="40"/>
    </row>
    <row r="1495" spans="1:18" ht="30" customHeight="1" x14ac:dyDescent="0.3">
      <c r="A1495" s="26" t="str">
        <f t="shared" si="46"/>
        <v/>
      </c>
      <c r="B1495" s="26">
        <f>COUNTIFS($A$4:A1495,A1495)</f>
        <v>332</v>
      </c>
      <c r="C1495" s="26" t="str">
        <f t="shared" si="47"/>
        <v>332</v>
      </c>
      <c r="E1495" s="26"/>
      <c r="F1495" s="26"/>
      <c r="H1495" s="27"/>
      <c r="I1495" s="27"/>
      <c r="J1495" s="27"/>
      <c r="K1495" s="27"/>
      <c r="L1495" s="27"/>
      <c r="M1495" s="27"/>
      <c r="N1495" s="40"/>
      <c r="O1495" s="27"/>
      <c r="P1495" s="27"/>
      <c r="Q1495" s="41"/>
      <c r="R1495" s="40"/>
    </row>
    <row r="1496" spans="1:18" ht="30" customHeight="1" x14ac:dyDescent="0.3">
      <c r="A1496" s="26" t="str">
        <f t="shared" si="46"/>
        <v/>
      </c>
      <c r="B1496" s="26">
        <f>COUNTIFS($A$4:A1496,A1496)</f>
        <v>333</v>
      </c>
      <c r="C1496" s="26" t="str">
        <f t="shared" si="47"/>
        <v>333</v>
      </c>
      <c r="E1496" s="26"/>
      <c r="F1496" s="26"/>
      <c r="H1496" s="27"/>
      <c r="I1496" s="27"/>
      <c r="J1496" s="27"/>
      <c r="K1496" s="27"/>
      <c r="L1496" s="27"/>
      <c r="M1496" s="27"/>
      <c r="N1496" s="40"/>
      <c r="O1496" s="27"/>
      <c r="P1496" s="27"/>
      <c r="Q1496" s="41"/>
      <c r="R1496" s="40"/>
    </row>
    <row r="1497" spans="1:18" ht="30" customHeight="1" x14ac:dyDescent="0.3">
      <c r="A1497" s="26" t="str">
        <f t="shared" si="46"/>
        <v/>
      </c>
      <c r="B1497" s="26">
        <f>COUNTIFS($A$4:A1497,A1497)</f>
        <v>334</v>
      </c>
      <c r="C1497" s="26" t="str">
        <f t="shared" si="47"/>
        <v>334</v>
      </c>
      <c r="E1497" s="26"/>
      <c r="F1497" s="26"/>
      <c r="H1497" s="27"/>
      <c r="I1497" s="27"/>
      <c r="J1497" s="27"/>
      <c r="K1497" s="27"/>
      <c r="L1497" s="27"/>
      <c r="M1497" s="27"/>
      <c r="N1497" s="40"/>
      <c r="O1497" s="27"/>
      <c r="P1497" s="27"/>
      <c r="Q1497" s="41"/>
      <c r="R1497" s="40"/>
    </row>
    <row r="1498" spans="1:18" ht="30" customHeight="1" x14ac:dyDescent="0.3">
      <c r="A1498" s="26" t="str">
        <f t="shared" si="46"/>
        <v/>
      </c>
      <c r="B1498" s="26">
        <f>COUNTIFS($A$4:A1498,A1498)</f>
        <v>335</v>
      </c>
      <c r="C1498" s="26" t="str">
        <f t="shared" si="47"/>
        <v>335</v>
      </c>
      <c r="E1498" s="26"/>
      <c r="F1498" s="26"/>
      <c r="H1498" s="27"/>
      <c r="I1498" s="27"/>
      <c r="J1498" s="27"/>
      <c r="K1498" s="27"/>
      <c r="L1498" s="27"/>
      <c r="M1498" s="27"/>
      <c r="N1498" s="40"/>
      <c r="O1498" s="27"/>
      <c r="P1498" s="27"/>
      <c r="Q1498" s="41"/>
      <c r="R1498" s="40"/>
    </row>
    <row r="1499" spans="1:18" ht="30" customHeight="1" x14ac:dyDescent="0.3">
      <c r="A1499" s="26" t="str">
        <f t="shared" si="46"/>
        <v/>
      </c>
      <c r="B1499" s="26">
        <f>COUNTIFS($A$4:A1499,A1499)</f>
        <v>336</v>
      </c>
      <c r="C1499" s="26" t="str">
        <f t="shared" si="47"/>
        <v>336</v>
      </c>
      <c r="E1499" s="26"/>
      <c r="F1499" s="26"/>
      <c r="H1499" s="27"/>
      <c r="I1499" s="27"/>
      <c r="J1499" s="27"/>
      <c r="K1499" s="27"/>
      <c r="L1499" s="27"/>
      <c r="M1499" s="27"/>
      <c r="N1499" s="40"/>
      <c r="O1499" s="27"/>
      <c r="P1499" s="27"/>
      <c r="Q1499" s="41"/>
      <c r="R1499" s="40"/>
    </row>
    <row r="1500" spans="1:18" ht="30" customHeight="1" x14ac:dyDescent="0.3">
      <c r="A1500" s="26" t="str">
        <f t="shared" si="46"/>
        <v/>
      </c>
      <c r="B1500" s="26">
        <f>COUNTIFS($A$4:A1500,A1500)</f>
        <v>337</v>
      </c>
      <c r="C1500" s="26" t="str">
        <f t="shared" si="47"/>
        <v>337</v>
      </c>
      <c r="E1500" s="26"/>
      <c r="F1500" s="26"/>
      <c r="H1500" s="27"/>
      <c r="I1500" s="27"/>
      <c r="J1500" s="27"/>
      <c r="K1500" s="27"/>
      <c r="L1500" s="27"/>
      <c r="M1500" s="27"/>
      <c r="N1500" s="40"/>
      <c r="O1500" s="27"/>
      <c r="P1500" s="27"/>
      <c r="Q1500" s="41"/>
      <c r="R1500" s="40"/>
    </row>
    <row r="1501" spans="1:18" ht="30" customHeight="1" x14ac:dyDescent="0.3">
      <c r="A1501" s="26" t="str">
        <f t="shared" si="46"/>
        <v/>
      </c>
      <c r="B1501" s="26">
        <f>COUNTIFS($A$4:A1501,A1501)</f>
        <v>338</v>
      </c>
      <c r="C1501" s="26" t="str">
        <f t="shared" si="47"/>
        <v>338</v>
      </c>
      <c r="E1501" s="26"/>
      <c r="F1501" s="26"/>
      <c r="H1501" s="27"/>
      <c r="I1501" s="27"/>
      <c r="J1501" s="27"/>
      <c r="K1501" s="27"/>
      <c r="L1501" s="27"/>
      <c r="M1501" s="27"/>
      <c r="N1501" s="40"/>
      <c r="O1501" s="27"/>
      <c r="P1501" s="27"/>
      <c r="Q1501" s="41"/>
      <c r="R1501" s="40"/>
    </row>
    <row r="1502" spans="1:18" ht="30" customHeight="1" x14ac:dyDescent="0.3">
      <c r="A1502" s="26" t="str">
        <f t="shared" si="46"/>
        <v/>
      </c>
      <c r="B1502" s="26">
        <f>COUNTIFS($A$4:A1502,A1502)</f>
        <v>339</v>
      </c>
      <c r="C1502" s="26" t="str">
        <f t="shared" si="47"/>
        <v>339</v>
      </c>
      <c r="E1502" s="26"/>
      <c r="F1502" s="26"/>
      <c r="H1502" s="27"/>
      <c r="I1502" s="27"/>
      <c r="J1502" s="27"/>
      <c r="K1502" s="27"/>
      <c r="L1502" s="27"/>
      <c r="M1502" s="27"/>
      <c r="N1502" s="40"/>
      <c r="O1502" s="27"/>
      <c r="P1502" s="27"/>
      <c r="Q1502" s="41"/>
      <c r="R1502" s="40"/>
    </row>
    <row r="1503" spans="1:18" ht="30" customHeight="1" x14ac:dyDescent="0.3">
      <c r="A1503" s="26" t="str">
        <f t="shared" si="46"/>
        <v/>
      </c>
      <c r="B1503" s="26">
        <f>COUNTIFS($A$4:A1503,A1503)</f>
        <v>340</v>
      </c>
      <c r="C1503" s="26" t="str">
        <f t="shared" si="47"/>
        <v>340</v>
      </c>
      <c r="E1503" s="26"/>
      <c r="F1503" s="26"/>
      <c r="H1503" s="27"/>
      <c r="I1503" s="27"/>
      <c r="J1503" s="27"/>
      <c r="K1503" s="27"/>
      <c r="L1503" s="27"/>
      <c r="M1503" s="27"/>
      <c r="N1503" s="40"/>
      <c r="O1503" s="27"/>
      <c r="P1503" s="27"/>
      <c r="Q1503" s="41"/>
      <c r="R1503" s="40"/>
    </row>
    <row r="1504" spans="1:18" ht="30" customHeight="1" x14ac:dyDescent="0.3">
      <c r="A1504" s="26" t="str">
        <f t="shared" si="46"/>
        <v/>
      </c>
      <c r="B1504" s="26">
        <f>COUNTIFS($A$4:A1504,A1504)</f>
        <v>341</v>
      </c>
      <c r="C1504" s="26" t="str">
        <f t="shared" si="47"/>
        <v>341</v>
      </c>
      <c r="E1504" s="26"/>
      <c r="F1504" s="26"/>
      <c r="H1504" s="27"/>
      <c r="I1504" s="27"/>
      <c r="J1504" s="27"/>
      <c r="K1504" s="27"/>
      <c r="L1504" s="27"/>
      <c r="M1504" s="27"/>
      <c r="N1504" s="40"/>
      <c r="O1504" s="27"/>
      <c r="P1504" s="27"/>
      <c r="Q1504" s="41"/>
      <c r="R1504" s="40"/>
    </row>
    <row r="1505" spans="1:18" ht="30" customHeight="1" x14ac:dyDescent="0.3">
      <c r="A1505" s="26" t="str">
        <f t="shared" si="46"/>
        <v/>
      </c>
      <c r="B1505" s="26">
        <f>COUNTIFS($A$4:A1505,A1505)</f>
        <v>342</v>
      </c>
      <c r="C1505" s="26" t="str">
        <f t="shared" si="47"/>
        <v>342</v>
      </c>
      <c r="E1505" s="26"/>
      <c r="F1505" s="26"/>
      <c r="H1505" s="27"/>
      <c r="I1505" s="27"/>
      <c r="J1505" s="27"/>
      <c r="K1505" s="27"/>
      <c r="L1505" s="27"/>
      <c r="M1505" s="27"/>
      <c r="N1505" s="40"/>
      <c r="O1505" s="27"/>
      <c r="P1505" s="27"/>
      <c r="Q1505" s="41"/>
      <c r="R1505" s="40"/>
    </row>
    <row r="1506" spans="1:18" ht="30" customHeight="1" x14ac:dyDescent="0.3">
      <c r="A1506" s="26" t="str">
        <f t="shared" si="46"/>
        <v/>
      </c>
      <c r="B1506" s="26">
        <f>COUNTIFS($A$4:A1506,A1506)</f>
        <v>343</v>
      </c>
      <c r="C1506" s="26" t="str">
        <f t="shared" si="47"/>
        <v>343</v>
      </c>
      <c r="E1506" s="26"/>
      <c r="F1506" s="26"/>
      <c r="H1506" s="27"/>
      <c r="I1506" s="27"/>
      <c r="J1506" s="27"/>
      <c r="K1506" s="27"/>
      <c r="L1506" s="27"/>
      <c r="M1506" s="27"/>
      <c r="N1506" s="40"/>
      <c r="O1506" s="27"/>
      <c r="P1506" s="27"/>
      <c r="Q1506" s="41"/>
      <c r="R1506" s="40"/>
    </row>
    <row r="1507" spans="1:18" ht="30" customHeight="1" x14ac:dyDescent="0.3">
      <c r="A1507" s="26" t="str">
        <f t="shared" si="46"/>
        <v/>
      </c>
      <c r="B1507" s="26">
        <f>COUNTIFS($A$4:A1507,A1507)</f>
        <v>344</v>
      </c>
      <c r="C1507" s="26" t="str">
        <f t="shared" si="47"/>
        <v>344</v>
      </c>
      <c r="E1507" s="26"/>
      <c r="F1507" s="26"/>
      <c r="H1507" s="27"/>
      <c r="I1507" s="27"/>
      <c r="J1507" s="27"/>
      <c r="K1507" s="27"/>
      <c r="L1507" s="27"/>
      <c r="M1507" s="27"/>
      <c r="N1507" s="40"/>
      <c r="O1507" s="27"/>
      <c r="P1507" s="27"/>
      <c r="Q1507" s="41"/>
      <c r="R1507" s="40"/>
    </row>
    <row r="1508" spans="1:18" ht="30" customHeight="1" x14ac:dyDescent="0.3">
      <c r="A1508" s="26" t="str">
        <f t="shared" si="46"/>
        <v/>
      </c>
      <c r="B1508" s="26">
        <f>COUNTIFS($A$4:A1508,A1508)</f>
        <v>345</v>
      </c>
      <c r="C1508" s="26" t="str">
        <f t="shared" si="47"/>
        <v>345</v>
      </c>
      <c r="E1508" s="26"/>
      <c r="F1508" s="26"/>
      <c r="H1508" s="27"/>
      <c r="I1508" s="27"/>
      <c r="J1508" s="27"/>
      <c r="K1508" s="27"/>
      <c r="L1508" s="27"/>
      <c r="M1508" s="27"/>
      <c r="N1508" s="40"/>
      <c r="O1508" s="27"/>
      <c r="P1508" s="27"/>
      <c r="Q1508" s="41"/>
      <c r="R1508" s="40"/>
    </row>
    <row r="1509" spans="1:18" ht="30" customHeight="1" x14ac:dyDescent="0.3">
      <c r="A1509" s="26" t="str">
        <f t="shared" si="46"/>
        <v/>
      </c>
      <c r="B1509" s="26">
        <f>COUNTIFS($A$4:A1509,A1509)</f>
        <v>346</v>
      </c>
      <c r="C1509" s="26" t="str">
        <f t="shared" si="47"/>
        <v>346</v>
      </c>
      <c r="E1509" s="26"/>
      <c r="F1509" s="26"/>
      <c r="H1509" s="27"/>
      <c r="I1509" s="27"/>
      <c r="J1509" s="27"/>
      <c r="K1509" s="27"/>
      <c r="L1509" s="27"/>
      <c r="M1509" s="27"/>
      <c r="N1509" s="40"/>
      <c r="O1509" s="27"/>
      <c r="P1509" s="27"/>
      <c r="Q1509" s="41"/>
      <c r="R1509" s="40"/>
    </row>
    <row r="1510" spans="1:18" ht="30" customHeight="1" x14ac:dyDescent="0.3">
      <c r="A1510" s="26" t="str">
        <f t="shared" si="46"/>
        <v/>
      </c>
      <c r="B1510" s="26">
        <f>COUNTIFS($A$4:A1510,A1510)</f>
        <v>347</v>
      </c>
      <c r="C1510" s="26" t="str">
        <f t="shared" si="47"/>
        <v>347</v>
      </c>
      <c r="E1510" s="26"/>
      <c r="F1510" s="26"/>
      <c r="H1510" s="27"/>
      <c r="I1510" s="27"/>
      <c r="J1510" s="27"/>
      <c r="K1510" s="27"/>
      <c r="L1510" s="27"/>
      <c r="M1510" s="27"/>
      <c r="N1510" s="40"/>
      <c r="O1510" s="27"/>
      <c r="P1510" s="27"/>
      <c r="Q1510" s="41"/>
      <c r="R1510" s="40"/>
    </row>
    <row r="1511" spans="1:18" ht="30" customHeight="1" x14ac:dyDescent="0.3">
      <c r="A1511" s="26" t="str">
        <f t="shared" si="46"/>
        <v/>
      </c>
      <c r="B1511" s="26">
        <f>COUNTIFS($A$4:A1511,A1511)</f>
        <v>348</v>
      </c>
      <c r="C1511" s="26" t="str">
        <f t="shared" si="47"/>
        <v>348</v>
      </c>
      <c r="E1511" s="26"/>
      <c r="F1511" s="26"/>
      <c r="H1511" s="27"/>
      <c r="I1511" s="27"/>
      <c r="J1511" s="27"/>
      <c r="K1511" s="27"/>
      <c r="L1511" s="27"/>
      <c r="M1511" s="27"/>
      <c r="N1511" s="40"/>
      <c r="O1511" s="27"/>
      <c r="P1511" s="27"/>
      <c r="Q1511" s="41"/>
      <c r="R1511" s="40"/>
    </row>
    <row r="1512" spans="1:18" ht="30" customHeight="1" x14ac:dyDescent="0.3">
      <c r="A1512" s="26" t="str">
        <f t="shared" si="46"/>
        <v/>
      </c>
      <c r="B1512" s="26">
        <f>COUNTIFS($A$4:A1512,A1512)</f>
        <v>349</v>
      </c>
      <c r="C1512" s="26" t="str">
        <f t="shared" si="47"/>
        <v>349</v>
      </c>
      <c r="E1512" s="26"/>
      <c r="F1512" s="26"/>
      <c r="H1512" s="27"/>
      <c r="I1512" s="27"/>
      <c r="J1512" s="27"/>
      <c r="K1512" s="27"/>
      <c r="L1512" s="27"/>
      <c r="M1512" s="27"/>
      <c r="N1512" s="40"/>
      <c r="O1512" s="27"/>
      <c r="P1512" s="27"/>
      <c r="Q1512" s="41"/>
      <c r="R1512" s="40"/>
    </row>
    <row r="1513" spans="1:18" ht="30" customHeight="1" x14ac:dyDescent="0.3">
      <c r="A1513" s="26" t="str">
        <f t="shared" si="46"/>
        <v/>
      </c>
      <c r="B1513" s="26">
        <f>COUNTIFS($A$4:A1513,A1513)</f>
        <v>350</v>
      </c>
      <c r="C1513" s="26" t="str">
        <f t="shared" si="47"/>
        <v>350</v>
      </c>
      <c r="E1513" s="26"/>
      <c r="F1513" s="26"/>
      <c r="H1513" s="27"/>
      <c r="I1513" s="27"/>
      <c r="J1513" s="27"/>
      <c r="K1513" s="27"/>
      <c r="L1513" s="27"/>
      <c r="M1513" s="27"/>
      <c r="N1513" s="40"/>
      <c r="O1513" s="27"/>
      <c r="P1513" s="27"/>
      <c r="Q1513" s="41"/>
      <c r="R1513" s="40"/>
    </row>
    <row r="1514" spans="1:18" ht="30" customHeight="1" x14ac:dyDescent="0.3">
      <c r="A1514" s="26" t="str">
        <f t="shared" si="46"/>
        <v/>
      </c>
      <c r="B1514" s="26">
        <f>COUNTIFS($A$4:A1514,A1514)</f>
        <v>351</v>
      </c>
      <c r="C1514" s="26" t="str">
        <f t="shared" si="47"/>
        <v>351</v>
      </c>
      <c r="E1514" s="26"/>
      <c r="F1514" s="26"/>
      <c r="H1514" s="27"/>
      <c r="I1514" s="27"/>
      <c r="J1514" s="27"/>
      <c r="K1514" s="27"/>
      <c r="L1514" s="27"/>
      <c r="M1514" s="27"/>
      <c r="N1514" s="40"/>
      <c r="O1514" s="27"/>
      <c r="P1514" s="27"/>
      <c r="Q1514" s="41"/>
      <c r="R1514" s="40"/>
    </row>
    <row r="1515" spans="1:18" ht="30" customHeight="1" x14ac:dyDescent="0.3">
      <c r="A1515" s="26" t="str">
        <f t="shared" si="46"/>
        <v/>
      </c>
      <c r="B1515" s="26">
        <f>COUNTIFS($A$4:A1515,A1515)</f>
        <v>352</v>
      </c>
      <c r="C1515" s="26" t="str">
        <f t="shared" si="47"/>
        <v>352</v>
      </c>
      <c r="E1515" s="26"/>
      <c r="F1515" s="26"/>
      <c r="H1515" s="27"/>
      <c r="I1515" s="27"/>
      <c r="J1515" s="27"/>
      <c r="K1515" s="27"/>
      <c r="L1515" s="27"/>
      <c r="M1515" s="27"/>
      <c r="N1515" s="40"/>
      <c r="O1515" s="27"/>
      <c r="P1515" s="27"/>
      <c r="Q1515" s="41"/>
      <c r="R1515" s="40"/>
    </row>
    <row r="1516" spans="1:18" ht="30" customHeight="1" x14ac:dyDescent="0.3">
      <c r="A1516" s="26" t="str">
        <f t="shared" si="46"/>
        <v/>
      </c>
      <c r="B1516" s="26">
        <f>COUNTIFS($A$4:A1516,A1516)</f>
        <v>353</v>
      </c>
      <c r="C1516" s="26" t="str">
        <f t="shared" si="47"/>
        <v>353</v>
      </c>
      <c r="E1516" s="26"/>
      <c r="F1516" s="26"/>
      <c r="H1516" s="27"/>
      <c r="I1516" s="27"/>
      <c r="J1516" s="27"/>
      <c r="K1516" s="27"/>
      <c r="L1516" s="27"/>
      <c r="M1516" s="27"/>
      <c r="N1516" s="40"/>
      <c r="O1516" s="27"/>
      <c r="P1516" s="27"/>
      <c r="Q1516" s="41"/>
      <c r="R1516" s="40"/>
    </row>
    <row r="1517" spans="1:18" ht="30" customHeight="1" x14ac:dyDescent="0.3">
      <c r="A1517" s="26" t="str">
        <f t="shared" si="46"/>
        <v/>
      </c>
      <c r="B1517" s="26">
        <f>COUNTIFS($A$4:A1517,A1517)</f>
        <v>354</v>
      </c>
      <c r="C1517" s="26" t="str">
        <f t="shared" si="47"/>
        <v>354</v>
      </c>
      <c r="E1517" s="26"/>
      <c r="F1517" s="26"/>
      <c r="H1517" s="27"/>
      <c r="I1517" s="27"/>
      <c r="J1517" s="27"/>
      <c r="K1517" s="27"/>
      <c r="L1517" s="27"/>
      <c r="M1517" s="27"/>
      <c r="N1517" s="40"/>
      <c r="O1517" s="27"/>
      <c r="P1517" s="27"/>
      <c r="Q1517" s="41"/>
      <c r="R1517" s="40"/>
    </row>
    <row r="1518" spans="1:18" ht="30" customHeight="1" x14ac:dyDescent="0.3">
      <c r="A1518" s="26" t="str">
        <f t="shared" si="46"/>
        <v/>
      </c>
      <c r="B1518" s="26">
        <f>COUNTIFS($A$4:A1518,A1518)</f>
        <v>355</v>
      </c>
      <c r="C1518" s="26" t="str">
        <f t="shared" si="47"/>
        <v>355</v>
      </c>
      <c r="E1518" s="26"/>
      <c r="F1518" s="26"/>
      <c r="H1518" s="27"/>
      <c r="I1518" s="27"/>
      <c r="J1518" s="27"/>
      <c r="K1518" s="27"/>
      <c r="L1518" s="27"/>
      <c r="M1518" s="27"/>
      <c r="N1518" s="40"/>
      <c r="O1518" s="27"/>
      <c r="P1518" s="27"/>
      <c r="Q1518" s="41"/>
      <c r="R1518" s="40"/>
    </row>
    <row r="1519" spans="1:18" ht="30" customHeight="1" x14ac:dyDescent="0.3">
      <c r="A1519" s="26" t="str">
        <f t="shared" si="46"/>
        <v/>
      </c>
      <c r="B1519" s="26">
        <f>COUNTIFS($A$4:A1519,A1519)</f>
        <v>356</v>
      </c>
      <c r="C1519" s="26" t="str">
        <f t="shared" si="47"/>
        <v>356</v>
      </c>
      <c r="E1519" s="26"/>
      <c r="F1519" s="26"/>
      <c r="H1519" s="27"/>
      <c r="I1519" s="27"/>
      <c r="J1519" s="27"/>
      <c r="K1519" s="27"/>
      <c r="L1519" s="27"/>
      <c r="M1519" s="27"/>
      <c r="N1519" s="40"/>
      <c r="O1519" s="27"/>
      <c r="P1519" s="27"/>
      <c r="Q1519" s="41"/>
      <c r="R1519" s="40"/>
    </row>
    <row r="1520" spans="1:18" ht="30" customHeight="1" x14ac:dyDescent="0.3">
      <c r="A1520" s="26" t="str">
        <f t="shared" si="46"/>
        <v/>
      </c>
      <c r="B1520" s="26">
        <f>COUNTIFS($A$4:A1520,A1520)</f>
        <v>357</v>
      </c>
      <c r="C1520" s="26" t="str">
        <f t="shared" si="47"/>
        <v>357</v>
      </c>
      <c r="E1520" s="26"/>
      <c r="F1520" s="26"/>
      <c r="H1520" s="27"/>
      <c r="I1520" s="27"/>
      <c r="J1520" s="27"/>
      <c r="K1520" s="27"/>
      <c r="L1520" s="27"/>
      <c r="M1520" s="27"/>
      <c r="N1520" s="40"/>
      <c r="O1520" s="27"/>
      <c r="P1520" s="27"/>
      <c r="Q1520" s="41"/>
      <c r="R1520" s="40"/>
    </row>
    <row r="1521" spans="1:18" ht="30" customHeight="1" x14ac:dyDescent="0.3">
      <c r="A1521" s="26" t="str">
        <f t="shared" si="46"/>
        <v/>
      </c>
      <c r="B1521" s="26">
        <f>COUNTIFS($A$4:A1521,A1521)</f>
        <v>358</v>
      </c>
      <c r="C1521" s="26" t="str">
        <f t="shared" si="47"/>
        <v>358</v>
      </c>
      <c r="E1521" s="26"/>
      <c r="F1521" s="26"/>
      <c r="H1521" s="27"/>
      <c r="I1521" s="27"/>
      <c r="J1521" s="27"/>
      <c r="K1521" s="27"/>
      <c r="L1521" s="27"/>
      <c r="M1521" s="27"/>
      <c r="N1521" s="40"/>
      <c r="O1521" s="27"/>
      <c r="P1521" s="27"/>
      <c r="Q1521" s="41"/>
      <c r="R1521" s="40"/>
    </row>
    <row r="1522" spans="1:18" ht="30" customHeight="1" x14ac:dyDescent="0.3">
      <c r="A1522" s="26" t="str">
        <f t="shared" si="46"/>
        <v/>
      </c>
      <c r="B1522" s="26">
        <f>COUNTIFS($A$4:A1522,A1522)</f>
        <v>359</v>
      </c>
      <c r="C1522" s="26" t="str">
        <f t="shared" si="47"/>
        <v>359</v>
      </c>
      <c r="E1522" s="26"/>
      <c r="F1522" s="26"/>
      <c r="H1522" s="27"/>
      <c r="I1522" s="27"/>
      <c r="J1522" s="27"/>
      <c r="K1522" s="27"/>
      <c r="L1522" s="27"/>
      <c r="M1522" s="27"/>
      <c r="N1522" s="40"/>
      <c r="O1522" s="27"/>
      <c r="P1522" s="27"/>
      <c r="Q1522" s="41"/>
      <c r="R1522" s="40"/>
    </row>
    <row r="1523" spans="1:18" ht="30" customHeight="1" x14ac:dyDescent="0.3">
      <c r="A1523" s="26" t="str">
        <f t="shared" si="46"/>
        <v/>
      </c>
      <c r="B1523" s="26">
        <f>COUNTIFS($A$4:A1523,A1523)</f>
        <v>360</v>
      </c>
      <c r="C1523" s="26" t="str">
        <f t="shared" si="47"/>
        <v>360</v>
      </c>
      <c r="E1523" s="26"/>
      <c r="F1523" s="26"/>
      <c r="H1523" s="27"/>
      <c r="I1523" s="27"/>
      <c r="J1523" s="27"/>
      <c r="K1523" s="27"/>
      <c r="L1523" s="27"/>
      <c r="M1523" s="27"/>
      <c r="N1523" s="40"/>
      <c r="O1523" s="27"/>
      <c r="P1523" s="27"/>
      <c r="Q1523" s="41"/>
      <c r="R1523" s="40"/>
    </row>
    <row r="1524" spans="1:18" ht="30" customHeight="1" x14ac:dyDescent="0.3">
      <c r="A1524" s="26" t="str">
        <f t="shared" si="46"/>
        <v/>
      </c>
      <c r="B1524" s="26">
        <f>COUNTIFS($A$4:A1524,A1524)</f>
        <v>361</v>
      </c>
      <c r="C1524" s="26" t="str">
        <f t="shared" si="47"/>
        <v>361</v>
      </c>
      <c r="E1524" s="26"/>
      <c r="F1524" s="26"/>
      <c r="H1524" s="27"/>
      <c r="I1524" s="27"/>
      <c r="J1524" s="27"/>
      <c r="K1524" s="27"/>
      <c r="L1524" s="27"/>
      <c r="M1524" s="27"/>
      <c r="N1524" s="40"/>
      <c r="O1524" s="27"/>
      <c r="P1524" s="27"/>
      <c r="Q1524" s="41"/>
      <c r="R1524" s="40"/>
    </row>
    <row r="1525" spans="1:18" ht="30" customHeight="1" x14ac:dyDescent="0.3">
      <c r="A1525" s="26" t="str">
        <f t="shared" si="46"/>
        <v/>
      </c>
      <c r="B1525" s="26">
        <f>COUNTIFS($A$4:A1525,A1525)</f>
        <v>362</v>
      </c>
      <c r="C1525" s="26" t="str">
        <f t="shared" si="47"/>
        <v>362</v>
      </c>
      <c r="E1525" s="26"/>
      <c r="F1525" s="26"/>
      <c r="H1525" s="27"/>
      <c r="I1525" s="27"/>
      <c r="J1525" s="27"/>
      <c r="K1525" s="27"/>
      <c r="L1525" s="27"/>
      <c r="M1525" s="27"/>
      <c r="N1525" s="40"/>
      <c r="O1525" s="27"/>
      <c r="P1525" s="27"/>
      <c r="Q1525" s="41"/>
      <c r="R1525" s="40"/>
    </row>
    <row r="1526" spans="1:18" ht="30" customHeight="1" x14ac:dyDescent="0.3">
      <c r="A1526" s="26" t="str">
        <f t="shared" si="46"/>
        <v/>
      </c>
      <c r="B1526" s="26">
        <f>COUNTIFS($A$4:A1526,A1526)</f>
        <v>363</v>
      </c>
      <c r="C1526" s="26" t="str">
        <f t="shared" si="47"/>
        <v>363</v>
      </c>
      <c r="E1526" s="26"/>
      <c r="F1526" s="26"/>
      <c r="H1526" s="27"/>
      <c r="I1526" s="27"/>
      <c r="J1526" s="27"/>
      <c r="K1526" s="27"/>
      <c r="L1526" s="27"/>
      <c r="M1526" s="27"/>
      <c r="N1526" s="40"/>
      <c r="O1526" s="27"/>
      <c r="P1526" s="27"/>
      <c r="Q1526" s="41"/>
      <c r="R1526" s="40"/>
    </row>
    <row r="1527" spans="1:18" ht="30" customHeight="1" x14ac:dyDescent="0.3">
      <c r="A1527" s="26" t="str">
        <f t="shared" si="46"/>
        <v/>
      </c>
      <c r="B1527" s="26">
        <f>COUNTIFS($A$4:A1527,A1527)</f>
        <v>364</v>
      </c>
      <c r="C1527" s="26" t="str">
        <f t="shared" si="47"/>
        <v>364</v>
      </c>
      <c r="E1527" s="26"/>
      <c r="F1527" s="26"/>
      <c r="H1527" s="27"/>
      <c r="I1527" s="27"/>
      <c r="J1527" s="27"/>
      <c r="K1527" s="27"/>
      <c r="L1527" s="27"/>
      <c r="M1527" s="27"/>
      <c r="N1527" s="40"/>
      <c r="O1527" s="27"/>
      <c r="P1527" s="27"/>
      <c r="Q1527" s="41"/>
      <c r="R1527" s="40"/>
    </row>
    <row r="1528" spans="1:18" ht="30" customHeight="1" x14ac:dyDescent="0.3">
      <c r="A1528" s="26" t="str">
        <f t="shared" si="46"/>
        <v/>
      </c>
      <c r="B1528" s="26">
        <f>COUNTIFS($A$4:A1528,A1528)</f>
        <v>365</v>
      </c>
      <c r="C1528" s="26" t="str">
        <f t="shared" si="47"/>
        <v>365</v>
      </c>
      <c r="E1528" s="26"/>
      <c r="F1528" s="26"/>
      <c r="H1528" s="27"/>
      <c r="I1528" s="27"/>
      <c r="J1528" s="27"/>
      <c r="K1528" s="27"/>
      <c r="L1528" s="27"/>
      <c r="M1528" s="27"/>
      <c r="N1528" s="40"/>
      <c r="O1528" s="27"/>
      <c r="P1528" s="27"/>
      <c r="Q1528" s="41"/>
      <c r="R1528" s="40"/>
    </row>
    <row r="1529" spans="1:18" ht="30" customHeight="1" x14ac:dyDescent="0.3">
      <c r="A1529" s="26" t="str">
        <f t="shared" si="46"/>
        <v/>
      </c>
      <c r="B1529" s="26">
        <f>COUNTIFS($A$4:A1529,A1529)</f>
        <v>366</v>
      </c>
      <c r="C1529" s="26" t="str">
        <f t="shared" si="47"/>
        <v>366</v>
      </c>
      <c r="E1529" s="26"/>
      <c r="F1529" s="26"/>
      <c r="H1529" s="27"/>
      <c r="I1529" s="27"/>
      <c r="J1529" s="27"/>
      <c r="K1529" s="27"/>
      <c r="L1529" s="27"/>
      <c r="M1529" s="27"/>
      <c r="N1529" s="40"/>
      <c r="O1529" s="27"/>
      <c r="P1529" s="27"/>
      <c r="Q1529" s="41"/>
      <c r="R1529" s="40"/>
    </row>
    <row r="1530" spans="1:18" ht="30" customHeight="1" x14ac:dyDescent="0.3">
      <c r="A1530" s="26" t="str">
        <f t="shared" si="46"/>
        <v/>
      </c>
      <c r="B1530" s="26">
        <f>COUNTIFS($A$4:A1530,A1530)</f>
        <v>367</v>
      </c>
      <c r="C1530" s="26" t="str">
        <f t="shared" si="47"/>
        <v>367</v>
      </c>
      <c r="E1530" s="26"/>
      <c r="F1530" s="26"/>
      <c r="H1530" s="27"/>
      <c r="I1530" s="27"/>
      <c r="J1530" s="27"/>
      <c r="K1530" s="27"/>
      <c r="L1530" s="27"/>
      <c r="M1530" s="27"/>
      <c r="N1530" s="40"/>
      <c r="O1530" s="27"/>
      <c r="P1530" s="27"/>
      <c r="Q1530" s="41"/>
      <c r="R1530" s="40"/>
    </row>
    <row r="1531" spans="1:18" ht="30" customHeight="1" x14ac:dyDescent="0.3">
      <c r="A1531" s="26" t="str">
        <f t="shared" si="46"/>
        <v/>
      </c>
      <c r="B1531" s="26">
        <f>COUNTIFS($A$4:A1531,A1531)</f>
        <v>368</v>
      </c>
      <c r="C1531" s="26" t="str">
        <f t="shared" si="47"/>
        <v>368</v>
      </c>
      <c r="E1531" s="26"/>
      <c r="F1531" s="26"/>
      <c r="H1531" s="27"/>
      <c r="I1531" s="27"/>
      <c r="J1531" s="27"/>
      <c r="K1531" s="27"/>
      <c r="L1531" s="27"/>
      <c r="M1531" s="27"/>
      <c r="N1531" s="40"/>
      <c r="O1531" s="27"/>
      <c r="P1531" s="27"/>
      <c r="Q1531" s="41"/>
      <c r="R1531" s="40"/>
    </row>
    <row r="1532" spans="1:18" ht="30" customHeight="1" x14ac:dyDescent="0.3">
      <c r="A1532" s="26" t="str">
        <f t="shared" si="46"/>
        <v/>
      </c>
      <c r="B1532" s="26">
        <f>COUNTIFS($A$4:A1532,A1532)</f>
        <v>369</v>
      </c>
      <c r="C1532" s="26" t="str">
        <f t="shared" si="47"/>
        <v>369</v>
      </c>
      <c r="E1532" s="26"/>
      <c r="F1532" s="26"/>
      <c r="H1532" s="27"/>
      <c r="I1532" s="27"/>
      <c r="J1532" s="27"/>
      <c r="K1532" s="27"/>
      <c r="L1532" s="27"/>
      <c r="M1532" s="27"/>
      <c r="N1532" s="40"/>
      <c r="O1532" s="27"/>
      <c r="P1532" s="27"/>
      <c r="Q1532" s="41"/>
      <c r="R1532" s="40"/>
    </row>
    <row r="1533" spans="1:18" ht="30" customHeight="1" x14ac:dyDescent="0.3">
      <c r="A1533" s="26" t="str">
        <f t="shared" si="46"/>
        <v/>
      </c>
      <c r="B1533" s="26">
        <f>COUNTIFS($A$4:A1533,A1533)</f>
        <v>370</v>
      </c>
      <c r="C1533" s="26" t="str">
        <f t="shared" si="47"/>
        <v>370</v>
      </c>
      <c r="E1533" s="26"/>
      <c r="F1533" s="26"/>
      <c r="H1533" s="27"/>
      <c r="I1533" s="27"/>
      <c r="J1533" s="27"/>
      <c r="K1533" s="27"/>
      <c r="L1533" s="27"/>
      <c r="M1533" s="27"/>
      <c r="N1533" s="40"/>
      <c r="O1533" s="27"/>
      <c r="P1533" s="27"/>
      <c r="Q1533" s="41"/>
      <c r="R1533" s="40"/>
    </row>
    <row r="1534" spans="1:18" ht="30" customHeight="1" x14ac:dyDescent="0.3">
      <c r="A1534" s="26" t="str">
        <f t="shared" si="46"/>
        <v/>
      </c>
      <c r="B1534" s="26">
        <f>COUNTIFS($A$4:A1534,A1534)</f>
        <v>371</v>
      </c>
      <c r="C1534" s="26" t="str">
        <f t="shared" si="47"/>
        <v>371</v>
      </c>
      <c r="E1534" s="26"/>
      <c r="F1534" s="26"/>
      <c r="H1534" s="27"/>
      <c r="I1534" s="27"/>
      <c r="J1534" s="27"/>
      <c r="K1534" s="27"/>
      <c r="L1534" s="27"/>
      <c r="M1534" s="27"/>
      <c r="N1534" s="40"/>
      <c r="O1534" s="27"/>
      <c r="P1534" s="27"/>
      <c r="Q1534" s="41"/>
      <c r="R1534" s="40"/>
    </row>
    <row r="1535" spans="1:18" ht="30" customHeight="1" x14ac:dyDescent="0.3">
      <c r="A1535" s="26" t="str">
        <f t="shared" si="46"/>
        <v/>
      </c>
      <c r="B1535" s="26">
        <f>COUNTIFS($A$4:A1535,A1535)</f>
        <v>372</v>
      </c>
      <c r="C1535" s="26" t="str">
        <f t="shared" si="47"/>
        <v>372</v>
      </c>
      <c r="E1535" s="26"/>
      <c r="F1535" s="26"/>
      <c r="H1535" s="27"/>
      <c r="I1535" s="27"/>
      <c r="J1535" s="27"/>
      <c r="K1535" s="27"/>
      <c r="L1535" s="27"/>
      <c r="M1535" s="27"/>
      <c r="N1535" s="40"/>
      <c r="O1535" s="27"/>
      <c r="P1535" s="27"/>
      <c r="Q1535" s="41"/>
      <c r="R1535" s="40"/>
    </row>
    <row r="1536" spans="1:18" ht="30" customHeight="1" x14ac:dyDescent="0.3">
      <c r="A1536" s="26" t="str">
        <f t="shared" si="46"/>
        <v/>
      </c>
      <c r="B1536" s="26">
        <f>COUNTIFS($A$4:A1536,A1536)</f>
        <v>373</v>
      </c>
      <c r="C1536" s="26" t="str">
        <f t="shared" si="47"/>
        <v>373</v>
      </c>
      <c r="E1536" s="26"/>
      <c r="F1536" s="26"/>
      <c r="H1536" s="27"/>
      <c r="I1536" s="27"/>
      <c r="J1536" s="27"/>
      <c r="K1536" s="27"/>
      <c r="L1536" s="27"/>
      <c r="M1536" s="27"/>
      <c r="N1536" s="40"/>
      <c r="O1536" s="27"/>
      <c r="P1536" s="27"/>
      <c r="Q1536" s="41"/>
      <c r="R1536" s="40"/>
    </row>
    <row r="1537" spans="1:18" ht="30" customHeight="1" x14ac:dyDescent="0.3">
      <c r="A1537" s="26" t="str">
        <f t="shared" si="46"/>
        <v/>
      </c>
      <c r="B1537" s="26">
        <f>COUNTIFS($A$4:A1537,A1537)</f>
        <v>374</v>
      </c>
      <c r="C1537" s="26" t="str">
        <f t="shared" si="47"/>
        <v>374</v>
      </c>
      <c r="E1537" s="26"/>
      <c r="F1537" s="26"/>
      <c r="H1537" s="27"/>
      <c r="I1537" s="27"/>
      <c r="J1537" s="27"/>
      <c r="K1537" s="27"/>
      <c r="L1537" s="27"/>
      <c r="M1537" s="27"/>
      <c r="N1537" s="40"/>
      <c r="O1537" s="27"/>
      <c r="P1537" s="27"/>
      <c r="Q1537" s="41"/>
      <c r="R1537" s="40"/>
    </row>
    <row r="1538" spans="1:18" ht="30" customHeight="1" x14ac:dyDescent="0.3">
      <c r="A1538" s="26" t="str">
        <f t="shared" si="46"/>
        <v/>
      </c>
      <c r="B1538" s="26">
        <f>COUNTIFS($A$4:A1538,A1538)</f>
        <v>375</v>
      </c>
      <c r="C1538" s="26" t="str">
        <f t="shared" si="47"/>
        <v>375</v>
      </c>
      <c r="E1538" s="26"/>
      <c r="F1538" s="26"/>
      <c r="H1538" s="27"/>
      <c r="I1538" s="27"/>
      <c r="J1538" s="27"/>
      <c r="K1538" s="27"/>
      <c r="L1538" s="27"/>
      <c r="M1538" s="27"/>
      <c r="N1538" s="40"/>
      <c r="O1538" s="27"/>
      <c r="P1538" s="27"/>
      <c r="Q1538" s="41"/>
      <c r="R1538" s="40"/>
    </row>
    <row r="1539" spans="1:18" ht="30" customHeight="1" x14ac:dyDescent="0.3">
      <c r="A1539" s="26" t="str">
        <f t="shared" si="46"/>
        <v/>
      </c>
      <c r="B1539" s="26">
        <f>COUNTIFS($A$4:A1539,A1539)</f>
        <v>376</v>
      </c>
      <c r="C1539" s="26" t="str">
        <f t="shared" si="47"/>
        <v>376</v>
      </c>
      <c r="E1539" s="26"/>
      <c r="F1539" s="26"/>
      <c r="H1539" s="27"/>
      <c r="I1539" s="27"/>
      <c r="J1539" s="27"/>
      <c r="K1539" s="27"/>
      <c r="L1539" s="27"/>
      <c r="M1539" s="27"/>
      <c r="N1539" s="40"/>
      <c r="O1539" s="27"/>
      <c r="P1539" s="27"/>
      <c r="Q1539" s="41"/>
      <c r="R1539" s="40"/>
    </row>
    <row r="1540" spans="1:18" ht="30" customHeight="1" x14ac:dyDescent="0.3">
      <c r="A1540" s="26" t="str">
        <f t="shared" si="46"/>
        <v/>
      </c>
      <c r="B1540" s="26">
        <f>COUNTIFS($A$4:A1540,A1540)</f>
        <v>377</v>
      </c>
      <c r="C1540" s="26" t="str">
        <f t="shared" si="47"/>
        <v>377</v>
      </c>
      <c r="E1540" s="26"/>
      <c r="F1540" s="26"/>
      <c r="H1540" s="27"/>
      <c r="I1540" s="27"/>
      <c r="J1540" s="27"/>
      <c r="K1540" s="27"/>
      <c r="L1540" s="27"/>
      <c r="M1540" s="27"/>
      <c r="N1540" s="40"/>
      <c r="O1540" s="27"/>
      <c r="P1540" s="27"/>
      <c r="Q1540" s="41"/>
      <c r="R1540" s="40"/>
    </row>
    <row r="1541" spans="1:18" ht="30" customHeight="1" x14ac:dyDescent="0.3">
      <c r="A1541" s="26" t="str">
        <f t="shared" si="46"/>
        <v/>
      </c>
      <c r="B1541" s="26">
        <f>COUNTIFS($A$4:A1541,A1541)</f>
        <v>378</v>
      </c>
      <c r="C1541" s="26" t="str">
        <f t="shared" si="47"/>
        <v>378</v>
      </c>
      <c r="E1541" s="26"/>
      <c r="F1541" s="26"/>
      <c r="H1541" s="27"/>
      <c r="I1541" s="27"/>
      <c r="J1541" s="27"/>
      <c r="K1541" s="27"/>
      <c r="L1541" s="27"/>
      <c r="M1541" s="27"/>
      <c r="N1541" s="40"/>
      <c r="O1541" s="27"/>
      <c r="P1541" s="27"/>
      <c r="Q1541" s="41"/>
      <c r="R1541" s="40"/>
    </row>
    <row r="1542" spans="1:18" ht="30" customHeight="1" x14ac:dyDescent="0.3">
      <c r="A1542" s="26" t="str">
        <f t="shared" si="46"/>
        <v/>
      </c>
      <c r="B1542" s="26">
        <f>COUNTIFS($A$4:A1542,A1542)</f>
        <v>379</v>
      </c>
      <c r="C1542" s="26" t="str">
        <f t="shared" si="47"/>
        <v>379</v>
      </c>
      <c r="E1542" s="26"/>
      <c r="F1542" s="26"/>
      <c r="H1542" s="27"/>
      <c r="I1542" s="27"/>
      <c r="J1542" s="27"/>
      <c r="K1542" s="27"/>
      <c r="L1542" s="27"/>
      <c r="M1542" s="27"/>
      <c r="N1542" s="40"/>
      <c r="O1542" s="27"/>
      <c r="P1542" s="27"/>
      <c r="Q1542" s="41"/>
      <c r="R1542" s="40"/>
    </row>
    <row r="1543" spans="1:18" ht="30" customHeight="1" x14ac:dyDescent="0.3">
      <c r="A1543" s="26" t="str">
        <f t="shared" si="46"/>
        <v/>
      </c>
      <c r="B1543" s="26">
        <f>COUNTIFS($A$4:A1543,A1543)</f>
        <v>380</v>
      </c>
      <c r="C1543" s="26" t="str">
        <f t="shared" si="47"/>
        <v>380</v>
      </c>
      <c r="E1543" s="26"/>
      <c r="F1543" s="26"/>
      <c r="H1543" s="27"/>
      <c r="I1543" s="27"/>
      <c r="J1543" s="27"/>
      <c r="K1543" s="27"/>
      <c r="L1543" s="27"/>
      <c r="M1543" s="27"/>
      <c r="N1543" s="40"/>
      <c r="O1543" s="27"/>
      <c r="P1543" s="27"/>
      <c r="Q1543" s="41"/>
      <c r="R1543" s="40"/>
    </row>
    <row r="1544" spans="1:18" ht="30" customHeight="1" x14ac:dyDescent="0.3">
      <c r="A1544" s="26" t="str">
        <f t="shared" si="46"/>
        <v/>
      </c>
      <c r="B1544" s="26">
        <f>COUNTIFS($A$4:A1544,A1544)</f>
        <v>381</v>
      </c>
      <c r="C1544" s="26" t="str">
        <f t="shared" si="47"/>
        <v>381</v>
      </c>
      <c r="E1544" s="26"/>
      <c r="F1544" s="26"/>
      <c r="H1544" s="27"/>
      <c r="I1544" s="27"/>
      <c r="J1544" s="27"/>
      <c r="K1544" s="27"/>
      <c r="L1544" s="27"/>
      <c r="M1544" s="27"/>
      <c r="N1544" s="40"/>
      <c r="O1544" s="27"/>
      <c r="P1544" s="27"/>
      <c r="Q1544" s="41"/>
      <c r="R1544" s="40"/>
    </row>
    <row r="1545" spans="1:18" ht="30" customHeight="1" x14ac:dyDescent="0.3">
      <c r="A1545" s="26" t="str">
        <f t="shared" si="46"/>
        <v/>
      </c>
      <c r="B1545" s="26">
        <f>COUNTIFS($A$4:A1545,A1545)</f>
        <v>382</v>
      </c>
      <c r="C1545" s="26" t="str">
        <f t="shared" si="47"/>
        <v>382</v>
      </c>
      <c r="E1545" s="26"/>
      <c r="F1545" s="26"/>
      <c r="H1545" s="27"/>
      <c r="I1545" s="27"/>
      <c r="J1545" s="27"/>
      <c r="K1545" s="27"/>
      <c r="L1545" s="27"/>
      <c r="M1545" s="27"/>
      <c r="N1545" s="40"/>
      <c r="O1545" s="27"/>
      <c r="P1545" s="27"/>
      <c r="Q1545" s="41"/>
      <c r="R1545" s="40"/>
    </row>
    <row r="1546" spans="1:18" ht="30" customHeight="1" x14ac:dyDescent="0.3">
      <c r="A1546" s="26" t="str">
        <f t="shared" si="46"/>
        <v/>
      </c>
      <c r="B1546" s="26">
        <f>COUNTIFS($A$4:A1546,A1546)</f>
        <v>383</v>
      </c>
      <c r="C1546" s="26" t="str">
        <f t="shared" si="47"/>
        <v>383</v>
      </c>
      <c r="E1546" s="26"/>
      <c r="F1546" s="26"/>
      <c r="H1546" s="27"/>
      <c r="I1546" s="27"/>
      <c r="J1546" s="27"/>
      <c r="K1546" s="27"/>
      <c r="L1546" s="27"/>
      <c r="M1546" s="27"/>
      <c r="N1546" s="40"/>
      <c r="O1546" s="27"/>
      <c r="P1546" s="27"/>
      <c r="Q1546" s="41"/>
      <c r="R1546" s="40"/>
    </row>
    <row r="1547" spans="1:18" ht="30" customHeight="1" x14ac:dyDescent="0.3">
      <c r="A1547" s="26" t="str">
        <f t="shared" si="46"/>
        <v/>
      </c>
      <c r="B1547" s="26">
        <f>COUNTIFS($A$4:A1547,A1547)</f>
        <v>384</v>
      </c>
      <c r="C1547" s="26" t="str">
        <f t="shared" si="47"/>
        <v>384</v>
      </c>
      <c r="E1547" s="26"/>
      <c r="F1547" s="26"/>
      <c r="H1547" s="27"/>
      <c r="I1547" s="27"/>
      <c r="J1547" s="27"/>
      <c r="K1547" s="27"/>
      <c r="L1547" s="27"/>
      <c r="M1547" s="27"/>
      <c r="N1547" s="40"/>
      <c r="O1547" s="27"/>
      <c r="P1547" s="27"/>
      <c r="Q1547" s="41"/>
      <c r="R1547" s="40"/>
    </row>
    <row r="1548" spans="1:18" ht="30" customHeight="1" x14ac:dyDescent="0.3">
      <c r="A1548" s="26" t="str">
        <f t="shared" si="46"/>
        <v/>
      </c>
      <c r="B1548" s="26">
        <f>COUNTIFS($A$4:A1548,A1548)</f>
        <v>385</v>
      </c>
      <c r="C1548" s="26" t="str">
        <f t="shared" si="47"/>
        <v>385</v>
      </c>
      <c r="E1548" s="26"/>
      <c r="F1548" s="26"/>
      <c r="H1548" s="27"/>
      <c r="I1548" s="27"/>
      <c r="J1548" s="27"/>
      <c r="K1548" s="27"/>
      <c r="L1548" s="27"/>
      <c r="M1548" s="27"/>
      <c r="N1548" s="40"/>
      <c r="O1548" s="27"/>
      <c r="P1548" s="27"/>
      <c r="Q1548" s="41"/>
      <c r="R1548" s="40"/>
    </row>
    <row r="1549" spans="1:18" ht="30" customHeight="1" x14ac:dyDescent="0.3">
      <c r="A1549" s="26" t="str">
        <f t="shared" si="46"/>
        <v/>
      </c>
      <c r="B1549" s="26">
        <f>COUNTIFS($A$4:A1549,A1549)</f>
        <v>386</v>
      </c>
      <c r="C1549" s="26" t="str">
        <f t="shared" si="47"/>
        <v>386</v>
      </c>
      <c r="E1549" s="26"/>
      <c r="F1549" s="26"/>
      <c r="H1549" s="27"/>
      <c r="I1549" s="27"/>
      <c r="J1549" s="27"/>
      <c r="K1549" s="27"/>
      <c r="L1549" s="27"/>
      <c r="M1549" s="27"/>
      <c r="N1549" s="40"/>
      <c r="O1549" s="27"/>
      <c r="P1549" s="27"/>
      <c r="Q1549" s="41"/>
      <c r="R1549" s="40"/>
    </row>
    <row r="1550" spans="1:18" ht="30" customHeight="1" x14ac:dyDescent="0.3">
      <c r="A1550" s="26" t="str">
        <f t="shared" si="46"/>
        <v/>
      </c>
      <c r="B1550" s="26">
        <f>COUNTIFS($A$4:A1550,A1550)</f>
        <v>387</v>
      </c>
      <c r="C1550" s="26" t="str">
        <f t="shared" si="47"/>
        <v>387</v>
      </c>
      <c r="E1550" s="26"/>
      <c r="F1550" s="26"/>
      <c r="H1550" s="27"/>
      <c r="I1550" s="27"/>
      <c r="J1550" s="27"/>
      <c r="K1550" s="27"/>
      <c r="L1550" s="27"/>
      <c r="M1550" s="27"/>
      <c r="N1550" s="40"/>
      <c r="O1550" s="27"/>
      <c r="P1550" s="27"/>
      <c r="Q1550" s="41"/>
      <c r="R1550" s="40"/>
    </row>
    <row r="1551" spans="1:18" ht="30" customHeight="1" x14ac:dyDescent="0.3">
      <c r="A1551" s="26" t="str">
        <f t="shared" si="46"/>
        <v/>
      </c>
      <c r="B1551" s="26">
        <f>COUNTIFS($A$4:A1551,A1551)</f>
        <v>388</v>
      </c>
      <c r="C1551" s="26" t="str">
        <f t="shared" si="47"/>
        <v>388</v>
      </c>
      <c r="E1551" s="26"/>
      <c r="F1551" s="26"/>
      <c r="H1551" s="27"/>
      <c r="I1551" s="27"/>
      <c r="J1551" s="27"/>
      <c r="K1551" s="27"/>
      <c r="L1551" s="27"/>
      <c r="M1551" s="27"/>
      <c r="N1551" s="40"/>
      <c r="O1551" s="27"/>
      <c r="P1551" s="27"/>
      <c r="Q1551" s="41"/>
      <c r="R1551" s="40"/>
    </row>
    <row r="1552" spans="1:18" ht="30" customHeight="1" x14ac:dyDescent="0.3">
      <c r="A1552" s="26" t="str">
        <f t="shared" si="46"/>
        <v/>
      </c>
      <c r="B1552" s="26">
        <f>COUNTIFS($A$4:A1552,A1552)</f>
        <v>389</v>
      </c>
      <c r="C1552" s="26" t="str">
        <f t="shared" si="47"/>
        <v>389</v>
      </c>
      <c r="E1552" s="26"/>
      <c r="F1552" s="26"/>
      <c r="H1552" s="27"/>
      <c r="I1552" s="27"/>
      <c r="J1552" s="27"/>
      <c r="K1552" s="27"/>
      <c r="L1552" s="27"/>
      <c r="M1552" s="27"/>
      <c r="N1552" s="40"/>
      <c r="O1552" s="27"/>
      <c r="P1552" s="27"/>
      <c r="Q1552" s="41"/>
      <c r="R1552" s="40"/>
    </row>
    <row r="1553" spans="1:18" ht="30" customHeight="1" x14ac:dyDescent="0.3">
      <c r="A1553" s="26" t="str">
        <f t="shared" ref="A1553:A1616" si="48">I1553&amp;H1553</f>
        <v/>
      </c>
      <c r="B1553" s="26">
        <f>COUNTIFS($A$4:A1553,A1553)</f>
        <v>390</v>
      </c>
      <c r="C1553" s="26" t="str">
        <f t="shared" ref="C1553:C1616" si="49">A1553&amp;B1553</f>
        <v>390</v>
      </c>
      <c r="E1553" s="26"/>
      <c r="F1553" s="26"/>
      <c r="H1553" s="27"/>
      <c r="I1553" s="27"/>
      <c r="J1553" s="27"/>
      <c r="K1553" s="27"/>
      <c r="L1553" s="27"/>
      <c r="M1553" s="27"/>
      <c r="N1553" s="40"/>
      <c r="O1553" s="27"/>
      <c r="P1553" s="27"/>
      <c r="Q1553" s="41"/>
      <c r="R1553" s="40"/>
    </row>
    <row r="1554" spans="1:18" ht="30" customHeight="1" x14ac:dyDescent="0.3">
      <c r="A1554" s="26" t="str">
        <f t="shared" si="48"/>
        <v/>
      </c>
      <c r="B1554" s="26">
        <f>COUNTIFS($A$4:A1554,A1554)</f>
        <v>391</v>
      </c>
      <c r="C1554" s="26" t="str">
        <f t="shared" si="49"/>
        <v>391</v>
      </c>
      <c r="E1554" s="26"/>
      <c r="F1554" s="26"/>
      <c r="H1554" s="27"/>
      <c r="I1554" s="27"/>
      <c r="J1554" s="27"/>
      <c r="K1554" s="27"/>
      <c r="L1554" s="27"/>
      <c r="M1554" s="27"/>
      <c r="N1554" s="40"/>
      <c r="O1554" s="27"/>
      <c r="P1554" s="27"/>
      <c r="Q1554" s="41"/>
      <c r="R1554" s="40"/>
    </row>
    <row r="1555" spans="1:18" ht="30" customHeight="1" x14ac:dyDescent="0.3">
      <c r="A1555" s="26" t="str">
        <f t="shared" si="48"/>
        <v/>
      </c>
      <c r="B1555" s="26">
        <f>COUNTIFS($A$4:A1555,A1555)</f>
        <v>392</v>
      </c>
      <c r="C1555" s="26" t="str">
        <f t="shared" si="49"/>
        <v>392</v>
      </c>
      <c r="E1555" s="26"/>
      <c r="F1555" s="26"/>
      <c r="H1555" s="27"/>
      <c r="I1555" s="27"/>
      <c r="J1555" s="27"/>
      <c r="K1555" s="27"/>
      <c r="L1555" s="27"/>
      <c r="M1555" s="27"/>
      <c r="N1555" s="40"/>
      <c r="O1555" s="27"/>
      <c r="P1555" s="27"/>
      <c r="Q1555" s="41"/>
      <c r="R1555" s="40"/>
    </row>
    <row r="1556" spans="1:18" ht="30" customHeight="1" x14ac:dyDescent="0.3">
      <c r="A1556" s="26" t="str">
        <f t="shared" si="48"/>
        <v/>
      </c>
      <c r="B1556" s="26">
        <f>COUNTIFS($A$4:A1556,A1556)</f>
        <v>393</v>
      </c>
      <c r="C1556" s="26" t="str">
        <f t="shared" si="49"/>
        <v>393</v>
      </c>
      <c r="E1556" s="26"/>
      <c r="F1556" s="26"/>
      <c r="H1556" s="27"/>
      <c r="I1556" s="27"/>
      <c r="J1556" s="27"/>
      <c r="K1556" s="27"/>
      <c r="L1556" s="27"/>
      <c r="M1556" s="27"/>
      <c r="N1556" s="40"/>
      <c r="O1556" s="27"/>
      <c r="P1556" s="27"/>
      <c r="Q1556" s="41"/>
      <c r="R1556" s="40"/>
    </row>
    <row r="1557" spans="1:18" ht="30" customHeight="1" x14ac:dyDescent="0.3">
      <c r="A1557" s="26" t="str">
        <f t="shared" si="48"/>
        <v/>
      </c>
      <c r="B1557" s="26">
        <f>COUNTIFS($A$4:A1557,A1557)</f>
        <v>394</v>
      </c>
      <c r="C1557" s="26" t="str">
        <f t="shared" si="49"/>
        <v>394</v>
      </c>
      <c r="E1557" s="26"/>
      <c r="F1557" s="26"/>
      <c r="H1557" s="27"/>
      <c r="I1557" s="27"/>
      <c r="J1557" s="27"/>
      <c r="K1557" s="27"/>
      <c r="L1557" s="27"/>
      <c r="M1557" s="27"/>
      <c r="N1557" s="40"/>
      <c r="O1557" s="27"/>
      <c r="P1557" s="27"/>
      <c r="Q1557" s="41"/>
      <c r="R1557" s="40"/>
    </row>
    <row r="1558" spans="1:18" ht="30" customHeight="1" x14ac:dyDescent="0.3">
      <c r="A1558" s="26" t="str">
        <f t="shared" si="48"/>
        <v/>
      </c>
      <c r="B1558" s="26">
        <f>COUNTIFS($A$4:A1558,A1558)</f>
        <v>395</v>
      </c>
      <c r="C1558" s="26" t="str">
        <f t="shared" si="49"/>
        <v>395</v>
      </c>
      <c r="E1558" s="26"/>
      <c r="F1558" s="26"/>
      <c r="H1558" s="27"/>
      <c r="I1558" s="27"/>
      <c r="J1558" s="27"/>
      <c r="K1558" s="27"/>
      <c r="L1558" s="27"/>
      <c r="M1558" s="27"/>
      <c r="N1558" s="40"/>
      <c r="O1558" s="27"/>
      <c r="P1558" s="27"/>
      <c r="Q1558" s="41"/>
      <c r="R1558" s="40"/>
    </row>
    <row r="1559" spans="1:18" ht="30" customHeight="1" x14ac:dyDescent="0.3">
      <c r="A1559" s="26" t="str">
        <f t="shared" si="48"/>
        <v/>
      </c>
      <c r="B1559" s="26">
        <f>COUNTIFS($A$4:A1559,A1559)</f>
        <v>396</v>
      </c>
      <c r="C1559" s="26" t="str">
        <f t="shared" si="49"/>
        <v>396</v>
      </c>
      <c r="E1559" s="26"/>
      <c r="F1559" s="26"/>
      <c r="H1559" s="27"/>
      <c r="I1559" s="27"/>
      <c r="J1559" s="27"/>
      <c r="K1559" s="27"/>
      <c r="L1559" s="27"/>
      <c r="M1559" s="27"/>
      <c r="N1559" s="40"/>
      <c r="O1559" s="27"/>
      <c r="P1559" s="27"/>
      <c r="Q1559" s="41"/>
      <c r="R1559" s="40"/>
    </row>
    <row r="1560" spans="1:18" ht="30" customHeight="1" x14ac:dyDescent="0.3">
      <c r="A1560" s="26" t="str">
        <f t="shared" si="48"/>
        <v/>
      </c>
      <c r="B1560" s="26">
        <f>COUNTIFS($A$4:A1560,A1560)</f>
        <v>397</v>
      </c>
      <c r="C1560" s="26" t="str">
        <f t="shared" si="49"/>
        <v>397</v>
      </c>
      <c r="E1560" s="26"/>
      <c r="F1560" s="26"/>
      <c r="H1560" s="27"/>
      <c r="I1560" s="27"/>
      <c r="J1560" s="27"/>
      <c r="K1560" s="27"/>
      <c r="L1560" s="27"/>
      <c r="M1560" s="27"/>
      <c r="N1560" s="40"/>
      <c r="O1560" s="27"/>
      <c r="P1560" s="27"/>
      <c r="Q1560" s="41"/>
      <c r="R1560" s="40"/>
    </row>
    <row r="1561" spans="1:18" ht="30" customHeight="1" x14ac:dyDescent="0.3">
      <c r="A1561" s="26" t="str">
        <f t="shared" si="48"/>
        <v/>
      </c>
      <c r="B1561" s="26">
        <f>COUNTIFS($A$4:A1561,A1561)</f>
        <v>398</v>
      </c>
      <c r="C1561" s="26" t="str">
        <f t="shared" si="49"/>
        <v>398</v>
      </c>
      <c r="E1561" s="26"/>
      <c r="F1561" s="26"/>
      <c r="H1561" s="27"/>
      <c r="I1561" s="27"/>
      <c r="J1561" s="27"/>
      <c r="K1561" s="27"/>
      <c r="L1561" s="27"/>
      <c r="M1561" s="27"/>
      <c r="N1561" s="40"/>
      <c r="O1561" s="27"/>
      <c r="P1561" s="27"/>
      <c r="Q1561" s="41"/>
      <c r="R1561" s="40"/>
    </row>
    <row r="1562" spans="1:18" ht="30" customHeight="1" x14ac:dyDescent="0.3">
      <c r="A1562" s="26" t="str">
        <f t="shared" si="48"/>
        <v/>
      </c>
      <c r="B1562" s="26">
        <f>COUNTIFS($A$4:A1562,A1562)</f>
        <v>399</v>
      </c>
      <c r="C1562" s="26" t="str">
        <f t="shared" si="49"/>
        <v>399</v>
      </c>
      <c r="E1562" s="26"/>
      <c r="F1562" s="26"/>
      <c r="H1562" s="27"/>
      <c r="I1562" s="27"/>
      <c r="J1562" s="27"/>
      <c r="K1562" s="27"/>
      <c r="L1562" s="27"/>
      <c r="M1562" s="27"/>
      <c r="N1562" s="40"/>
      <c r="O1562" s="27"/>
      <c r="P1562" s="27"/>
      <c r="Q1562" s="41"/>
      <c r="R1562" s="40"/>
    </row>
    <row r="1563" spans="1:18" ht="30" customHeight="1" x14ac:dyDescent="0.3">
      <c r="A1563" s="26" t="str">
        <f t="shared" si="48"/>
        <v/>
      </c>
      <c r="B1563" s="26">
        <f>COUNTIFS($A$4:A1563,A1563)</f>
        <v>400</v>
      </c>
      <c r="C1563" s="26" t="str">
        <f t="shared" si="49"/>
        <v>400</v>
      </c>
      <c r="E1563" s="26"/>
      <c r="F1563" s="26"/>
      <c r="H1563" s="27"/>
      <c r="I1563" s="27"/>
      <c r="J1563" s="27"/>
      <c r="K1563" s="27"/>
      <c r="L1563" s="27"/>
      <c r="M1563" s="27"/>
      <c r="N1563" s="40"/>
      <c r="O1563" s="27"/>
      <c r="P1563" s="27"/>
      <c r="Q1563" s="41"/>
      <c r="R1563" s="40"/>
    </row>
    <row r="1564" spans="1:18" ht="30" customHeight="1" x14ac:dyDescent="0.3">
      <c r="A1564" s="26" t="str">
        <f t="shared" si="48"/>
        <v/>
      </c>
      <c r="B1564" s="26">
        <f>COUNTIFS($A$4:A1564,A1564)</f>
        <v>401</v>
      </c>
      <c r="C1564" s="26" t="str">
        <f t="shared" si="49"/>
        <v>401</v>
      </c>
      <c r="E1564" s="26"/>
      <c r="F1564" s="26"/>
      <c r="H1564" s="27"/>
      <c r="I1564" s="27"/>
      <c r="J1564" s="27"/>
      <c r="K1564" s="27"/>
      <c r="L1564" s="27"/>
      <c r="M1564" s="27"/>
      <c r="N1564" s="40"/>
      <c r="O1564" s="27"/>
      <c r="P1564" s="27"/>
      <c r="Q1564" s="41"/>
      <c r="R1564" s="40"/>
    </row>
    <row r="1565" spans="1:18" ht="30" customHeight="1" x14ac:dyDescent="0.3">
      <c r="A1565" s="26" t="str">
        <f t="shared" si="48"/>
        <v/>
      </c>
      <c r="B1565" s="26">
        <f>COUNTIFS($A$4:A1565,A1565)</f>
        <v>402</v>
      </c>
      <c r="C1565" s="26" t="str">
        <f t="shared" si="49"/>
        <v>402</v>
      </c>
      <c r="E1565" s="26"/>
      <c r="F1565" s="26"/>
      <c r="H1565" s="27"/>
      <c r="I1565" s="27"/>
      <c r="J1565" s="27"/>
      <c r="K1565" s="27"/>
      <c r="L1565" s="27"/>
      <c r="M1565" s="27"/>
      <c r="N1565" s="40"/>
      <c r="O1565" s="27"/>
      <c r="P1565" s="27"/>
      <c r="Q1565" s="41"/>
      <c r="R1565" s="40"/>
    </row>
    <row r="1566" spans="1:18" ht="30" customHeight="1" x14ac:dyDescent="0.3">
      <c r="A1566" s="26" t="str">
        <f t="shared" si="48"/>
        <v/>
      </c>
      <c r="B1566" s="26">
        <f>COUNTIFS($A$4:A1566,A1566)</f>
        <v>403</v>
      </c>
      <c r="C1566" s="26" t="str">
        <f t="shared" si="49"/>
        <v>403</v>
      </c>
      <c r="E1566" s="26"/>
      <c r="F1566" s="26"/>
      <c r="H1566" s="27"/>
      <c r="I1566" s="27"/>
      <c r="J1566" s="27"/>
      <c r="K1566" s="27"/>
      <c r="L1566" s="27"/>
      <c r="M1566" s="27"/>
      <c r="N1566" s="40"/>
      <c r="O1566" s="27"/>
      <c r="P1566" s="27"/>
      <c r="Q1566" s="41"/>
      <c r="R1566" s="40"/>
    </row>
    <row r="1567" spans="1:18" ht="30" customHeight="1" x14ac:dyDescent="0.3">
      <c r="A1567" s="26" t="str">
        <f t="shared" si="48"/>
        <v/>
      </c>
      <c r="B1567" s="26">
        <f>COUNTIFS($A$4:A1567,A1567)</f>
        <v>404</v>
      </c>
      <c r="C1567" s="26" t="str">
        <f t="shared" si="49"/>
        <v>404</v>
      </c>
      <c r="E1567" s="26"/>
      <c r="F1567" s="26"/>
      <c r="H1567" s="27"/>
      <c r="I1567" s="27"/>
      <c r="J1567" s="27"/>
      <c r="K1567" s="27"/>
      <c r="L1567" s="27"/>
      <c r="M1567" s="27"/>
      <c r="N1567" s="40"/>
      <c r="O1567" s="27"/>
      <c r="P1567" s="27"/>
      <c r="Q1567" s="41"/>
      <c r="R1567" s="40"/>
    </row>
    <row r="1568" spans="1:18" ht="30" customHeight="1" x14ac:dyDescent="0.3">
      <c r="A1568" s="26" t="str">
        <f t="shared" si="48"/>
        <v/>
      </c>
      <c r="B1568" s="26">
        <f>COUNTIFS($A$4:A1568,A1568)</f>
        <v>405</v>
      </c>
      <c r="C1568" s="26" t="str">
        <f t="shared" si="49"/>
        <v>405</v>
      </c>
      <c r="E1568" s="26"/>
      <c r="F1568" s="26"/>
      <c r="H1568" s="27"/>
      <c r="I1568" s="27"/>
      <c r="J1568" s="27"/>
      <c r="K1568" s="27"/>
      <c r="L1568" s="27"/>
      <c r="M1568" s="27"/>
      <c r="N1568" s="40"/>
      <c r="O1568" s="27"/>
      <c r="P1568" s="27"/>
      <c r="Q1568" s="41"/>
      <c r="R1568" s="40"/>
    </row>
    <row r="1569" spans="1:18" ht="30" customHeight="1" x14ac:dyDescent="0.3">
      <c r="A1569" s="26" t="str">
        <f t="shared" si="48"/>
        <v/>
      </c>
      <c r="B1569" s="26">
        <f>COUNTIFS($A$4:A1569,A1569)</f>
        <v>406</v>
      </c>
      <c r="C1569" s="26" t="str">
        <f t="shared" si="49"/>
        <v>406</v>
      </c>
      <c r="E1569" s="26"/>
      <c r="F1569" s="26"/>
      <c r="H1569" s="27"/>
      <c r="I1569" s="27"/>
      <c r="J1569" s="27"/>
      <c r="K1569" s="27"/>
      <c r="L1569" s="27"/>
      <c r="M1569" s="27"/>
      <c r="N1569" s="40"/>
      <c r="O1569" s="27"/>
      <c r="P1569" s="27"/>
      <c r="Q1569" s="41"/>
      <c r="R1569" s="40"/>
    </row>
    <row r="1570" spans="1:18" ht="30" customHeight="1" x14ac:dyDescent="0.3">
      <c r="A1570" s="26" t="str">
        <f t="shared" si="48"/>
        <v/>
      </c>
      <c r="B1570" s="26">
        <f>COUNTIFS($A$4:A1570,A1570)</f>
        <v>407</v>
      </c>
      <c r="C1570" s="26" t="str">
        <f t="shared" si="49"/>
        <v>407</v>
      </c>
      <c r="E1570" s="26"/>
      <c r="F1570" s="26"/>
      <c r="H1570" s="27"/>
      <c r="I1570" s="27"/>
      <c r="J1570" s="27"/>
      <c r="K1570" s="27"/>
      <c r="L1570" s="27"/>
      <c r="M1570" s="27"/>
      <c r="N1570" s="40"/>
      <c r="O1570" s="27"/>
      <c r="P1570" s="27"/>
      <c r="Q1570" s="41"/>
      <c r="R1570" s="40"/>
    </row>
    <row r="1571" spans="1:18" ht="30" customHeight="1" x14ac:dyDescent="0.3">
      <c r="A1571" s="26" t="str">
        <f t="shared" si="48"/>
        <v/>
      </c>
      <c r="B1571" s="26">
        <f>COUNTIFS($A$4:A1571,A1571)</f>
        <v>408</v>
      </c>
      <c r="C1571" s="26" t="str">
        <f t="shared" si="49"/>
        <v>408</v>
      </c>
      <c r="E1571" s="26"/>
      <c r="F1571" s="26"/>
      <c r="H1571" s="27"/>
      <c r="I1571" s="27"/>
      <c r="J1571" s="27"/>
      <c r="K1571" s="27"/>
      <c r="L1571" s="27"/>
      <c r="M1571" s="27"/>
      <c r="N1571" s="40"/>
      <c r="O1571" s="27"/>
      <c r="P1571" s="27"/>
      <c r="Q1571" s="41"/>
      <c r="R1571" s="40"/>
    </row>
    <row r="1572" spans="1:18" ht="30" customHeight="1" x14ac:dyDescent="0.3">
      <c r="A1572" s="26" t="str">
        <f t="shared" si="48"/>
        <v/>
      </c>
      <c r="B1572" s="26">
        <f>COUNTIFS($A$4:A1572,A1572)</f>
        <v>409</v>
      </c>
      <c r="C1572" s="26" t="str">
        <f t="shared" si="49"/>
        <v>409</v>
      </c>
      <c r="E1572" s="26"/>
      <c r="F1572" s="26"/>
      <c r="H1572" s="27"/>
      <c r="I1572" s="27"/>
      <c r="J1572" s="27"/>
      <c r="K1572" s="27"/>
      <c r="L1572" s="27"/>
      <c r="M1572" s="27"/>
      <c r="N1572" s="40"/>
      <c r="O1572" s="27"/>
      <c r="P1572" s="27"/>
      <c r="Q1572" s="41"/>
      <c r="R1572" s="40"/>
    </row>
    <row r="1573" spans="1:18" ht="30" customHeight="1" x14ac:dyDescent="0.3">
      <c r="A1573" s="26" t="str">
        <f t="shared" si="48"/>
        <v/>
      </c>
      <c r="B1573" s="26">
        <f>COUNTIFS($A$4:A1573,A1573)</f>
        <v>410</v>
      </c>
      <c r="C1573" s="26" t="str">
        <f t="shared" si="49"/>
        <v>410</v>
      </c>
      <c r="E1573" s="26"/>
      <c r="F1573" s="26"/>
      <c r="H1573" s="27"/>
      <c r="I1573" s="27"/>
      <c r="J1573" s="27"/>
      <c r="K1573" s="27"/>
      <c r="L1573" s="27"/>
      <c r="M1573" s="27"/>
      <c r="N1573" s="40"/>
      <c r="O1573" s="27"/>
      <c r="P1573" s="27"/>
      <c r="Q1573" s="41"/>
      <c r="R1573" s="40"/>
    </row>
    <row r="1574" spans="1:18" ht="30" customHeight="1" x14ac:dyDescent="0.3">
      <c r="A1574" s="26" t="str">
        <f t="shared" si="48"/>
        <v/>
      </c>
      <c r="B1574" s="26">
        <f>COUNTIFS($A$4:A1574,A1574)</f>
        <v>411</v>
      </c>
      <c r="C1574" s="26" t="str">
        <f t="shared" si="49"/>
        <v>411</v>
      </c>
      <c r="E1574" s="26"/>
      <c r="F1574" s="26"/>
      <c r="H1574" s="27"/>
      <c r="I1574" s="27"/>
      <c r="J1574" s="27"/>
      <c r="K1574" s="27"/>
      <c r="L1574" s="27"/>
      <c r="M1574" s="27"/>
      <c r="N1574" s="40"/>
      <c r="O1574" s="27"/>
      <c r="P1574" s="27"/>
      <c r="Q1574" s="41"/>
      <c r="R1574" s="40"/>
    </row>
    <row r="1575" spans="1:18" ht="30" customHeight="1" x14ac:dyDescent="0.3">
      <c r="A1575" s="26" t="str">
        <f t="shared" si="48"/>
        <v/>
      </c>
      <c r="B1575" s="26">
        <f>COUNTIFS($A$4:A1575,A1575)</f>
        <v>412</v>
      </c>
      <c r="C1575" s="26" t="str">
        <f t="shared" si="49"/>
        <v>412</v>
      </c>
      <c r="E1575" s="26"/>
      <c r="F1575" s="26"/>
      <c r="H1575" s="27"/>
      <c r="I1575" s="27"/>
      <c r="J1575" s="27"/>
      <c r="K1575" s="27"/>
      <c r="L1575" s="27"/>
      <c r="M1575" s="27"/>
      <c r="N1575" s="40"/>
      <c r="O1575" s="27"/>
      <c r="P1575" s="27"/>
      <c r="Q1575" s="41"/>
      <c r="R1575" s="40"/>
    </row>
    <row r="1576" spans="1:18" ht="30" customHeight="1" x14ac:dyDescent="0.3">
      <c r="A1576" s="26" t="str">
        <f t="shared" si="48"/>
        <v/>
      </c>
      <c r="B1576" s="26">
        <f>COUNTIFS($A$4:A1576,A1576)</f>
        <v>413</v>
      </c>
      <c r="C1576" s="26" t="str">
        <f t="shared" si="49"/>
        <v>413</v>
      </c>
      <c r="E1576" s="26"/>
      <c r="F1576" s="26"/>
      <c r="H1576" s="27"/>
      <c r="I1576" s="27"/>
      <c r="J1576" s="27"/>
      <c r="K1576" s="27"/>
      <c r="L1576" s="27"/>
      <c r="M1576" s="27"/>
      <c r="N1576" s="40"/>
      <c r="O1576" s="27"/>
      <c r="P1576" s="27"/>
      <c r="Q1576" s="41"/>
      <c r="R1576" s="40"/>
    </row>
    <row r="1577" spans="1:18" ht="30" customHeight="1" x14ac:dyDescent="0.3">
      <c r="A1577" s="26" t="str">
        <f t="shared" si="48"/>
        <v/>
      </c>
      <c r="B1577" s="26">
        <f>COUNTIFS($A$4:A1577,A1577)</f>
        <v>414</v>
      </c>
      <c r="C1577" s="26" t="str">
        <f t="shared" si="49"/>
        <v>414</v>
      </c>
      <c r="E1577" s="26"/>
      <c r="F1577" s="26"/>
      <c r="H1577" s="27"/>
      <c r="I1577" s="27"/>
      <c r="J1577" s="27"/>
      <c r="K1577" s="27"/>
      <c r="L1577" s="27"/>
      <c r="M1577" s="27"/>
      <c r="N1577" s="40"/>
      <c r="O1577" s="27"/>
      <c r="P1577" s="27"/>
      <c r="Q1577" s="41"/>
      <c r="R1577" s="40"/>
    </row>
    <row r="1578" spans="1:18" ht="30" customHeight="1" x14ac:dyDescent="0.3">
      <c r="A1578" s="26" t="str">
        <f t="shared" si="48"/>
        <v/>
      </c>
      <c r="B1578" s="26">
        <f>COUNTIFS($A$4:A1578,A1578)</f>
        <v>415</v>
      </c>
      <c r="C1578" s="26" t="str">
        <f t="shared" si="49"/>
        <v>415</v>
      </c>
      <c r="E1578" s="26"/>
      <c r="F1578" s="26"/>
      <c r="H1578" s="27"/>
      <c r="I1578" s="27"/>
      <c r="J1578" s="27"/>
      <c r="K1578" s="27"/>
      <c r="L1578" s="27"/>
      <c r="M1578" s="27"/>
      <c r="N1578" s="40"/>
      <c r="O1578" s="27"/>
      <c r="P1578" s="27"/>
      <c r="Q1578" s="41"/>
      <c r="R1578" s="40"/>
    </row>
    <row r="1579" spans="1:18" ht="30" customHeight="1" x14ac:dyDescent="0.3">
      <c r="A1579" s="26" t="str">
        <f t="shared" si="48"/>
        <v/>
      </c>
      <c r="B1579" s="26">
        <f>COUNTIFS($A$4:A1579,A1579)</f>
        <v>416</v>
      </c>
      <c r="C1579" s="26" t="str">
        <f t="shared" si="49"/>
        <v>416</v>
      </c>
      <c r="E1579" s="26"/>
      <c r="F1579" s="26"/>
      <c r="H1579" s="27"/>
      <c r="I1579" s="27"/>
      <c r="J1579" s="27"/>
      <c r="K1579" s="27"/>
      <c r="L1579" s="27"/>
      <c r="M1579" s="27"/>
      <c r="N1579" s="40"/>
      <c r="O1579" s="27"/>
      <c r="P1579" s="27"/>
      <c r="Q1579" s="41"/>
      <c r="R1579" s="40"/>
    </row>
    <row r="1580" spans="1:18" ht="30" customHeight="1" x14ac:dyDescent="0.3">
      <c r="A1580" s="26" t="str">
        <f t="shared" si="48"/>
        <v/>
      </c>
      <c r="B1580" s="26">
        <f>COUNTIFS($A$4:A1580,A1580)</f>
        <v>417</v>
      </c>
      <c r="C1580" s="26" t="str">
        <f t="shared" si="49"/>
        <v>417</v>
      </c>
      <c r="E1580" s="26"/>
      <c r="F1580" s="26"/>
      <c r="H1580" s="27"/>
      <c r="I1580" s="27"/>
      <c r="J1580" s="27"/>
      <c r="K1580" s="27"/>
      <c r="L1580" s="27"/>
      <c r="M1580" s="27"/>
      <c r="N1580" s="40"/>
      <c r="O1580" s="27"/>
      <c r="P1580" s="27"/>
      <c r="Q1580" s="41"/>
      <c r="R1580" s="40"/>
    </row>
    <row r="1581" spans="1:18" ht="30" customHeight="1" x14ac:dyDescent="0.3">
      <c r="A1581" s="26" t="str">
        <f t="shared" si="48"/>
        <v/>
      </c>
      <c r="B1581" s="26">
        <f>COUNTIFS($A$4:A1581,A1581)</f>
        <v>418</v>
      </c>
      <c r="C1581" s="26" t="str">
        <f t="shared" si="49"/>
        <v>418</v>
      </c>
      <c r="E1581" s="26"/>
      <c r="F1581" s="26"/>
      <c r="H1581" s="27"/>
      <c r="I1581" s="27"/>
      <c r="J1581" s="27"/>
      <c r="K1581" s="27"/>
      <c r="L1581" s="27"/>
      <c r="M1581" s="27"/>
      <c r="N1581" s="40"/>
      <c r="O1581" s="27"/>
      <c r="P1581" s="27"/>
      <c r="Q1581" s="41"/>
      <c r="R1581" s="40"/>
    </row>
    <row r="1582" spans="1:18" ht="30" customHeight="1" x14ac:dyDescent="0.3">
      <c r="A1582" s="26" t="str">
        <f t="shared" si="48"/>
        <v/>
      </c>
      <c r="B1582" s="26">
        <f>COUNTIFS($A$4:A1582,A1582)</f>
        <v>419</v>
      </c>
      <c r="C1582" s="26" t="str">
        <f t="shared" si="49"/>
        <v>419</v>
      </c>
      <c r="E1582" s="26"/>
      <c r="F1582" s="26"/>
      <c r="H1582" s="27"/>
      <c r="I1582" s="27"/>
      <c r="J1582" s="27"/>
      <c r="K1582" s="27"/>
      <c r="L1582" s="27"/>
      <c r="M1582" s="27"/>
      <c r="N1582" s="40"/>
      <c r="O1582" s="27"/>
      <c r="P1582" s="27"/>
      <c r="Q1582" s="41"/>
      <c r="R1582" s="40"/>
    </row>
    <row r="1583" spans="1:18" ht="30" customHeight="1" x14ac:dyDescent="0.3">
      <c r="A1583" s="26" t="str">
        <f t="shared" si="48"/>
        <v/>
      </c>
      <c r="B1583" s="26">
        <f>COUNTIFS($A$4:A1583,A1583)</f>
        <v>420</v>
      </c>
      <c r="C1583" s="26" t="str">
        <f t="shared" si="49"/>
        <v>420</v>
      </c>
      <c r="E1583" s="26"/>
      <c r="F1583" s="26"/>
      <c r="H1583" s="27"/>
      <c r="I1583" s="27"/>
      <c r="J1583" s="27"/>
      <c r="K1583" s="27"/>
      <c r="L1583" s="27"/>
      <c r="M1583" s="27"/>
      <c r="N1583" s="40"/>
      <c r="O1583" s="27"/>
      <c r="P1583" s="27"/>
      <c r="Q1583" s="41"/>
      <c r="R1583" s="40"/>
    </row>
    <row r="1584" spans="1:18" ht="30" customHeight="1" x14ac:dyDescent="0.3">
      <c r="A1584" s="26" t="str">
        <f t="shared" si="48"/>
        <v/>
      </c>
      <c r="B1584" s="26">
        <f>COUNTIFS($A$4:A1584,A1584)</f>
        <v>421</v>
      </c>
      <c r="C1584" s="26" t="str">
        <f t="shared" si="49"/>
        <v>421</v>
      </c>
      <c r="E1584" s="26"/>
      <c r="F1584" s="26"/>
      <c r="H1584" s="27"/>
      <c r="I1584" s="27"/>
      <c r="J1584" s="27"/>
      <c r="K1584" s="27"/>
      <c r="L1584" s="27"/>
      <c r="M1584" s="27"/>
      <c r="N1584" s="40"/>
      <c r="O1584" s="27"/>
      <c r="P1584" s="27"/>
      <c r="Q1584" s="41"/>
      <c r="R1584" s="40"/>
    </row>
    <row r="1585" spans="1:18" ht="30" customHeight="1" x14ac:dyDescent="0.3">
      <c r="A1585" s="26" t="str">
        <f t="shared" si="48"/>
        <v/>
      </c>
      <c r="B1585" s="26">
        <f>COUNTIFS($A$4:A1585,A1585)</f>
        <v>422</v>
      </c>
      <c r="C1585" s="26" t="str">
        <f t="shared" si="49"/>
        <v>422</v>
      </c>
      <c r="E1585" s="26"/>
      <c r="F1585" s="26"/>
      <c r="H1585" s="27"/>
      <c r="I1585" s="27"/>
      <c r="J1585" s="27"/>
      <c r="K1585" s="27"/>
      <c r="L1585" s="27"/>
      <c r="M1585" s="27"/>
      <c r="N1585" s="40"/>
      <c r="O1585" s="27"/>
      <c r="P1585" s="27"/>
      <c r="Q1585" s="41"/>
      <c r="R1585" s="40"/>
    </row>
    <row r="1586" spans="1:18" ht="30" customHeight="1" x14ac:dyDescent="0.3">
      <c r="A1586" s="26" t="str">
        <f t="shared" si="48"/>
        <v/>
      </c>
      <c r="B1586" s="26">
        <f>COUNTIFS($A$4:A1586,A1586)</f>
        <v>423</v>
      </c>
      <c r="C1586" s="26" t="str">
        <f t="shared" si="49"/>
        <v>423</v>
      </c>
      <c r="E1586" s="26"/>
      <c r="F1586" s="26"/>
      <c r="H1586" s="27"/>
      <c r="I1586" s="27"/>
      <c r="J1586" s="27"/>
      <c r="K1586" s="27"/>
      <c r="L1586" s="27"/>
      <c r="M1586" s="27"/>
      <c r="N1586" s="40"/>
      <c r="O1586" s="27"/>
      <c r="P1586" s="27"/>
      <c r="Q1586" s="41"/>
      <c r="R1586" s="40"/>
    </row>
    <row r="1587" spans="1:18" ht="30" customHeight="1" x14ac:dyDescent="0.3">
      <c r="A1587" s="26" t="str">
        <f t="shared" si="48"/>
        <v/>
      </c>
      <c r="B1587" s="26">
        <f>COUNTIFS($A$4:A1587,A1587)</f>
        <v>424</v>
      </c>
      <c r="C1587" s="26" t="str">
        <f t="shared" si="49"/>
        <v>424</v>
      </c>
      <c r="E1587" s="26"/>
      <c r="F1587" s="26"/>
      <c r="H1587" s="27"/>
      <c r="I1587" s="27"/>
      <c r="J1587" s="27"/>
      <c r="K1587" s="27"/>
      <c r="L1587" s="27"/>
      <c r="M1587" s="27"/>
      <c r="N1587" s="40"/>
      <c r="O1587" s="27"/>
      <c r="P1587" s="27"/>
      <c r="Q1587" s="41"/>
      <c r="R1587" s="40"/>
    </row>
    <row r="1588" spans="1:18" ht="30" customHeight="1" x14ac:dyDescent="0.3">
      <c r="A1588" s="26" t="str">
        <f t="shared" si="48"/>
        <v/>
      </c>
      <c r="B1588" s="26">
        <f>COUNTIFS($A$4:A1588,A1588)</f>
        <v>425</v>
      </c>
      <c r="C1588" s="26" t="str">
        <f t="shared" si="49"/>
        <v>425</v>
      </c>
      <c r="E1588" s="26"/>
      <c r="F1588" s="26"/>
      <c r="H1588" s="27"/>
      <c r="I1588" s="27"/>
      <c r="J1588" s="27"/>
      <c r="K1588" s="27"/>
      <c r="L1588" s="27"/>
      <c r="M1588" s="27"/>
      <c r="N1588" s="40"/>
      <c r="O1588" s="27"/>
      <c r="P1588" s="27"/>
      <c r="Q1588" s="41"/>
      <c r="R1588" s="40"/>
    </row>
    <row r="1589" spans="1:18" ht="30" customHeight="1" x14ac:dyDescent="0.3">
      <c r="A1589" s="26" t="str">
        <f t="shared" si="48"/>
        <v/>
      </c>
      <c r="B1589" s="26">
        <f>COUNTIFS($A$4:A1589,A1589)</f>
        <v>426</v>
      </c>
      <c r="C1589" s="26" t="str">
        <f t="shared" si="49"/>
        <v>426</v>
      </c>
      <c r="E1589" s="26"/>
      <c r="F1589" s="26"/>
      <c r="H1589" s="27"/>
      <c r="I1589" s="27"/>
      <c r="J1589" s="27"/>
      <c r="K1589" s="27"/>
      <c r="L1589" s="27"/>
      <c r="M1589" s="27"/>
      <c r="N1589" s="40"/>
      <c r="O1589" s="27"/>
      <c r="P1589" s="27"/>
      <c r="Q1589" s="41"/>
      <c r="R1589" s="40"/>
    </row>
    <row r="1590" spans="1:18" ht="30" customHeight="1" x14ac:dyDescent="0.3">
      <c r="A1590" s="26" t="str">
        <f t="shared" si="48"/>
        <v/>
      </c>
      <c r="B1590" s="26">
        <f>COUNTIFS($A$4:A1590,A1590)</f>
        <v>427</v>
      </c>
      <c r="C1590" s="26" t="str">
        <f t="shared" si="49"/>
        <v>427</v>
      </c>
      <c r="E1590" s="26"/>
      <c r="F1590" s="26"/>
      <c r="H1590" s="27"/>
      <c r="I1590" s="27"/>
      <c r="J1590" s="27"/>
      <c r="K1590" s="27"/>
      <c r="L1590" s="27"/>
      <c r="M1590" s="27"/>
      <c r="N1590" s="40"/>
      <c r="O1590" s="27"/>
      <c r="P1590" s="27"/>
      <c r="Q1590" s="41"/>
      <c r="R1590" s="40"/>
    </row>
    <row r="1591" spans="1:18" ht="30" customHeight="1" x14ac:dyDescent="0.3">
      <c r="A1591" s="26" t="str">
        <f t="shared" si="48"/>
        <v/>
      </c>
      <c r="B1591" s="26">
        <f>COUNTIFS($A$4:A1591,A1591)</f>
        <v>428</v>
      </c>
      <c r="C1591" s="26" t="str">
        <f t="shared" si="49"/>
        <v>428</v>
      </c>
      <c r="E1591" s="26"/>
      <c r="F1591" s="26"/>
      <c r="H1591" s="27"/>
      <c r="I1591" s="27"/>
      <c r="J1591" s="27"/>
      <c r="K1591" s="27"/>
      <c r="L1591" s="27"/>
      <c r="M1591" s="27"/>
      <c r="N1591" s="40"/>
      <c r="O1591" s="27"/>
      <c r="P1591" s="27"/>
      <c r="Q1591" s="41"/>
      <c r="R1591" s="40"/>
    </row>
    <row r="1592" spans="1:18" ht="30" customHeight="1" x14ac:dyDescent="0.3">
      <c r="A1592" s="26" t="str">
        <f t="shared" si="48"/>
        <v/>
      </c>
      <c r="B1592" s="26">
        <f>COUNTIFS($A$4:A1592,A1592)</f>
        <v>429</v>
      </c>
      <c r="C1592" s="26" t="str">
        <f t="shared" si="49"/>
        <v>429</v>
      </c>
      <c r="E1592" s="26"/>
      <c r="F1592" s="26"/>
      <c r="H1592" s="27"/>
      <c r="I1592" s="27"/>
      <c r="J1592" s="27"/>
      <c r="K1592" s="27"/>
      <c r="L1592" s="27"/>
      <c r="M1592" s="27"/>
      <c r="N1592" s="40"/>
      <c r="O1592" s="27"/>
      <c r="P1592" s="27"/>
      <c r="Q1592" s="41"/>
      <c r="R1592" s="40"/>
    </row>
    <row r="1593" spans="1:18" ht="30" customHeight="1" x14ac:dyDescent="0.3">
      <c r="A1593" s="26" t="str">
        <f t="shared" si="48"/>
        <v/>
      </c>
      <c r="B1593" s="26">
        <f>COUNTIFS($A$4:A1593,A1593)</f>
        <v>430</v>
      </c>
      <c r="C1593" s="26" t="str">
        <f t="shared" si="49"/>
        <v>430</v>
      </c>
      <c r="E1593" s="26"/>
      <c r="F1593" s="26"/>
      <c r="H1593" s="27"/>
      <c r="I1593" s="27"/>
      <c r="J1593" s="27"/>
      <c r="K1593" s="27"/>
      <c r="L1593" s="27"/>
      <c r="M1593" s="27"/>
      <c r="N1593" s="40"/>
      <c r="O1593" s="27"/>
      <c r="P1593" s="27"/>
      <c r="Q1593" s="41"/>
      <c r="R1593" s="40"/>
    </row>
    <row r="1594" spans="1:18" ht="30" customHeight="1" x14ac:dyDescent="0.3">
      <c r="A1594" s="26" t="str">
        <f t="shared" si="48"/>
        <v/>
      </c>
      <c r="B1594" s="26">
        <f>COUNTIFS($A$4:A1594,A1594)</f>
        <v>431</v>
      </c>
      <c r="C1594" s="26" t="str">
        <f t="shared" si="49"/>
        <v>431</v>
      </c>
      <c r="E1594" s="26"/>
      <c r="F1594" s="26"/>
      <c r="H1594" s="27"/>
      <c r="I1594" s="27"/>
      <c r="J1594" s="27"/>
      <c r="K1594" s="27"/>
      <c r="L1594" s="27"/>
      <c r="M1594" s="27"/>
      <c r="N1594" s="40"/>
      <c r="O1594" s="27"/>
      <c r="P1594" s="27"/>
      <c r="Q1594" s="41"/>
      <c r="R1594" s="40"/>
    </row>
    <row r="1595" spans="1:18" ht="30" customHeight="1" x14ac:dyDescent="0.3">
      <c r="A1595" s="26" t="str">
        <f t="shared" si="48"/>
        <v/>
      </c>
      <c r="B1595" s="26">
        <f>COUNTIFS($A$4:A1595,A1595)</f>
        <v>432</v>
      </c>
      <c r="C1595" s="26" t="str">
        <f t="shared" si="49"/>
        <v>432</v>
      </c>
      <c r="E1595" s="26"/>
      <c r="F1595" s="26"/>
      <c r="H1595" s="27"/>
      <c r="I1595" s="27"/>
      <c r="J1595" s="27"/>
      <c r="K1595" s="27"/>
      <c r="L1595" s="27"/>
      <c r="M1595" s="27"/>
      <c r="N1595" s="40"/>
      <c r="O1595" s="27"/>
      <c r="P1595" s="27"/>
      <c r="Q1595" s="41"/>
      <c r="R1595" s="40"/>
    </row>
    <row r="1596" spans="1:18" ht="30" customHeight="1" x14ac:dyDescent="0.3">
      <c r="A1596" s="26" t="str">
        <f t="shared" si="48"/>
        <v/>
      </c>
      <c r="B1596" s="26">
        <f>COUNTIFS($A$4:A1596,A1596)</f>
        <v>433</v>
      </c>
      <c r="C1596" s="26" t="str">
        <f t="shared" si="49"/>
        <v>433</v>
      </c>
      <c r="E1596" s="26"/>
      <c r="F1596" s="26"/>
      <c r="H1596" s="27"/>
      <c r="I1596" s="27"/>
      <c r="J1596" s="27"/>
      <c r="K1596" s="27"/>
      <c r="L1596" s="27"/>
      <c r="M1596" s="27"/>
      <c r="N1596" s="40"/>
      <c r="O1596" s="27"/>
      <c r="P1596" s="27"/>
      <c r="Q1596" s="41"/>
      <c r="R1596" s="40"/>
    </row>
    <row r="1597" spans="1:18" ht="30" customHeight="1" x14ac:dyDescent="0.3">
      <c r="A1597" s="26" t="str">
        <f t="shared" si="48"/>
        <v/>
      </c>
      <c r="B1597" s="26">
        <f>COUNTIFS($A$4:A1597,A1597)</f>
        <v>434</v>
      </c>
      <c r="C1597" s="26" t="str">
        <f t="shared" si="49"/>
        <v>434</v>
      </c>
      <c r="E1597" s="26"/>
      <c r="F1597" s="26"/>
      <c r="H1597" s="27"/>
      <c r="I1597" s="27"/>
      <c r="J1597" s="27"/>
      <c r="K1597" s="27"/>
      <c r="L1597" s="27"/>
      <c r="M1597" s="27"/>
      <c r="N1597" s="40"/>
      <c r="O1597" s="27"/>
      <c r="P1597" s="27"/>
      <c r="Q1597" s="41"/>
      <c r="R1597" s="40"/>
    </row>
    <row r="1598" spans="1:18" ht="30" customHeight="1" x14ac:dyDescent="0.3">
      <c r="A1598" s="26" t="str">
        <f t="shared" si="48"/>
        <v/>
      </c>
      <c r="B1598" s="26">
        <f>COUNTIFS($A$4:A1598,A1598)</f>
        <v>435</v>
      </c>
      <c r="C1598" s="26" t="str">
        <f t="shared" si="49"/>
        <v>435</v>
      </c>
      <c r="E1598" s="26"/>
      <c r="F1598" s="26"/>
      <c r="H1598" s="27"/>
      <c r="I1598" s="27"/>
      <c r="J1598" s="27"/>
      <c r="K1598" s="27"/>
      <c r="L1598" s="27"/>
      <c r="M1598" s="27"/>
      <c r="N1598" s="40"/>
      <c r="O1598" s="27"/>
      <c r="P1598" s="27"/>
      <c r="Q1598" s="41"/>
      <c r="R1598" s="40"/>
    </row>
    <row r="1599" spans="1:18" ht="30" customHeight="1" x14ac:dyDescent="0.3">
      <c r="A1599" s="26" t="str">
        <f t="shared" si="48"/>
        <v/>
      </c>
      <c r="B1599" s="26">
        <f>COUNTIFS($A$4:A1599,A1599)</f>
        <v>436</v>
      </c>
      <c r="C1599" s="26" t="str">
        <f t="shared" si="49"/>
        <v>436</v>
      </c>
      <c r="E1599" s="26"/>
      <c r="F1599" s="26"/>
      <c r="H1599" s="27"/>
      <c r="I1599" s="27"/>
      <c r="J1599" s="27"/>
      <c r="K1599" s="27"/>
      <c r="L1599" s="27"/>
      <c r="M1599" s="27"/>
      <c r="N1599" s="40"/>
      <c r="O1599" s="27"/>
      <c r="P1599" s="27"/>
      <c r="Q1599" s="41"/>
      <c r="R1599" s="40"/>
    </row>
    <row r="1600" spans="1:18" ht="30" customHeight="1" x14ac:dyDescent="0.3">
      <c r="A1600" s="26" t="str">
        <f t="shared" si="48"/>
        <v/>
      </c>
      <c r="B1600" s="26">
        <f>COUNTIFS($A$4:A1600,A1600)</f>
        <v>437</v>
      </c>
      <c r="C1600" s="26" t="str">
        <f t="shared" si="49"/>
        <v>437</v>
      </c>
      <c r="E1600" s="26"/>
      <c r="F1600" s="26"/>
      <c r="H1600" s="27"/>
      <c r="I1600" s="27"/>
      <c r="J1600" s="27"/>
      <c r="K1600" s="27"/>
      <c r="L1600" s="27"/>
      <c r="M1600" s="27"/>
      <c r="N1600" s="40"/>
      <c r="O1600" s="27"/>
      <c r="P1600" s="27"/>
      <c r="Q1600" s="41"/>
      <c r="R1600" s="40"/>
    </row>
    <row r="1601" spans="1:18" ht="30" customHeight="1" x14ac:dyDescent="0.3">
      <c r="A1601" s="26" t="str">
        <f t="shared" si="48"/>
        <v/>
      </c>
      <c r="B1601" s="26">
        <f>COUNTIFS($A$4:A1601,A1601)</f>
        <v>438</v>
      </c>
      <c r="C1601" s="26" t="str">
        <f t="shared" si="49"/>
        <v>438</v>
      </c>
      <c r="E1601" s="26"/>
      <c r="F1601" s="26"/>
      <c r="H1601" s="27"/>
      <c r="I1601" s="27"/>
      <c r="J1601" s="27"/>
      <c r="K1601" s="27"/>
      <c r="L1601" s="27"/>
      <c r="M1601" s="27"/>
      <c r="N1601" s="40"/>
      <c r="O1601" s="27"/>
      <c r="P1601" s="27"/>
      <c r="Q1601" s="41"/>
      <c r="R1601" s="40"/>
    </row>
    <row r="1602" spans="1:18" ht="30" customHeight="1" x14ac:dyDescent="0.3">
      <c r="A1602" s="26" t="str">
        <f t="shared" si="48"/>
        <v/>
      </c>
      <c r="B1602" s="26">
        <f>COUNTIFS($A$4:A1602,A1602)</f>
        <v>439</v>
      </c>
      <c r="C1602" s="26" t="str">
        <f t="shared" si="49"/>
        <v>439</v>
      </c>
      <c r="E1602" s="26"/>
      <c r="F1602" s="26"/>
      <c r="H1602" s="27"/>
      <c r="I1602" s="27"/>
      <c r="J1602" s="27"/>
      <c r="K1602" s="27"/>
      <c r="L1602" s="27"/>
      <c r="M1602" s="27"/>
      <c r="N1602" s="40"/>
      <c r="O1602" s="27"/>
      <c r="P1602" s="27"/>
      <c r="Q1602" s="41"/>
      <c r="R1602" s="40"/>
    </row>
    <row r="1603" spans="1:18" ht="30" customHeight="1" x14ac:dyDescent="0.3">
      <c r="A1603" s="26" t="str">
        <f t="shared" si="48"/>
        <v/>
      </c>
      <c r="B1603" s="26">
        <f>COUNTIFS($A$4:A1603,A1603)</f>
        <v>440</v>
      </c>
      <c r="C1603" s="26" t="str">
        <f t="shared" si="49"/>
        <v>440</v>
      </c>
      <c r="E1603" s="26"/>
      <c r="F1603" s="26"/>
      <c r="H1603" s="27"/>
      <c r="I1603" s="27"/>
      <c r="J1603" s="27"/>
      <c r="K1603" s="27"/>
      <c r="L1603" s="27"/>
      <c r="M1603" s="27"/>
      <c r="N1603" s="40"/>
      <c r="O1603" s="27"/>
      <c r="P1603" s="27"/>
      <c r="Q1603" s="41"/>
      <c r="R1603" s="40"/>
    </row>
    <row r="1604" spans="1:18" ht="30" customHeight="1" x14ac:dyDescent="0.3">
      <c r="A1604" s="26" t="str">
        <f t="shared" si="48"/>
        <v/>
      </c>
      <c r="B1604" s="26">
        <f>COUNTIFS($A$4:A1604,A1604)</f>
        <v>441</v>
      </c>
      <c r="C1604" s="26" t="str">
        <f t="shared" si="49"/>
        <v>441</v>
      </c>
      <c r="E1604" s="26"/>
      <c r="F1604" s="26"/>
      <c r="H1604" s="27"/>
      <c r="I1604" s="27"/>
      <c r="J1604" s="27"/>
      <c r="K1604" s="27"/>
      <c r="L1604" s="27"/>
      <c r="M1604" s="27"/>
      <c r="N1604" s="40"/>
      <c r="O1604" s="27"/>
      <c r="P1604" s="27"/>
      <c r="Q1604" s="41"/>
      <c r="R1604" s="40"/>
    </row>
    <row r="1605" spans="1:18" ht="30" customHeight="1" x14ac:dyDescent="0.3">
      <c r="A1605" s="26" t="str">
        <f t="shared" si="48"/>
        <v/>
      </c>
      <c r="B1605" s="26">
        <f>COUNTIFS($A$4:A1605,A1605)</f>
        <v>442</v>
      </c>
      <c r="C1605" s="26" t="str">
        <f t="shared" si="49"/>
        <v>442</v>
      </c>
      <c r="E1605" s="26"/>
      <c r="F1605" s="26"/>
      <c r="H1605" s="27"/>
      <c r="I1605" s="27"/>
      <c r="J1605" s="27"/>
      <c r="K1605" s="27"/>
      <c r="L1605" s="27"/>
      <c r="M1605" s="27"/>
      <c r="N1605" s="40"/>
      <c r="O1605" s="27"/>
      <c r="P1605" s="27"/>
      <c r="Q1605" s="41"/>
      <c r="R1605" s="40"/>
    </row>
    <row r="1606" spans="1:18" ht="30" customHeight="1" x14ac:dyDescent="0.3">
      <c r="A1606" s="26" t="str">
        <f t="shared" si="48"/>
        <v/>
      </c>
      <c r="B1606" s="26">
        <f>COUNTIFS($A$4:A1606,A1606)</f>
        <v>443</v>
      </c>
      <c r="C1606" s="26" t="str">
        <f t="shared" si="49"/>
        <v>443</v>
      </c>
      <c r="E1606" s="26"/>
      <c r="F1606" s="26"/>
      <c r="H1606" s="27"/>
      <c r="I1606" s="27"/>
      <c r="J1606" s="27"/>
      <c r="K1606" s="27"/>
      <c r="L1606" s="27"/>
      <c r="M1606" s="27"/>
      <c r="N1606" s="40"/>
      <c r="O1606" s="27"/>
      <c r="P1606" s="27"/>
      <c r="Q1606" s="41"/>
      <c r="R1606" s="40"/>
    </row>
    <row r="1607" spans="1:18" ht="30" customHeight="1" x14ac:dyDescent="0.3">
      <c r="A1607" s="26" t="str">
        <f t="shared" si="48"/>
        <v/>
      </c>
      <c r="B1607" s="26">
        <f>COUNTIFS($A$4:A1607,A1607)</f>
        <v>444</v>
      </c>
      <c r="C1607" s="26" t="str">
        <f t="shared" si="49"/>
        <v>444</v>
      </c>
      <c r="E1607" s="26"/>
      <c r="F1607" s="26"/>
      <c r="H1607" s="27"/>
      <c r="I1607" s="27"/>
      <c r="J1607" s="27"/>
      <c r="K1607" s="27"/>
      <c r="L1607" s="27"/>
      <c r="M1607" s="27"/>
      <c r="N1607" s="40"/>
      <c r="O1607" s="27"/>
      <c r="P1607" s="27"/>
      <c r="Q1607" s="41"/>
      <c r="R1607" s="40"/>
    </row>
    <row r="1608" spans="1:18" ht="30" customHeight="1" x14ac:dyDescent="0.3">
      <c r="A1608" s="26" t="str">
        <f t="shared" si="48"/>
        <v/>
      </c>
      <c r="B1608" s="26">
        <f>COUNTIFS($A$4:A1608,A1608)</f>
        <v>445</v>
      </c>
      <c r="C1608" s="26" t="str">
        <f t="shared" si="49"/>
        <v>445</v>
      </c>
      <c r="E1608" s="26"/>
      <c r="F1608" s="26"/>
      <c r="H1608" s="27"/>
      <c r="I1608" s="27"/>
      <c r="J1608" s="27"/>
      <c r="K1608" s="27"/>
      <c r="L1608" s="27"/>
      <c r="M1608" s="27"/>
      <c r="N1608" s="40"/>
      <c r="O1608" s="27"/>
      <c r="P1608" s="27"/>
      <c r="Q1608" s="41"/>
      <c r="R1608" s="40"/>
    </row>
    <row r="1609" spans="1:18" ht="30" customHeight="1" x14ac:dyDescent="0.3">
      <c r="A1609" s="26" t="str">
        <f t="shared" si="48"/>
        <v/>
      </c>
      <c r="B1609" s="26">
        <f>COUNTIFS($A$4:A1609,A1609)</f>
        <v>446</v>
      </c>
      <c r="C1609" s="26" t="str">
        <f t="shared" si="49"/>
        <v>446</v>
      </c>
      <c r="E1609" s="26"/>
      <c r="F1609" s="26"/>
      <c r="H1609" s="27"/>
      <c r="I1609" s="27"/>
      <c r="J1609" s="27"/>
      <c r="K1609" s="27"/>
      <c r="L1609" s="27"/>
      <c r="M1609" s="27"/>
      <c r="N1609" s="40"/>
      <c r="O1609" s="27"/>
      <c r="P1609" s="27"/>
      <c r="Q1609" s="41"/>
      <c r="R1609" s="40"/>
    </row>
    <row r="1610" spans="1:18" ht="30" customHeight="1" x14ac:dyDescent="0.3">
      <c r="A1610" s="26" t="str">
        <f t="shared" si="48"/>
        <v/>
      </c>
      <c r="B1610" s="26">
        <f>COUNTIFS($A$4:A1610,A1610)</f>
        <v>447</v>
      </c>
      <c r="C1610" s="26" t="str">
        <f t="shared" si="49"/>
        <v>447</v>
      </c>
      <c r="E1610" s="26"/>
      <c r="F1610" s="26"/>
      <c r="H1610" s="27"/>
      <c r="I1610" s="27"/>
      <c r="J1610" s="27"/>
      <c r="K1610" s="27"/>
      <c r="L1610" s="27"/>
      <c r="M1610" s="27"/>
      <c r="N1610" s="40"/>
      <c r="O1610" s="27"/>
      <c r="P1610" s="27"/>
      <c r="Q1610" s="41"/>
      <c r="R1610" s="40"/>
    </row>
    <row r="1611" spans="1:18" ht="30" customHeight="1" x14ac:dyDescent="0.3">
      <c r="A1611" s="26" t="str">
        <f t="shared" si="48"/>
        <v/>
      </c>
      <c r="B1611" s="26">
        <f>COUNTIFS($A$4:A1611,A1611)</f>
        <v>448</v>
      </c>
      <c r="C1611" s="26" t="str">
        <f t="shared" si="49"/>
        <v>448</v>
      </c>
      <c r="E1611" s="26"/>
      <c r="F1611" s="26"/>
      <c r="H1611" s="27"/>
      <c r="I1611" s="27"/>
      <c r="J1611" s="27"/>
      <c r="K1611" s="27"/>
      <c r="L1611" s="27"/>
      <c r="M1611" s="27"/>
      <c r="N1611" s="40"/>
      <c r="O1611" s="27"/>
      <c r="P1611" s="27"/>
      <c r="Q1611" s="41"/>
      <c r="R1611" s="40"/>
    </row>
    <row r="1612" spans="1:18" ht="30" customHeight="1" x14ac:dyDescent="0.3">
      <c r="A1612" s="26" t="str">
        <f t="shared" si="48"/>
        <v/>
      </c>
      <c r="B1612" s="26">
        <f>COUNTIFS($A$4:A1612,A1612)</f>
        <v>449</v>
      </c>
      <c r="C1612" s="26" t="str">
        <f t="shared" si="49"/>
        <v>449</v>
      </c>
      <c r="E1612" s="26"/>
      <c r="F1612" s="26"/>
      <c r="H1612" s="27"/>
      <c r="I1612" s="27"/>
      <c r="J1612" s="27"/>
      <c r="K1612" s="27"/>
      <c r="L1612" s="27"/>
      <c r="M1612" s="27"/>
      <c r="N1612" s="40"/>
      <c r="O1612" s="27"/>
      <c r="P1612" s="27"/>
      <c r="Q1612" s="41"/>
      <c r="R1612" s="40"/>
    </row>
    <row r="1613" spans="1:18" ht="30" customHeight="1" x14ac:dyDescent="0.3">
      <c r="A1613" s="26" t="str">
        <f t="shared" si="48"/>
        <v/>
      </c>
      <c r="B1613" s="26">
        <f>COUNTIFS($A$4:A1613,A1613)</f>
        <v>450</v>
      </c>
      <c r="C1613" s="26" t="str">
        <f t="shared" si="49"/>
        <v>450</v>
      </c>
      <c r="E1613" s="26"/>
      <c r="F1613" s="26"/>
      <c r="H1613" s="27"/>
      <c r="I1613" s="27"/>
      <c r="J1613" s="27"/>
      <c r="K1613" s="27"/>
      <c r="L1613" s="27"/>
      <c r="M1613" s="27"/>
      <c r="N1613" s="40"/>
      <c r="O1613" s="27"/>
      <c r="P1613" s="27"/>
      <c r="Q1613" s="41"/>
      <c r="R1613" s="40"/>
    </row>
    <row r="1614" spans="1:18" ht="30" customHeight="1" x14ac:dyDescent="0.3">
      <c r="A1614" s="26" t="str">
        <f t="shared" si="48"/>
        <v/>
      </c>
      <c r="B1614" s="26">
        <f>COUNTIFS($A$4:A1614,A1614)</f>
        <v>451</v>
      </c>
      <c r="C1614" s="26" t="str">
        <f t="shared" si="49"/>
        <v>451</v>
      </c>
      <c r="E1614" s="26"/>
      <c r="F1614" s="26"/>
      <c r="H1614" s="27"/>
      <c r="I1614" s="27"/>
      <c r="J1614" s="27"/>
      <c r="K1614" s="27"/>
      <c r="L1614" s="27"/>
      <c r="M1614" s="27"/>
      <c r="N1614" s="40"/>
      <c r="O1614" s="27"/>
      <c r="P1614" s="27"/>
      <c r="Q1614" s="41"/>
      <c r="R1614" s="40"/>
    </row>
    <row r="1615" spans="1:18" ht="30" customHeight="1" x14ac:dyDescent="0.3">
      <c r="A1615" s="26" t="str">
        <f t="shared" si="48"/>
        <v/>
      </c>
      <c r="B1615" s="26">
        <f>COUNTIFS($A$4:A1615,A1615)</f>
        <v>452</v>
      </c>
      <c r="C1615" s="26" t="str">
        <f t="shared" si="49"/>
        <v>452</v>
      </c>
      <c r="E1615" s="26"/>
      <c r="F1615" s="26"/>
      <c r="H1615" s="27"/>
      <c r="I1615" s="27"/>
      <c r="J1615" s="27"/>
      <c r="K1615" s="27"/>
      <c r="L1615" s="27"/>
      <c r="M1615" s="27"/>
      <c r="N1615" s="40"/>
      <c r="O1615" s="27"/>
      <c r="P1615" s="27"/>
      <c r="Q1615" s="41"/>
      <c r="R1615" s="40"/>
    </row>
    <row r="1616" spans="1:18" ht="30" customHeight="1" x14ac:dyDescent="0.3">
      <c r="A1616" s="26" t="str">
        <f t="shared" si="48"/>
        <v/>
      </c>
      <c r="B1616" s="26">
        <f>COUNTIFS($A$4:A1616,A1616)</f>
        <v>453</v>
      </c>
      <c r="C1616" s="26" t="str">
        <f t="shared" si="49"/>
        <v>453</v>
      </c>
      <c r="E1616" s="26"/>
      <c r="F1616" s="26"/>
      <c r="H1616" s="27"/>
      <c r="I1616" s="27"/>
      <c r="J1616" s="27"/>
      <c r="K1616" s="27"/>
      <c r="L1616" s="27"/>
      <c r="M1616" s="27"/>
      <c r="N1616" s="40"/>
      <c r="O1616" s="27"/>
      <c r="P1616" s="27"/>
      <c r="Q1616" s="41"/>
      <c r="R1616" s="40"/>
    </row>
    <row r="1617" spans="1:18" ht="30" customHeight="1" x14ac:dyDescent="0.3">
      <c r="A1617" s="26" t="str">
        <f t="shared" ref="A1617:A1680" si="50">I1617&amp;H1617</f>
        <v/>
      </c>
      <c r="B1617" s="26">
        <f>COUNTIFS($A$4:A1617,A1617)</f>
        <v>454</v>
      </c>
      <c r="C1617" s="26" t="str">
        <f t="shared" ref="C1617:C1680" si="51">A1617&amp;B1617</f>
        <v>454</v>
      </c>
      <c r="E1617" s="26"/>
      <c r="F1617" s="26"/>
      <c r="H1617" s="27"/>
      <c r="I1617" s="27"/>
      <c r="J1617" s="27"/>
      <c r="K1617" s="27"/>
      <c r="L1617" s="27"/>
      <c r="M1617" s="27"/>
      <c r="N1617" s="40"/>
      <c r="O1617" s="27"/>
      <c r="P1617" s="27"/>
      <c r="Q1617" s="41"/>
      <c r="R1617" s="40"/>
    </row>
    <row r="1618" spans="1:18" ht="30" customHeight="1" x14ac:dyDescent="0.3">
      <c r="A1618" s="26" t="str">
        <f t="shared" si="50"/>
        <v/>
      </c>
      <c r="B1618" s="26">
        <f>COUNTIFS($A$4:A1618,A1618)</f>
        <v>455</v>
      </c>
      <c r="C1618" s="26" t="str">
        <f t="shared" si="51"/>
        <v>455</v>
      </c>
      <c r="E1618" s="26"/>
      <c r="F1618" s="26"/>
      <c r="H1618" s="27"/>
      <c r="I1618" s="27"/>
      <c r="J1618" s="27"/>
      <c r="K1618" s="27"/>
      <c r="L1618" s="27"/>
      <c r="M1618" s="27"/>
      <c r="N1618" s="40"/>
      <c r="O1618" s="27"/>
      <c r="P1618" s="27"/>
      <c r="Q1618" s="41"/>
      <c r="R1618" s="40"/>
    </row>
    <row r="1619" spans="1:18" ht="30" customHeight="1" x14ac:dyDescent="0.3">
      <c r="A1619" s="26" t="str">
        <f t="shared" si="50"/>
        <v/>
      </c>
      <c r="B1619" s="26">
        <f>COUNTIFS($A$4:A1619,A1619)</f>
        <v>456</v>
      </c>
      <c r="C1619" s="26" t="str">
        <f t="shared" si="51"/>
        <v>456</v>
      </c>
      <c r="E1619" s="26"/>
      <c r="F1619" s="26"/>
      <c r="H1619" s="27"/>
      <c r="I1619" s="27"/>
      <c r="J1619" s="27"/>
      <c r="K1619" s="27"/>
      <c r="L1619" s="27"/>
      <c r="M1619" s="27"/>
      <c r="N1619" s="40"/>
      <c r="O1619" s="27"/>
      <c r="P1619" s="27"/>
      <c r="Q1619" s="41"/>
      <c r="R1619" s="40"/>
    </row>
    <row r="1620" spans="1:18" ht="30" customHeight="1" x14ac:dyDescent="0.3">
      <c r="A1620" s="26" t="str">
        <f t="shared" si="50"/>
        <v/>
      </c>
      <c r="B1620" s="26">
        <f>COUNTIFS($A$4:A1620,A1620)</f>
        <v>457</v>
      </c>
      <c r="C1620" s="26" t="str">
        <f t="shared" si="51"/>
        <v>457</v>
      </c>
      <c r="E1620" s="26"/>
      <c r="F1620" s="26"/>
      <c r="H1620" s="27"/>
      <c r="I1620" s="27"/>
      <c r="J1620" s="27"/>
      <c r="K1620" s="27"/>
      <c r="L1620" s="27"/>
      <c r="M1620" s="27"/>
      <c r="N1620" s="40"/>
      <c r="O1620" s="27"/>
      <c r="P1620" s="27"/>
      <c r="Q1620" s="41"/>
      <c r="R1620" s="40"/>
    </row>
    <row r="1621" spans="1:18" ht="30" customHeight="1" x14ac:dyDescent="0.3">
      <c r="A1621" s="26" t="str">
        <f t="shared" si="50"/>
        <v/>
      </c>
      <c r="B1621" s="26">
        <f>COUNTIFS($A$4:A1621,A1621)</f>
        <v>458</v>
      </c>
      <c r="C1621" s="26" t="str">
        <f t="shared" si="51"/>
        <v>458</v>
      </c>
      <c r="E1621" s="26"/>
      <c r="F1621" s="26"/>
      <c r="H1621" s="27"/>
      <c r="I1621" s="27"/>
      <c r="J1621" s="27"/>
      <c r="K1621" s="27"/>
      <c r="L1621" s="27"/>
      <c r="M1621" s="27"/>
      <c r="N1621" s="40"/>
      <c r="O1621" s="27"/>
      <c r="P1621" s="27"/>
      <c r="Q1621" s="41"/>
      <c r="R1621" s="40"/>
    </row>
    <row r="1622" spans="1:18" ht="30" customHeight="1" x14ac:dyDescent="0.3">
      <c r="A1622" s="26" t="str">
        <f t="shared" si="50"/>
        <v/>
      </c>
      <c r="B1622" s="26">
        <f>COUNTIFS($A$4:A1622,A1622)</f>
        <v>459</v>
      </c>
      <c r="C1622" s="26" t="str">
        <f t="shared" si="51"/>
        <v>459</v>
      </c>
      <c r="E1622" s="26"/>
      <c r="F1622" s="26"/>
      <c r="H1622" s="27"/>
      <c r="I1622" s="27"/>
      <c r="J1622" s="27"/>
      <c r="K1622" s="27"/>
      <c r="L1622" s="27"/>
      <c r="M1622" s="27"/>
      <c r="N1622" s="40"/>
      <c r="O1622" s="27"/>
      <c r="P1622" s="27"/>
      <c r="Q1622" s="41"/>
      <c r="R1622" s="40"/>
    </row>
    <row r="1623" spans="1:18" ht="30" customHeight="1" x14ac:dyDescent="0.3">
      <c r="A1623" s="26" t="str">
        <f t="shared" si="50"/>
        <v/>
      </c>
      <c r="B1623" s="26">
        <f>COUNTIFS($A$4:A1623,A1623)</f>
        <v>460</v>
      </c>
      <c r="C1623" s="26" t="str">
        <f t="shared" si="51"/>
        <v>460</v>
      </c>
      <c r="E1623" s="26"/>
      <c r="F1623" s="26"/>
      <c r="H1623" s="27"/>
      <c r="I1623" s="27"/>
      <c r="J1623" s="27"/>
      <c r="K1623" s="27"/>
      <c r="L1623" s="27"/>
      <c r="M1623" s="27"/>
      <c r="N1623" s="40"/>
      <c r="O1623" s="27"/>
      <c r="P1623" s="27"/>
      <c r="Q1623" s="41"/>
      <c r="R1623" s="40"/>
    </row>
    <row r="1624" spans="1:18" ht="30" customHeight="1" x14ac:dyDescent="0.3">
      <c r="A1624" s="26" t="str">
        <f t="shared" si="50"/>
        <v/>
      </c>
      <c r="B1624" s="26">
        <f>COUNTIFS($A$4:A1624,A1624)</f>
        <v>461</v>
      </c>
      <c r="C1624" s="26" t="str">
        <f t="shared" si="51"/>
        <v>461</v>
      </c>
      <c r="E1624" s="26"/>
      <c r="F1624" s="26"/>
      <c r="H1624" s="27"/>
      <c r="I1624" s="27"/>
      <c r="J1624" s="27"/>
      <c r="K1624" s="27"/>
      <c r="L1624" s="27"/>
      <c r="M1624" s="27"/>
      <c r="N1624" s="40"/>
      <c r="O1624" s="27"/>
      <c r="P1624" s="27"/>
      <c r="Q1624" s="41"/>
      <c r="R1624" s="40"/>
    </row>
    <row r="1625" spans="1:18" ht="30" customHeight="1" x14ac:dyDescent="0.3">
      <c r="A1625" s="26" t="str">
        <f t="shared" si="50"/>
        <v/>
      </c>
      <c r="B1625" s="26">
        <f>COUNTIFS($A$4:A1625,A1625)</f>
        <v>462</v>
      </c>
      <c r="C1625" s="26" t="str">
        <f t="shared" si="51"/>
        <v>462</v>
      </c>
      <c r="E1625" s="26"/>
      <c r="F1625" s="26"/>
      <c r="H1625" s="27"/>
      <c r="I1625" s="27"/>
      <c r="J1625" s="27"/>
      <c r="K1625" s="27"/>
      <c r="L1625" s="27"/>
      <c r="M1625" s="27"/>
      <c r="N1625" s="40"/>
      <c r="O1625" s="27"/>
      <c r="P1625" s="27"/>
      <c r="Q1625" s="41"/>
      <c r="R1625" s="40"/>
    </row>
    <row r="1626" spans="1:18" ht="30" customHeight="1" x14ac:dyDescent="0.3">
      <c r="A1626" s="26" t="str">
        <f t="shared" si="50"/>
        <v/>
      </c>
      <c r="B1626" s="26">
        <f>COUNTIFS($A$4:A1626,A1626)</f>
        <v>463</v>
      </c>
      <c r="C1626" s="26" t="str">
        <f t="shared" si="51"/>
        <v>463</v>
      </c>
      <c r="E1626" s="26"/>
      <c r="F1626" s="26"/>
      <c r="H1626" s="27"/>
      <c r="I1626" s="27"/>
      <c r="J1626" s="27"/>
      <c r="K1626" s="27"/>
      <c r="L1626" s="27"/>
      <c r="M1626" s="27"/>
      <c r="N1626" s="40"/>
      <c r="O1626" s="27"/>
      <c r="P1626" s="27"/>
      <c r="Q1626" s="41"/>
      <c r="R1626" s="40"/>
    </row>
    <row r="1627" spans="1:18" ht="30" customHeight="1" x14ac:dyDescent="0.3">
      <c r="A1627" s="26" t="str">
        <f t="shared" si="50"/>
        <v/>
      </c>
      <c r="B1627" s="26">
        <f>COUNTIFS($A$4:A1627,A1627)</f>
        <v>464</v>
      </c>
      <c r="C1627" s="26" t="str">
        <f t="shared" si="51"/>
        <v>464</v>
      </c>
      <c r="E1627" s="26"/>
      <c r="F1627" s="26"/>
      <c r="H1627" s="27"/>
      <c r="I1627" s="27"/>
      <c r="J1627" s="27"/>
      <c r="K1627" s="27"/>
      <c r="L1627" s="27"/>
      <c r="M1627" s="27"/>
      <c r="N1627" s="40"/>
      <c r="O1627" s="27"/>
      <c r="P1627" s="27"/>
      <c r="Q1627" s="41"/>
      <c r="R1627" s="40"/>
    </row>
    <row r="1628" spans="1:18" ht="30" customHeight="1" x14ac:dyDescent="0.3">
      <c r="A1628" s="26" t="str">
        <f t="shared" si="50"/>
        <v/>
      </c>
      <c r="B1628" s="26">
        <f>COUNTIFS($A$4:A1628,A1628)</f>
        <v>465</v>
      </c>
      <c r="C1628" s="26" t="str">
        <f t="shared" si="51"/>
        <v>465</v>
      </c>
      <c r="E1628" s="26"/>
      <c r="F1628" s="26"/>
      <c r="H1628" s="27"/>
      <c r="I1628" s="27"/>
      <c r="J1628" s="27"/>
      <c r="K1628" s="27"/>
      <c r="L1628" s="27"/>
      <c r="M1628" s="27"/>
      <c r="N1628" s="40"/>
      <c r="O1628" s="27"/>
      <c r="P1628" s="27"/>
      <c r="Q1628" s="41"/>
      <c r="R1628" s="40"/>
    </row>
    <row r="1629" spans="1:18" ht="30" customHeight="1" x14ac:dyDescent="0.3">
      <c r="A1629" s="26" t="str">
        <f t="shared" si="50"/>
        <v/>
      </c>
      <c r="B1629" s="26">
        <f>COUNTIFS($A$4:A1629,A1629)</f>
        <v>466</v>
      </c>
      <c r="C1629" s="26" t="str">
        <f t="shared" si="51"/>
        <v>466</v>
      </c>
      <c r="E1629" s="26"/>
      <c r="F1629" s="26"/>
      <c r="H1629" s="27"/>
      <c r="I1629" s="27"/>
      <c r="J1629" s="27"/>
      <c r="K1629" s="27"/>
      <c r="L1629" s="27"/>
      <c r="M1629" s="27"/>
      <c r="N1629" s="40"/>
      <c r="O1629" s="27"/>
      <c r="P1629" s="27"/>
      <c r="Q1629" s="41"/>
      <c r="R1629" s="40"/>
    </row>
    <row r="1630" spans="1:18" ht="30" customHeight="1" x14ac:dyDescent="0.3">
      <c r="A1630" s="26" t="str">
        <f t="shared" si="50"/>
        <v/>
      </c>
      <c r="B1630" s="26">
        <f>COUNTIFS($A$4:A1630,A1630)</f>
        <v>467</v>
      </c>
      <c r="C1630" s="26" t="str">
        <f t="shared" si="51"/>
        <v>467</v>
      </c>
      <c r="E1630" s="26"/>
      <c r="F1630" s="26"/>
      <c r="H1630" s="27"/>
      <c r="I1630" s="27"/>
      <c r="J1630" s="27"/>
      <c r="K1630" s="27"/>
      <c r="L1630" s="27"/>
      <c r="M1630" s="27"/>
      <c r="N1630" s="40"/>
      <c r="O1630" s="27"/>
      <c r="P1630" s="27"/>
      <c r="Q1630" s="41"/>
      <c r="R1630" s="40"/>
    </row>
    <row r="1631" spans="1:18" ht="30" customHeight="1" x14ac:dyDescent="0.3">
      <c r="A1631" s="26" t="str">
        <f t="shared" si="50"/>
        <v/>
      </c>
      <c r="B1631" s="26">
        <f>COUNTIFS($A$4:A1631,A1631)</f>
        <v>468</v>
      </c>
      <c r="C1631" s="26" t="str">
        <f t="shared" si="51"/>
        <v>468</v>
      </c>
      <c r="E1631" s="26"/>
      <c r="F1631" s="26"/>
      <c r="H1631" s="27"/>
      <c r="I1631" s="27"/>
      <c r="J1631" s="27"/>
      <c r="K1631" s="27"/>
      <c r="L1631" s="27"/>
      <c r="M1631" s="27"/>
      <c r="N1631" s="40"/>
      <c r="O1631" s="27"/>
      <c r="P1631" s="27"/>
      <c r="Q1631" s="41"/>
      <c r="R1631" s="40"/>
    </row>
    <row r="1632" spans="1:18" ht="30" customHeight="1" x14ac:dyDescent="0.3">
      <c r="A1632" s="26" t="str">
        <f t="shared" si="50"/>
        <v/>
      </c>
      <c r="B1632" s="26">
        <f>COUNTIFS($A$4:A1632,A1632)</f>
        <v>469</v>
      </c>
      <c r="C1632" s="26" t="str">
        <f t="shared" si="51"/>
        <v>469</v>
      </c>
      <c r="E1632" s="26"/>
      <c r="F1632" s="26"/>
      <c r="H1632" s="27"/>
      <c r="I1632" s="27"/>
      <c r="J1632" s="27"/>
      <c r="K1632" s="27"/>
      <c r="L1632" s="27"/>
      <c r="M1632" s="27"/>
      <c r="N1632" s="40"/>
      <c r="O1632" s="27"/>
      <c r="P1632" s="27"/>
      <c r="Q1632" s="41"/>
      <c r="R1632" s="40"/>
    </row>
    <row r="1633" spans="1:18" ht="30" customHeight="1" x14ac:dyDescent="0.3">
      <c r="A1633" s="26" t="str">
        <f t="shared" si="50"/>
        <v/>
      </c>
      <c r="B1633" s="26">
        <f>COUNTIFS($A$4:A1633,A1633)</f>
        <v>470</v>
      </c>
      <c r="C1633" s="26" t="str">
        <f t="shared" si="51"/>
        <v>470</v>
      </c>
      <c r="E1633" s="26"/>
      <c r="F1633" s="26"/>
      <c r="H1633" s="27"/>
      <c r="I1633" s="27"/>
      <c r="J1633" s="27"/>
      <c r="K1633" s="27"/>
      <c r="L1633" s="27"/>
      <c r="M1633" s="27"/>
      <c r="N1633" s="40"/>
      <c r="O1633" s="27"/>
      <c r="P1633" s="27"/>
      <c r="Q1633" s="41"/>
      <c r="R1633" s="40"/>
    </row>
    <row r="1634" spans="1:18" ht="30" customHeight="1" x14ac:dyDescent="0.3">
      <c r="A1634" s="26" t="str">
        <f t="shared" si="50"/>
        <v/>
      </c>
      <c r="B1634" s="26">
        <f>COUNTIFS($A$4:A1634,A1634)</f>
        <v>471</v>
      </c>
      <c r="C1634" s="26" t="str">
        <f t="shared" si="51"/>
        <v>471</v>
      </c>
      <c r="E1634" s="26"/>
      <c r="F1634" s="26"/>
      <c r="H1634" s="27"/>
      <c r="I1634" s="27"/>
      <c r="J1634" s="27"/>
      <c r="K1634" s="27"/>
      <c r="L1634" s="27"/>
      <c r="M1634" s="27"/>
      <c r="N1634" s="40"/>
      <c r="O1634" s="27"/>
      <c r="P1634" s="27"/>
      <c r="Q1634" s="41"/>
      <c r="R1634" s="40"/>
    </row>
    <row r="1635" spans="1:18" ht="30" customHeight="1" x14ac:dyDescent="0.3">
      <c r="A1635" s="26" t="str">
        <f t="shared" si="50"/>
        <v/>
      </c>
      <c r="B1635" s="26">
        <f>COUNTIFS($A$4:A1635,A1635)</f>
        <v>472</v>
      </c>
      <c r="C1635" s="26" t="str">
        <f t="shared" si="51"/>
        <v>472</v>
      </c>
      <c r="E1635" s="26"/>
      <c r="F1635" s="26"/>
      <c r="H1635" s="27"/>
      <c r="I1635" s="27"/>
      <c r="J1635" s="27"/>
      <c r="K1635" s="27"/>
      <c r="L1635" s="27"/>
      <c r="M1635" s="27"/>
      <c r="N1635" s="40"/>
      <c r="O1635" s="27"/>
      <c r="P1635" s="27"/>
      <c r="Q1635" s="41"/>
      <c r="R1635" s="40"/>
    </row>
    <row r="1636" spans="1:18" ht="30" customHeight="1" x14ac:dyDescent="0.3">
      <c r="A1636" s="26" t="str">
        <f t="shared" si="50"/>
        <v/>
      </c>
      <c r="B1636" s="26">
        <f>COUNTIFS($A$4:A1636,A1636)</f>
        <v>473</v>
      </c>
      <c r="C1636" s="26" t="str">
        <f t="shared" si="51"/>
        <v>473</v>
      </c>
      <c r="E1636" s="26"/>
      <c r="F1636" s="26"/>
      <c r="H1636" s="27"/>
      <c r="I1636" s="27"/>
      <c r="J1636" s="27"/>
      <c r="K1636" s="27"/>
      <c r="L1636" s="27"/>
      <c r="M1636" s="27"/>
      <c r="N1636" s="40"/>
      <c r="O1636" s="27"/>
      <c r="P1636" s="27"/>
      <c r="Q1636" s="41"/>
      <c r="R1636" s="40"/>
    </row>
    <row r="1637" spans="1:18" ht="30" customHeight="1" x14ac:dyDescent="0.3">
      <c r="A1637" s="26" t="str">
        <f t="shared" si="50"/>
        <v/>
      </c>
      <c r="B1637" s="26">
        <f>COUNTIFS($A$4:A1637,A1637)</f>
        <v>474</v>
      </c>
      <c r="C1637" s="26" t="str">
        <f t="shared" si="51"/>
        <v>474</v>
      </c>
      <c r="E1637" s="26"/>
      <c r="F1637" s="26"/>
      <c r="H1637" s="27"/>
      <c r="I1637" s="27"/>
      <c r="J1637" s="27"/>
      <c r="K1637" s="27"/>
      <c r="L1637" s="27"/>
      <c r="M1637" s="27"/>
      <c r="N1637" s="40"/>
      <c r="O1637" s="27"/>
      <c r="P1637" s="27"/>
      <c r="Q1637" s="41"/>
      <c r="R1637" s="40"/>
    </row>
    <row r="1638" spans="1:18" ht="30" customHeight="1" x14ac:dyDescent="0.3">
      <c r="A1638" s="26" t="str">
        <f t="shared" si="50"/>
        <v/>
      </c>
      <c r="B1638" s="26">
        <f>COUNTIFS($A$4:A1638,A1638)</f>
        <v>475</v>
      </c>
      <c r="C1638" s="26" t="str">
        <f t="shared" si="51"/>
        <v>475</v>
      </c>
      <c r="E1638" s="26"/>
      <c r="F1638" s="26"/>
      <c r="H1638" s="27"/>
      <c r="I1638" s="27"/>
      <c r="J1638" s="27"/>
      <c r="K1638" s="27"/>
      <c r="L1638" s="27"/>
      <c r="M1638" s="27"/>
      <c r="N1638" s="40"/>
      <c r="O1638" s="27"/>
      <c r="P1638" s="27"/>
      <c r="Q1638" s="41"/>
      <c r="R1638" s="40"/>
    </row>
    <row r="1639" spans="1:18" ht="30" customHeight="1" x14ac:dyDescent="0.3">
      <c r="A1639" s="26" t="str">
        <f t="shared" si="50"/>
        <v/>
      </c>
      <c r="B1639" s="26">
        <f>COUNTIFS($A$4:A1639,A1639)</f>
        <v>476</v>
      </c>
      <c r="C1639" s="26" t="str">
        <f t="shared" si="51"/>
        <v>476</v>
      </c>
      <c r="E1639" s="26"/>
      <c r="F1639" s="26"/>
      <c r="H1639" s="27"/>
      <c r="I1639" s="27"/>
      <c r="J1639" s="27"/>
      <c r="K1639" s="27"/>
      <c r="L1639" s="27"/>
      <c r="M1639" s="27"/>
      <c r="N1639" s="40"/>
      <c r="O1639" s="27"/>
      <c r="P1639" s="27"/>
      <c r="Q1639" s="41"/>
      <c r="R1639" s="40"/>
    </row>
    <row r="1640" spans="1:18" ht="30" customHeight="1" x14ac:dyDescent="0.3">
      <c r="A1640" s="26" t="str">
        <f t="shared" si="50"/>
        <v/>
      </c>
      <c r="B1640" s="26">
        <f>COUNTIFS($A$4:A1640,A1640)</f>
        <v>477</v>
      </c>
      <c r="C1640" s="26" t="str">
        <f t="shared" si="51"/>
        <v>477</v>
      </c>
      <c r="E1640" s="26"/>
      <c r="F1640" s="26"/>
      <c r="H1640" s="27"/>
      <c r="I1640" s="27"/>
      <c r="J1640" s="27"/>
      <c r="K1640" s="27"/>
      <c r="L1640" s="27"/>
      <c r="M1640" s="27"/>
      <c r="N1640" s="40"/>
      <c r="O1640" s="27"/>
      <c r="P1640" s="27"/>
      <c r="Q1640" s="41"/>
      <c r="R1640" s="40"/>
    </row>
    <row r="1641" spans="1:18" ht="30" customHeight="1" x14ac:dyDescent="0.3">
      <c r="A1641" s="26" t="str">
        <f t="shared" si="50"/>
        <v/>
      </c>
      <c r="B1641" s="26">
        <f>COUNTIFS($A$4:A1641,A1641)</f>
        <v>478</v>
      </c>
      <c r="C1641" s="26" t="str">
        <f t="shared" si="51"/>
        <v>478</v>
      </c>
      <c r="E1641" s="26"/>
      <c r="F1641" s="26"/>
      <c r="H1641" s="27"/>
      <c r="I1641" s="27"/>
      <c r="J1641" s="27"/>
      <c r="K1641" s="27"/>
      <c r="L1641" s="27"/>
      <c r="M1641" s="27"/>
      <c r="N1641" s="40"/>
      <c r="O1641" s="27"/>
      <c r="P1641" s="27"/>
      <c r="Q1641" s="41"/>
      <c r="R1641" s="40"/>
    </row>
    <row r="1642" spans="1:18" ht="30" customHeight="1" x14ac:dyDescent="0.3">
      <c r="A1642" s="26" t="str">
        <f t="shared" si="50"/>
        <v/>
      </c>
      <c r="B1642" s="26">
        <f>COUNTIFS($A$4:A1642,A1642)</f>
        <v>479</v>
      </c>
      <c r="C1642" s="26" t="str">
        <f t="shared" si="51"/>
        <v>479</v>
      </c>
      <c r="E1642" s="26"/>
      <c r="F1642" s="26"/>
      <c r="H1642" s="27"/>
      <c r="I1642" s="27"/>
      <c r="J1642" s="27"/>
      <c r="K1642" s="27"/>
      <c r="L1642" s="27"/>
      <c r="M1642" s="27"/>
      <c r="N1642" s="40"/>
      <c r="O1642" s="27"/>
      <c r="P1642" s="27"/>
      <c r="Q1642" s="41"/>
      <c r="R1642" s="40"/>
    </row>
    <row r="1643" spans="1:18" ht="30" customHeight="1" x14ac:dyDescent="0.3">
      <c r="A1643" s="26" t="str">
        <f t="shared" si="50"/>
        <v/>
      </c>
      <c r="B1643" s="26">
        <f>COUNTIFS($A$4:A1643,A1643)</f>
        <v>480</v>
      </c>
      <c r="C1643" s="26" t="str">
        <f t="shared" si="51"/>
        <v>480</v>
      </c>
      <c r="E1643" s="26"/>
      <c r="F1643" s="26"/>
      <c r="H1643" s="27"/>
      <c r="I1643" s="27"/>
      <c r="J1643" s="27"/>
      <c r="K1643" s="27"/>
      <c r="L1643" s="27"/>
      <c r="M1643" s="27"/>
      <c r="N1643" s="40"/>
      <c r="O1643" s="27"/>
      <c r="P1643" s="27"/>
      <c r="Q1643" s="41"/>
      <c r="R1643" s="40"/>
    </row>
    <row r="1644" spans="1:18" ht="30" customHeight="1" x14ac:dyDescent="0.3">
      <c r="A1644" s="26" t="str">
        <f t="shared" si="50"/>
        <v/>
      </c>
      <c r="B1644" s="26">
        <f>COUNTIFS($A$4:A1644,A1644)</f>
        <v>481</v>
      </c>
      <c r="C1644" s="26" t="str">
        <f t="shared" si="51"/>
        <v>481</v>
      </c>
      <c r="E1644" s="26"/>
      <c r="F1644" s="26"/>
      <c r="H1644" s="27"/>
      <c r="I1644" s="27"/>
      <c r="J1644" s="27"/>
      <c r="K1644" s="27"/>
      <c r="L1644" s="27"/>
      <c r="M1644" s="27"/>
      <c r="N1644" s="40"/>
      <c r="O1644" s="27"/>
      <c r="P1644" s="27"/>
      <c r="Q1644" s="41"/>
      <c r="R1644" s="40"/>
    </row>
    <row r="1645" spans="1:18" ht="30" customHeight="1" x14ac:dyDescent="0.3">
      <c r="A1645" s="26" t="str">
        <f t="shared" si="50"/>
        <v/>
      </c>
      <c r="B1645" s="26">
        <f>COUNTIFS($A$4:A1645,A1645)</f>
        <v>482</v>
      </c>
      <c r="C1645" s="26" t="str">
        <f t="shared" si="51"/>
        <v>482</v>
      </c>
      <c r="E1645" s="26"/>
      <c r="F1645" s="26"/>
      <c r="H1645" s="27"/>
      <c r="I1645" s="27"/>
      <c r="J1645" s="27"/>
      <c r="K1645" s="27"/>
      <c r="L1645" s="27"/>
      <c r="M1645" s="27"/>
      <c r="N1645" s="40"/>
      <c r="O1645" s="27"/>
      <c r="P1645" s="27"/>
      <c r="Q1645" s="41"/>
      <c r="R1645" s="40"/>
    </row>
    <row r="1646" spans="1:18" ht="30" customHeight="1" x14ac:dyDescent="0.3">
      <c r="A1646" s="26" t="str">
        <f t="shared" si="50"/>
        <v/>
      </c>
      <c r="B1646" s="26">
        <f>COUNTIFS($A$4:A1646,A1646)</f>
        <v>483</v>
      </c>
      <c r="C1646" s="26" t="str">
        <f t="shared" si="51"/>
        <v>483</v>
      </c>
      <c r="E1646" s="26"/>
      <c r="F1646" s="26"/>
      <c r="H1646" s="27"/>
      <c r="I1646" s="27"/>
      <c r="J1646" s="27"/>
      <c r="K1646" s="27"/>
      <c r="L1646" s="27"/>
      <c r="M1646" s="27"/>
      <c r="N1646" s="40"/>
      <c r="O1646" s="27"/>
      <c r="P1646" s="27"/>
      <c r="Q1646" s="41"/>
      <c r="R1646" s="40"/>
    </row>
    <row r="1647" spans="1:18" ht="30" customHeight="1" x14ac:dyDescent="0.3">
      <c r="A1647" s="26" t="str">
        <f t="shared" si="50"/>
        <v/>
      </c>
      <c r="B1647" s="26">
        <f>COUNTIFS($A$4:A1647,A1647)</f>
        <v>484</v>
      </c>
      <c r="C1647" s="26" t="str">
        <f t="shared" si="51"/>
        <v>484</v>
      </c>
      <c r="E1647" s="26"/>
      <c r="F1647" s="26"/>
      <c r="H1647" s="27"/>
      <c r="I1647" s="27"/>
      <c r="J1647" s="27"/>
      <c r="K1647" s="27"/>
      <c r="L1647" s="27"/>
      <c r="M1647" s="27"/>
      <c r="N1647" s="40"/>
      <c r="O1647" s="27"/>
      <c r="P1647" s="27"/>
      <c r="Q1647" s="41"/>
      <c r="R1647" s="40"/>
    </row>
    <row r="1648" spans="1:18" ht="30" customHeight="1" x14ac:dyDescent="0.3">
      <c r="A1648" s="26" t="str">
        <f t="shared" si="50"/>
        <v/>
      </c>
      <c r="B1648" s="26">
        <f>COUNTIFS($A$4:A1648,A1648)</f>
        <v>485</v>
      </c>
      <c r="C1648" s="26" t="str">
        <f t="shared" si="51"/>
        <v>485</v>
      </c>
      <c r="E1648" s="26"/>
      <c r="F1648" s="26"/>
      <c r="H1648" s="27"/>
      <c r="I1648" s="27"/>
      <c r="J1648" s="27"/>
      <c r="K1648" s="27"/>
      <c r="L1648" s="27"/>
      <c r="M1648" s="27"/>
      <c r="N1648" s="40"/>
      <c r="O1648" s="27"/>
      <c r="P1648" s="27"/>
      <c r="Q1648" s="41"/>
      <c r="R1648" s="40"/>
    </row>
    <row r="1649" spans="1:18" ht="30" customHeight="1" x14ac:dyDescent="0.3">
      <c r="A1649" s="26" t="str">
        <f t="shared" si="50"/>
        <v/>
      </c>
      <c r="B1649" s="26">
        <f>COUNTIFS($A$4:A1649,A1649)</f>
        <v>486</v>
      </c>
      <c r="C1649" s="26" t="str">
        <f t="shared" si="51"/>
        <v>486</v>
      </c>
      <c r="E1649" s="26"/>
      <c r="F1649" s="26"/>
      <c r="H1649" s="27"/>
      <c r="I1649" s="27"/>
      <c r="J1649" s="27"/>
      <c r="K1649" s="27"/>
      <c r="L1649" s="27"/>
      <c r="M1649" s="27"/>
      <c r="N1649" s="40"/>
      <c r="O1649" s="27"/>
      <c r="P1649" s="27"/>
      <c r="Q1649" s="41"/>
      <c r="R1649" s="40"/>
    </row>
    <row r="1650" spans="1:18" ht="30" customHeight="1" x14ac:dyDescent="0.3">
      <c r="A1650" s="26" t="str">
        <f t="shared" si="50"/>
        <v/>
      </c>
      <c r="B1650" s="26">
        <f>COUNTIFS($A$4:A1650,A1650)</f>
        <v>487</v>
      </c>
      <c r="C1650" s="26" t="str">
        <f t="shared" si="51"/>
        <v>487</v>
      </c>
      <c r="E1650" s="26"/>
      <c r="F1650" s="26"/>
      <c r="H1650" s="27"/>
      <c r="I1650" s="27"/>
      <c r="J1650" s="27"/>
      <c r="K1650" s="27"/>
      <c r="L1650" s="27"/>
      <c r="M1650" s="27"/>
      <c r="N1650" s="40"/>
      <c r="O1650" s="27"/>
      <c r="P1650" s="27"/>
      <c r="Q1650" s="41"/>
      <c r="R1650" s="40"/>
    </row>
    <row r="1651" spans="1:18" ht="30" customHeight="1" x14ac:dyDescent="0.3">
      <c r="A1651" s="26" t="str">
        <f t="shared" si="50"/>
        <v/>
      </c>
      <c r="B1651" s="26">
        <f>COUNTIFS($A$4:A1651,A1651)</f>
        <v>488</v>
      </c>
      <c r="C1651" s="26" t="str">
        <f t="shared" si="51"/>
        <v>488</v>
      </c>
      <c r="E1651" s="26"/>
      <c r="F1651" s="26"/>
      <c r="H1651" s="27"/>
      <c r="I1651" s="27"/>
      <c r="J1651" s="27"/>
      <c r="K1651" s="27"/>
      <c r="L1651" s="27"/>
      <c r="M1651" s="27"/>
      <c r="N1651" s="40"/>
      <c r="O1651" s="27"/>
      <c r="P1651" s="27"/>
      <c r="Q1651" s="41"/>
      <c r="R1651" s="40"/>
    </row>
    <row r="1652" spans="1:18" ht="30" customHeight="1" x14ac:dyDescent="0.3">
      <c r="A1652" s="26" t="str">
        <f t="shared" si="50"/>
        <v/>
      </c>
      <c r="B1652" s="26">
        <f>COUNTIFS($A$4:A1652,A1652)</f>
        <v>489</v>
      </c>
      <c r="C1652" s="26" t="str">
        <f t="shared" si="51"/>
        <v>489</v>
      </c>
      <c r="E1652" s="26"/>
      <c r="F1652" s="26"/>
      <c r="H1652" s="27"/>
      <c r="I1652" s="27"/>
      <c r="J1652" s="27"/>
      <c r="K1652" s="27"/>
      <c r="L1652" s="27"/>
      <c r="M1652" s="27"/>
      <c r="N1652" s="40"/>
      <c r="O1652" s="27"/>
      <c r="P1652" s="27"/>
      <c r="Q1652" s="41"/>
      <c r="R1652" s="40"/>
    </row>
    <row r="1653" spans="1:18" ht="30" customHeight="1" x14ac:dyDescent="0.3">
      <c r="A1653" s="26" t="str">
        <f t="shared" si="50"/>
        <v/>
      </c>
      <c r="B1653" s="26">
        <f>COUNTIFS($A$4:A1653,A1653)</f>
        <v>490</v>
      </c>
      <c r="C1653" s="26" t="str">
        <f t="shared" si="51"/>
        <v>490</v>
      </c>
      <c r="E1653" s="26"/>
      <c r="F1653" s="26"/>
      <c r="H1653" s="27"/>
      <c r="I1653" s="27"/>
      <c r="J1653" s="27"/>
      <c r="K1653" s="27"/>
      <c r="L1653" s="27"/>
      <c r="M1653" s="27"/>
      <c r="N1653" s="40"/>
      <c r="O1653" s="27"/>
      <c r="P1653" s="27"/>
      <c r="Q1653" s="41"/>
      <c r="R1653" s="40"/>
    </row>
    <row r="1654" spans="1:18" ht="30" customHeight="1" x14ac:dyDescent="0.3">
      <c r="A1654" s="26" t="str">
        <f t="shared" si="50"/>
        <v/>
      </c>
      <c r="B1654" s="26">
        <f>COUNTIFS($A$4:A1654,A1654)</f>
        <v>491</v>
      </c>
      <c r="C1654" s="26" t="str">
        <f t="shared" si="51"/>
        <v>491</v>
      </c>
      <c r="E1654" s="26"/>
      <c r="F1654" s="26"/>
      <c r="H1654" s="27"/>
      <c r="I1654" s="27"/>
      <c r="J1654" s="27"/>
      <c r="K1654" s="27"/>
      <c r="L1654" s="27"/>
      <c r="M1654" s="27"/>
      <c r="N1654" s="40"/>
      <c r="O1654" s="27"/>
      <c r="P1654" s="27"/>
      <c r="Q1654" s="41"/>
      <c r="R1654" s="40"/>
    </row>
    <row r="1655" spans="1:18" ht="30" customHeight="1" x14ac:dyDescent="0.3">
      <c r="A1655" s="26" t="str">
        <f t="shared" si="50"/>
        <v/>
      </c>
      <c r="B1655" s="26">
        <f>COUNTIFS($A$4:A1655,A1655)</f>
        <v>492</v>
      </c>
      <c r="C1655" s="26" t="str">
        <f t="shared" si="51"/>
        <v>492</v>
      </c>
      <c r="E1655" s="26"/>
      <c r="F1655" s="26"/>
      <c r="H1655" s="27"/>
      <c r="I1655" s="27"/>
      <c r="J1655" s="27"/>
      <c r="K1655" s="27"/>
      <c r="L1655" s="27"/>
      <c r="M1655" s="27"/>
      <c r="N1655" s="40"/>
      <c r="O1655" s="27"/>
      <c r="P1655" s="27"/>
      <c r="Q1655" s="41"/>
      <c r="R1655" s="40"/>
    </row>
    <row r="1656" spans="1:18" ht="30" customHeight="1" x14ac:dyDescent="0.3">
      <c r="A1656" s="26" t="str">
        <f t="shared" si="50"/>
        <v/>
      </c>
      <c r="B1656" s="26">
        <f>COUNTIFS($A$4:A1656,A1656)</f>
        <v>493</v>
      </c>
      <c r="C1656" s="26" t="str">
        <f t="shared" si="51"/>
        <v>493</v>
      </c>
      <c r="E1656" s="26"/>
      <c r="F1656" s="26"/>
      <c r="H1656" s="27"/>
      <c r="I1656" s="27"/>
      <c r="J1656" s="27"/>
      <c r="K1656" s="27"/>
      <c r="L1656" s="27"/>
      <c r="M1656" s="27"/>
      <c r="N1656" s="40"/>
      <c r="O1656" s="27"/>
      <c r="P1656" s="27"/>
      <c r="Q1656" s="41"/>
      <c r="R1656" s="40"/>
    </row>
    <row r="1657" spans="1:18" ht="30" customHeight="1" x14ac:dyDescent="0.3">
      <c r="A1657" s="26" t="str">
        <f t="shared" si="50"/>
        <v/>
      </c>
      <c r="B1657" s="26">
        <f>COUNTIFS($A$4:A1657,A1657)</f>
        <v>494</v>
      </c>
      <c r="C1657" s="26" t="str">
        <f t="shared" si="51"/>
        <v>494</v>
      </c>
      <c r="E1657" s="26"/>
      <c r="F1657" s="26"/>
      <c r="H1657" s="27"/>
      <c r="I1657" s="27"/>
      <c r="J1657" s="27"/>
      <c r="K1657" s="27"/>
      <c r="L1657" s="27"/>
      <c r="M1657" s="27"/>
      <c r="N1657" s="40"/>
      <c r="O1657" s="27"/>
      <c r="P1657" s="27"/>
      <c r="Q1657" s="41"/>
      <c r="R1657" s="40"/>
    </row>
    <row r="1658" spans="1:18" ht="30" customHeight="1" x14ac:dyDescent="0.3">
      <c r="A1658" s="26" t="str">
        <f t="shared" si="50"/>
        <v/>
      </c>
      <c r="B1658" s="26">
        <f>COUNTIFS($A$4:A1658,A1658)</f>
        <v>495</v>
      </c>
      <c r="C1658" s="26" t="str">
        <f t="shared" si="51"/>
        <v>495</v>
      </c>
      <c r="E1658" s="26"/>
      <c r="F1658" s="26"/>
      <c r="H1658" s="27"/>
      <c r="I1658" s="27"/>
      <c r="J1658" s="27"/>
      <c r="K1658" s="27"/>
      <c r="L1658" s="27"/>
      <c r="M1658" s="27"/>
      <c r="N1658" s="40"/>
      <c r="O1658" s="27"/>
      <c r="P1658" s="27"/>
      <c r="Q1658" s="41"/>
      <c r="R1658" s="40"/>
    </row>
    <row r="1659" spans="1:18" ht="30" customHeight="1" x14ac:dyDescent="0.3">
      <c r="A1659" s="26" t="str">
        <f t="shared" si="50"/>
        <v/>
      </c>
      <c r="B1659" s="26">
        <f>COUNTIFS($A$4:A1659,A1659)</f>
        <v>496</v>
      </c>
      <c r="C1659" s="26" t="str">
        <f t="shared" si="51"/>
        <v>496</v>
      </c>
      <c r="E1659" s="26"/>
      <c r="F1659" s="26"/>
      <c r="H1659" s="27"/>
      <c r="I1659" s="27"/>
      <c r="J1659" s="27"/>
      <c r="K1659" s="27"/>
      <c r="L1659" s="27"/>
      <c r="M1659" s="27"/>
      <c r="N1659" s="40"/>
      <c r="O1659" s="27"/>
      <c r="P1659" s="27"/>
      <c r="Q1659" s="41"/>
      <c r="R1659" s="40"/>
    </row>
    <row r="1660" spans="1:18" ht="30" customHeight="1" x14ac:dyDescent="0.3">
      <c r="A1660" s="26" t="str">
        <f t="shared" si="50"/>
        <v/>
      </c>
      <c r="B1660" s="26">
        <f>COUNTIFS($A$4:A1660,A1660)</f>
        <v>497</v>
      </c>
      <c r="C1660" s="26" t="str">
        <f t="shared" si="51"/>
        <v>497</v>
      </c>
      <c r="E1660" s="26"/>
      <c r="F1660" s="26"/>
      <c r="H1660" s="27"/>
      <c r="I1660" s="27"/>
      <c r="J1660" s="27"/>
      <c r="K1660" s="27"/>
      <c r="L1660" s="27"/>
      <c r="M1660" s="27"/>
      <c r="N1660" s="40"/>
      <c r="O1660" s="27"/>
      <c r="P1660" s="27"/>
      <c r="Q1660" s="41"/>
      <c r="R1660" s="40"/>
    </row>
    <row r="1661" spans="1:18" ht="30" customHeight="1" x14ac:dyDescent="0.3">
      <c r="A1661" s="26" t="str">
        <f t="shared" si="50"/>
        <v/>
      </c>
      <c r="B1661" s="26">
        <f>COUNTIFS($A$4:A1661,A1661)</f>
        <v>498</v>
      </c>
      <c r="C1661" s="26" t="str">
        <f t="shared" si="51"/>
        <v>498</v>
      </c>
      <c r="E1661" s="26"/>
      <c r="F1661" s="26"/>
      <c r="H1661" s="27"/>
      <c r="I1661" s="27"/>
      <c r="J1661" s="27"/>
      <c r="K1661" s="27"/>
      <c r="L1661" s="27"/>
      <c r="M1661" s="27"/>
      <c r="N1661" s="40"/>
      <c r="O1661" s="27"/>
      <c r="P1661" s="27"/>
      <c r="Q1661" s="41"/>
      <c r="R1661" s="40"/>
    </row>
    <row r="1662" spans="1:18" ht="30" customHeight="1" x14ac:dyDescent="0.3">
      <c r="A1662" s="26" t="str">
        <f t="shared" si="50"/>
        <v/>
      </c>
      <c r="B1662" s="26">
        <f>COUNTIFS($A$4:A1662,A1662)</f>
        <v>499</v>
      </c>
      <c r="C1662" s="26" t="str">
        <f t="shared" si="51"/>
        <v>499</v>
      </c>
      <c r="E1662" s="26"/>
      <c r="F1662" s="26"/>
      <c r="H1662" s="27"/>
      <c r="I1662" s="27"/>
      <c r="J1662" s="27"/>
      <c r="K1662" s="27"/>
      <c r="L1662" s="27"/>
      <c r="M1662" s="27"/>
      <c r="N1662" s="40"/>
      <c r="O1662" s="27"/>
      <c r="P1662" s="27"/>
      <c r="Q1662" s="41"/>
      <c r="R1662" s="40"/>
    </row>
    <row r="1663" spans="1:18" ht="30" customHeight="1" x14ac:dyDescent="0.3">
      <c r="A1663" s="26" t="str">
        <f t="shared" si="50"/>
        <v/>
      </c>
      <c r="B1663" s="26">
        <f>COUNTIFS($A$4:A1663,A1663)</f>
        <v>500</v>
      </c>
      <c r="C1663" s="26" t="str">
        <f t="shared" si="51"/>
        <v>500</v>
      </c>
      <c r="E1663" s="26"/>
      <c r="F1663" s="26"/>
      <c r="H1663" s="27"/>
      <c r="I1663" s="27"/>
      <c r="J1663" s="27"/>
      <c r="K1663" s="27"/>
      <c r="L1663" s="27"/>
      <c r="M1663" s="27"/>
      <c r="N1663" s="40"/>
      <c r="O1663" s="27"/>
      <c r="P1663" s="27"/>
      <c r="Q1663" s="41"/>
      <c r="R1663" s="40"/>
    </row>
    <row r="1664" spans="1:18" ht="30" customHeight="1" x14ac:dyDescent="0.3">
      <c r="A1664" s="26" t="str">
        <f t="shared" si="50"/>
        <v/>
      </c>
      <c r="B1664" s="26">
        <f>COUNTIFS($A$4:A1664,A1664)</f>
        <v>501</v>
      </c>
      <c r="C1664" s="26" t="str">
        <f t="shared" si="51"/>
        <v>501</v>
      </c>
      <c r="E1664" s="26"/>
      <c r="F1664" s="26"/>
      <c r="H1664" s="27"/>
      <c r="I1664" s="27"/>
      <c r="J1664" s="27"/>
      <c r="K1664" s="27"/>
      <c r="L1664" s="27"/>
      <c r="M1664" s="27"/>
      <c r="N1664" s="40"/>
      <c r="O1664" s="27"/>
      <c r="P1664" s="27"/>
      <c r="Q1664" s="41"/>
      <c r="R1664" s="40"/>
    </row>
    <row r="1665" spans="1:18" ht="30" customHeight="1" x14ac:dyDescent="0.3">
      <c r="A1665" s="26" t="str">
        <f t="shared" si="50"/>
        <v/>
      </c>
      <c r="B1665" s="26">
        <f>COUNTIFS($A$4:A1665,A1665)</f>
        <v>502</v>
      </c>
      <c r="C1665" s="26" t="str">
        <f t="shared" si="51"/>
        <v>502</v>
      </c>
      <c r="E1665" s="26"/>
      <c r="F1665" s="26"/>
      <c r="H1665" s="27"/>
      <c r="I1665" s="27"/>
      <c r="J1665" s="27"/>
      <c r="K1665" s="27"/>
      <c r="L1665" s="27"/>
      <c r="M1665" s="27"/>
      <c r="N1665" s="40"/>
      <c r="O1665" s="27"/>
      <c r="P1665" s="27"/>
      <c r="Q1665" s="41"/>
      <c r="R1665" s="40"/>
    </row>
    <row r="1666" spans="1:18" ht="30" customHeight="1" x14ac:dyDescent="0.3">
      <c r="A1666" s="26" t="str">
        <f t="shared" si="50"/>
        <v/>
      </c>
      <c r="B1666" s="26">
        <f>COUNTIFS($A$4:A1666,A1666)</f>
        <v>503</v>
      </c>
      <c r="C1666" s="26" t="str">
        <f t="shared" si="51"/>
        <v>503</v>
      </c>
      <c r="E1666" s="26"/>
      <c r="F1666" s="26"/>
      <c r="H1666" s="27"/>
      <c r="I1666" s="27"/>
      <c r="J1666" s="27"/>
      <c r="K1666" s="27"/>
      <c r="L1666" s="27"/>
      <c r="M1666" s="27"/>
      <c r="N1666" s="40"/>
      <c r="O1666" s="27"/>
      <c r="P1666" s="27"/>
      <c r="Q1666" s="41"/>
      <c r="R1666" s="40"/>
    </row>
    <row r="1667" spans="1:18" ht="30" customHeight="1" x14ac:dyDescent="0.3">
      <c r="A1667" s="26" t="str">
        <f t="shared" si="50"/>
        <v/>
      </c>
      <c r="B1667" s="26">
        <f>COUNTIFS($A$4:A1667,A1667)</f>
        <v>504</v>
      </c>
      <c r="C1667" s="26" t="str">
        <f t="shared" si="51"/>
        <v>504</v>
      </c>
      <c r="E1667" s="26"/>
      <c r="F1667" s="26"/>
      <c r="H1667" s="27"/>
      <c r="I1667" s="27"/>
      <c r="J1667" s="27"/>
      <c r="K1667" s="27"/>
      <c r="L1667" s="27"/>
      <c r="M1667" s="27"/>
      <c r="N1667" s="40"/>
      <c r="O1667" s="27"/>
      <c r="P1667" s="27"/>
      <c r="Q1667" s="41"/>
      <c r="R1667" s="40"/>
    </row>
    <row r="1668" spans="1:18" ht="30" customHeight="1" x14ac:dyDescent="0.3">
      <c r="A1668" s="26" t="str">
        <f t="shared" si="50"/>
        <v/>
      </c>
      <c r="B1668" s="26">
        <f>COUNTIFS($A$4:A1668,A1668)</f>
        <v>505</v>
      </c>
      <c r="C1668" s="26" t="str">
        <f t="shared" si="51"/>
        <v>505</v>
      </c>
      <c r="E1668" s="26"/>
      <c r="F1668" s="26"/>
      <c r="H1668" s="27"/>
      <c r="I1668" s="27"/>
      <c r="J1668" s="27"/>
      <c r="K1668" s="27"/>
      <c r="L1668" s="27"/>
      <c r="M1668" s="27"/>
      <c r="N1668" s="40"/>
      <c r="O1668" s="27"/>
      <c r="P1668" s="27"/>
      <c r="Q1668" s="41"/>
      <c r="R1668" s="40"/>
    </row>
    <row r="1669" spans="1:18" ht="30" customHeight="1" x14ac:dyDescent="0.3">
      <c r="A1669" s="26" t="str">
        <f t="shared" si="50"/>
        <v/>
      </c>
      <c r="B1669" s="26">
        <f>COUNTIFS($A$4:A1669,A1669)</f>
        <v>506</v>
      </c>
      <c r="C1669" s="26" t="str">
        <f t="shared" si="51"/>
        <v>506</v>
      </c>
      <c r="E1669" s="26"/>
      <c r="F1669" s="26"/>
      <c r="H1669" s="27"/>
      <c r="I1669" s="27"/>
      <c r="J1669" s="27"/>
      <c r="K1669" s="27"/>
      <c r="L1669" s="27"/>
      <c r="M1669" s="27"/>
      <c r="N1669" s="40"/>
      <c r="O1669" s="27"/>
      <c r="P1669" s="27"/>
      <c r="Q1669" s="41"/>
      <c r="R1669" s="40"/>
    </row>
    <row r="1670" spans="1:18" ht="30" customHeight="1" x14ac:dyDescent="0.3">
      <c r="A1670" s="26" t="str">
        <f t="shared" si="50"/>
        <v/>
      </c>
      <c r="B1670" s="26">
        <f>COUNTIFS($A$4:A1670,A1670)</f>
        <v>507</v>
      </c>
      <c r="C1670" s="26" t="str">
        <f t="shared" si="51"/>
        <v>507</v>
      </c>
      <c r="E1670" s="26"/>
      <c r="F1670" s="26"/>
      <c r="H1670" s="27"/>
      <c r="I1670" s="27"/>
      <c r="J1670" s="27"/>
      <c r="K1670" s="27"/>
      <c r="L1670" s="27"/>
      <c r="M1670" s="27"/>
      <c r="N1670" s="40"/>
      <c r="O1670" s="27"/>
      <c r="P1670" s="27"/>
      <c r="Q1670" s="41"/>
      <c r="R1670" s="40"/>
    </row>
    <row r="1671" spans="1:18" ht="30" customHeight="1" x14ac:dyDescent="0.3">
      <c r="A1671" s="26" t="str">
        <f t="shared" si="50"/>
        <v/>
      </c>
      <c r="B1671" s="26">
        <f>COUNTIFS($A$4:A1671,A1671)</f>
        <v>508</v>
      </c>
      <c r="C1671" s="26" t="str">
        <f t="shared" si="51"/>
        <v>508</v>
      </c>
      <c r="E1671" s="26"/>
      <c r="F1671" s="26"/>
      <c r="H1671" s="27"/>
      <c r="I1671" s="27"/>
      <c r="J1671" s="27"/>
      <c r="K1671" s="27"/>
      <c r="L1671" s="27"/>
      <c r="M1671" s="27"/>
      <c r="N1671" s="40"/>
      <c r="O1671" s="27"/>
      <c r="P1671" s="27"/>
      <c r="Q1671" s="41"/>
      <c r="R1671" s="40"/>
    </row>
    <row r="1672" spans="1:18" ht="30" customHeight="1" x14ac:dyDescent="0.3">
      <c r="A1672" s="26" t="str">
        <f t="shared" si="50"/>
        <v/>
      </c>
      <c r="B1672" s="26">
        <f>COUNTIFS($A$4:A1672,A1672)</f>
        <v>509</v>
      </c>
      <c r="C1672" s="26" t="str">
        <f t="shared" si="51"/>
        <v>509</v>
      </c>
      <c r="E1672" s="26"/>
      <c r="F1672" s="26"/>
      <c r="H1672" s="27"/>
      <c r="I1672" s="27"/>
      <c r="J1672" s="27"/>
      <c r="K1672" s="27"/>
      <c r="L1672" s="27"/>
      <c r="M1672" s="27"/>
      <c r="N1672" s="40"/>
      <c r="O1672" s="27"/>
      <c r="P1672" s="27"/>
      <c r="Q1672" s="41"/>
      <c r="R1672" s="40"/>
    </row>
    <row r="1673" spans="1:18" ht="30" customHeight="1" x14ac:dyDescent="0.3">
      <c r="A1673" s="26" t="str">
        <f t="shared" si="50"/>
        <v/>
      </c>
      <c r="B1673" s="26">
        <f>COUNTIFS($A$4:A1673,A1673)</f>
        <v>510</v>
      </c>
      <c r="C1673" s="26" t="str">
        <f t="shared" si="51"/>
        <v>510</v>
      </c>
      <c r="E1673" s="26"/>
      <c r="F1673" s="26"/>
      <c r="H1673" s="27"/>
      <c r="I1673" s="27"/>
      <c r="J1673" s="27"/>
      <c r="K1673" s="27"/>
      <c r="L1673" s="27"/>
      <c r="M1673" s="27"/>
      <c r="N1673" s="40"/>
      <c r="O1673" s="27"/>
      <c r="P1673" s="27"/>
      <c r="Q1673" s="41"/>
      <c r="R1673" s="40"/>
    </row>
    <row r="1674" spans="1:18" ht="30" customHeight="1" x14ac:dyDescent="0.3">
      <c r="A1674" s="26" t="str">
        <f t="shared" si="50"/>
        <v/>
      </c>
      <c r="B1674" s="26">
        <f>COUNTIFS($A$4:A1674,A1674)</f>
        <v>511</v>
      </c>
      <c r="C1674" s="26" t="str">
        <f t="shared" si="51"/>
        <v>511</v>
      </c>
      <c r="E1674" s="26"/>
      <c r="F1674" s="26"/>
      <c r="H1674" s="27"/>
      <c r="I1674" s="27"/>
      <c r="J1674" s="27"/>
      <c r="K1674" s="27"/>
      <c r="L1674" s="27"/>
      <c r="M1674" s="27"/>
      <c r="N1674" s="40"/>
      <c r="O1674" s="27"/>
      <c r="P1674" s="27"/>
      <c r="Q1674" s="41"/>
      <c r="R1674" s="40"/>
    </row>
    <row r="1675" spans="1:18" ht="30" customHeight="1" x14ac:dyDescent="0.3">
      <c r="A1675" s="26" t="str">
        <f t="shared" si="50"/>
        <v/>
      </c>
      <c r="B1675" s="26">
        <f>COUNTIFS($A$4:A1675,A1675)</f>
        <v>512</v>
      </c>
      <c r="C1675" s="26" t="str">
        <f t="shared" si="51"/>
        <v>512</v>
      </c>
      <c r="E1675" s="26"/>
      <c r="F1675" s="26"/>
      <c r="H1675" s="27"/>
      <c r="I1675" s="27"/>
      <c r="J1675" s="27"/>
      <c r="K1675" s="27"/>
      <c r="L1675" s="27"/>
      <c r="M1675" s="27"/>
      <c r="N1675" s="40"/>
      <c r="O1675" s="27"/>
      <c r="P1675" s="27"/>
      <c r="Q1675" s="41"/>
      <c r="R1675" s="40"/>
    </row>
    <row r="1676" spans="1:18" ht="30" customHeight="1" x14ac:dyDescent="0.3">
      <c r="A1676" s="26" t="str">
        <f t="shared" si="50"/>
        <v/>
      </c>
      <c r="B1676" s="26">
        <f>COUNTIFS($A$4:A1676,A1676)</f>
        <v>513</v>
      </c>
      <c r="C1676" s="26" t="str">
        <f t="shared" si="51"/>
        <v>513</v>
      </c>
      <c r="E1676" s="26"/>
      <c r="F1676" s="26"/>
      <c r="H1676" s="27"/>
      <c r="I1676" s="27"/>
      <c r="J1676" s="27"/>
      <c r="K1676" s="27"/>
      <c r="L1676" s="27"/>
      <c r="M1676" s="27"/>
      <c r="N1676" s="40"/>
      <c r="O1676" s="27"/>
      <c r="P1676" s="27"/>
      <c r="Q1676" s="41"/>
      <c r="R1676" s="40"/>
    </row>
    <row r="1677" spans="1:18" ht="30" customHeight="1" x14ac:dyDescent="0.3">
      <c r="A1677" s="26" t="str">
        <f t="shared" si="50"/>
        <v/>
      </c>
      <c r="B1677" s="26">
        <f>COUNTIFS($A$4:A1677,A1677)</f>
        <v>514</v>
      </c>
      <c r="C1677" s="26" t="str">
        <f t="shared" si="51"/>
        <v>514</v>
      </c>
      <c r="E1677" s="26"/>
      <c r="F1677" s="26"/>
      <c r="H1677" s="27"/>
      <c r="I1677" s="27"/>
      <c r="J1677" s="27"/>
      <c r="K1677" s="27"/>
      <c r="L1677" s="27"/>
      <c r="M1677" s="27"/>
      <c r="N1677" s="40"/>
      <c r="O1677" s="27"/>
      <c r="P1677" s="27"/>
      <c r="Q1677" s="41"/>
      <c r="R1677" s="40"/>
    </row>
    <row r="1678" spans="1:18" ht="30" customHeight="1" x14ac:dyDescent="0.3">
      <c r="A1678" s="26" t="str">
        <f t="shared" si="50"/>
        <v/>
      </c>
      <c r="B1678" s="26">
        <f>COUNTIFS($A$4:A1678,A1678)</f>
        <v>515</v>
      </c>
      <c r="C1678" s="26" t="str">
        <f t="shared" si="51"/>
        <v>515</v>
      </c>
      <c r="E1678" s="26"/>
      <c r="F1678" s="26"/>
      <c r="H1678" s="27"/>
      <c r="I1678" s="27"/>
      <c r="J1678" s="27"/>
      <c r="K1678" s="27"/>
      <c r="L1678" s="27"/>
      <c r="M1678" s="27"/>
      <c r="N1678" s="40"/>
      <c r="O1678" s="27"/>
      <c r="P1678" s="27"/>
      <c r="Q1678" s="41"/>
      <c r="R1678" s="40"/>
    </row>
    <row r="1679" spans="1:18" ht="30" customHeight="1" x14ac:dyDescent="0.3">
      <c r="A1679" s="26" t="str">
        <f t="shared" si="50"/>
        <v/>
      </c>
      <c r="B1679" s="26">
        <f>COUNTIFS($A$4:A1679,A1679)</f>
        <v>516</v>
      </c>
      <c r="C1679" s="26" t="str">
        <f t="shared" si="51"/>
        <v>516</v>
      </c>
      <c r="E1679" s="26"/>
      <c r="F1679" s="26"/>
      <c r="H1679" s="27"/>
      <c r="I1679" s="27"/>
      <c r="J1679" s="27"/>
      <c r="K1679" s="27"/>
      <c r="L1679" s="27"/>
      <c r="M1679" s="27"/>
      <c r="N1679" s="40"/>
      <c r="O1679" s="27"/>
      <c r="P1679" s="27"/>
      <c r="Q1679" s="41"/>
      <c r="R1679" s="40"/>
    </row>
    <row r="1680" spans="1:18" ht="30" customHeight="1" x14ac:dyDescent="0.3">
      <c r="A1680" s="26" t="str">
        <f t="shared" si="50"/>
        <v/>
      </c>
      <c r="B1680" s="26">
        <f>COUNTIFS($A$4:A1680,A1680)</f>
        <v>517</v>
      </c>
      <c r="C1680" s="26" t="str">
        <f t="shared" si="51"/>
        <v>517</v>
      </c>
      <c r="E1680" s="26"/>
      <c r="F1680" s="26"/>
      <c r="H1680" s="27"/>
      <c r="I1680" s="27"/>
      <c r="J1680" s="27"/>
      <c r="K1680" s="27"/>
      <c r="L1680" s="27"/>
      <c r="M1680" s="27"/>
      <c r="N1680" s="40"/>
      <c r="O1680" s="27"/>
      <c r="P1680" s="27"/>
      <c r="Q1680" s="41"/>
      <c r="R1680" s="40"/>
    </row>
    <row r="1681" spans="1:18" ht="30" customHeight="1" x14ac:dyDescent="0.3">
      <c r="A1681" s="26" t="str">
        <f t="shared" ref="A1681:A1744" si="52">I1681&amp;H1681</f>
        <v/>
      </c>
      <c r="B1681" s="26">
        <f>COUNTIFS($A$4:A1681,A1681)</f>
        <v>518</v>
      </c>
      <c r="C1681" s="26" t="str">
        <f t="shared" ref="C1681:C1744" si="53">A1681&amp;B1681</f>
        <v>518</v>
      </c>
      <c r="E1681" s="26"/>
      <c r="F1681" s="26"/>
      <c r="H1681" s="27"/>
      <c r="I1681" s="27"/>
      <c r="J1681" s="27"/>
      <c r="K1681" s="27"/>
      <c r="L1681" s="27"/>
      <c r="M1681" s="27"/>
      <c r="N1681" s="40"/>
      <c r="O1681" s="27"/>
      <c r="P1681" s="27"/>
      <c r="Q1681" s="41"/>
      <c r="R1681" s="40"/>
    </row>
    <row r="1682" spans="1:18" ht="30" customHeight="1" x14ac:dyDescent="0.3">
      <c r="A1682" s="26" t="str">
        <f t="shared" si="52"/>
        <v/>
      </c>
      <c r="B1682" s="26">
        <f>COUNTIFS($A$4:A1682,A1682)</f>
        <v>519</v>
      </c>
      <c r="C1682" s="26" t="str">
        <f t="shared" si="53"/>
        <v>519</v>
      </c>
      <c r="E1682" s="26"/>
      <c r="F1682" s="26"/>
      <c r="H1682" s="27"/>
      <c r="I1682" s="27"/>
      <c r="J1682" s="27"/>
      <c r="K1682" s="27"/>
      <c r="L1682" s="27"/>
      <c r="M1682" s="27"/>
      <c r="N1682" s="40"/>
      <c r="O1682" s="27"/>
      <c r="P1682" s="27"/>
      <c r="Q1682" s="41"/>
      <c r="R1682" s="40"/>
    </row>
    <row r="1683" spans="1:18" ht="30" customHeight="1" x14ac:dyDescent="0.3">
      <c r="A1683" s="26" t="str">
        <f t="shared" si="52"/>
        <v/>
      </c>
      <c r="B1683" s="26">
        <f>COUNTIFS($A$4:A1683,A1683)</f>
        <v>520</v>
      </c>
      <c r="C1683" s="26" t="str">
        <f t="shared" si="53"/>
        <v>520</v>
      </c>
      <c r="E1683" s="26"/>
      <c r="F1683" s="26"/>
      <c r="H1683" s="27"/>
      <c r="I1683" s="27"/>
      <c r="J1683" s="27"/>
      <c r="K1683" s="27"/>
      <c r="L1683" s="27"/>
      <c r="M1683" s="27"/>
      <c r="N1683" s="40"/>
      <c r="O1683" s="27"/>
      <c r="P1683" s="27"/>
      <c r="Q1683" s="41"/>
      <c r="R1683" s="40"/>
    </row>
    <row r="1684" spans="1:18" ht="30" customHeight="1" x14ac:dyDescent="0.3">
      <c r="A1684" s="26" t="str">
        <f t="shared" si="52"/>
        <v/>
      </c>
      <c r="B1684" s="26">
        <f>COUNTIFS($A$4:A1684,A1684)</f>
        <v>521</v>
      </c>
      <c r="C1684" s="26" t="str">
        <f t="shared" si="53"/>
        <v>521</v>
      </c>
      <c r="E1684" s="26"/>
      <c r="F1684" s="26"/>
      <c r="H1684" s="27"/>
      <c r="I1684" s="27"/>
      <c r="J1684" s="27"/>
      <c r="K1684" s="27"/>
      <c r="L1684" s="27"/>
      <c r="M1684" s="27"/>
      <c r="N1684" s="40"/>
      <c r="O1684" s="27"/>
      <c r="P1684" s="27"/>
      <c r="Q1684" s="41"/>
      <c r="R1684" s="40"/>
    </row>
    <row r="1685" spans="1:18" ht="30" customHeight="1" x14ac:dyDescent="0.3">
      <c r="A1685" s="26" t="str">
        <f t="shared" si="52"/>
        <v/>
      </c>
      <c r="B1685" s="26">
        <f>COUNTIFS($A$4:A1685,A1685)</f>
        <v>522</v>
      </c>
      <c r="C1685" s="26" t="str">
        <f t="shared" si="53"/>
        <v>522</v>
      </c>
      <c r="E1685" s="26"/>
      <c r="F1685" s="26"/>
      <c r="H1685" s="27"/>
      <c r="I1685" s="27"/>
      <c r="J1685" s="27"/>
      <c r="K1685" s="27"/>
      <c r="L1685" s="27"/>
      <c r="M1685" s="27"/>
      <c r="N1685" s="40"/>
      <c r="O1685" s="27"/>
      <c r="P1685" s="27"/>
      <c r="Q1685" s="41"/>
      <c r="R1685" s="40"/>
    </row>
    <row r="1686" spans="1:18" ht="30" customHeight="1" x14ac:dyDescent="0.3">
      <c r="A1686" s="26" t="str">
        <f t="shared" si="52"/>
        <v/>
      </c>
      <c r="B1686" s="26">
        <f>COUNTIFS($A$4:A1686,A1686)</f>
        <v>523</v>
      </c>
      <c r="C1686" s="26" t="str">
        <f t="shared" si="53"/>
        <v>523</v>
      </c>
      <c r="E1686" s="26"/>
      <c r="F1686" s="26"/>
      <c r="H1686" s="27"/>
      <c r="I1686" s="27"/>
      <c r="J1686" s="27"/>
      <c r="K1686" s="27"/>
      <c r="L1686" s="27"/>
      <c r="M1686" s="27"/>
      <c r="N1686" s="40"/>
      <c r="O1686" s="27"/>
      <c r="P1686" s="27"/>
      <c r="Q1686" s="41"/>
      <c r="R1686" s="40"/>
    </row>
    <row r="1687" spans="1:18" ht="30" customHeight="1" x14ac:dyDescent="0.3">
      <c r="A1687" s="26" t="str">
        <f t="shared" si="52"/>
        <v/>
      </c>
      <c r="B1687" s="26">
        <f>COUNTIFS($A$4:A1687,A1687)</f>
        <v>524</v>
      </c>
      <c r="C1687" s="26" t="str">
        <f t="shared" si="53"/>
        <v>524</v>
      </c>
      <c r="E1687" s="26"/>
      <c r="F1687" s="26"/>
      <c r="H1687" s="27"/>
      <c r="I1687" s="27"/>
      <c r="J1687" s="27"/>
      <c r="K1687" s="27"/>
      <c r="L1687" s="27"/>
      <c r="M1687" s="27"/>
      <c r="N1687" s="40"/>
      <c r="O1687" s="27"/>
      <c r="P1687" s="27"/>
      <c r="Q1687" s="41"/>
      <c r="R1687" s="40"/>
    </row>
    <row r="1688" spans="1:18" ht="30" customHeight="1" x14ac:dyDescent="0.3">
      <c r="A1688" s="26" t="str">
        <f t="shared" si="52"/>
        <v/>
      </c>
      <c r="B1688" s="26">
        <f>COUNTIFS($A$4:A1688,A1688)</f>
        <v>525</v>
      </c>
      <c r="C1688" s="26" t="str">
        <f t="shared" si="53"/>
        <v>525</v>
      </c>
      <c r="E1688" s="26"/>
      <c r="F1688" s="26"/>
      <c r="H1688" s="27"/>
      <c r="I1688" s="27"/>
      <c r="J1688" s="27"/>
      <c r="K1688" s="27"/>
      <c r="L1688" s="27"/>
      <c r="M1688" s="27"/>
      <c r="N1688" s="40"/>
      <c r="O1688" s="27"/>
      <c r="P1688" s="27"/>
      <c r="Q1688" s="41"/>
      <c r="R1688" s="40"/>
    </row>
    <row r="1689" spans="1:18" ht="30" customHeight="1" x14ac:dyDescent="0.3">
      <c r="A1689" s="26" t="str">
        <f t="shared" si="52"/>
        <v/>
      </c>
      <c r="B1689" s="26">
        <f>COUNTIFS($A$4:A1689,A1689)</f>
        <v>526</v>
      </c>
      <c r="C1689" s="26" t="str">
        <f t="shared" si="53"/>
        <v>526</v>
      </c>
      <c r="E1689" s="26"/>
      <c r="F1689" s="26"/>
      <c r="H1689" s="27"/>
      <c r="I1689" s="27"/>
      <c r="J1689" s="27"/>
      <c r="K1689" s="27"/>
      <c r="L1689" s="27"/>
      <c r="M1689" s="27"/>
      <c r="N1689" s="40"/>
      <c r="O1689" s="27"/>
      <c r="P1689" s="27"/>
      <c r="Q1689" s="41"/>
      <c r="R1689" s="40"/>
    </row>
    <row r="1690" spans="1:18" ht="30" customHeight="1" x14ac:dyDescent="0.3">
      <c r="A1690" s="26" t="str">
        <f t="shared" si="52"/>
        <v/>
      </c>
      <c r="B1690" s="26">
        <f>COUNTIFS($A$4:A1690,A1690)</f>
        <v>527</v>
      </c>
      <c r="C1690" s="26" t="str">
        <f t="shared" si="53"/>
        <v>527</v>
      </c>
      <c r="E1690" s="26"/>
      <c r="F1690" s="26"/>
      <c r="H1690" s="27"/>
      <c r="I1690" s="27"/>
      <c r="J1690" s="27"/>
      <c r="K1690" s="27"/>
      <c r="L1690" s="27"/>
      <c r="M1690" s="27"/>
      <c r="N1690" s="40"/>
      <c r="O1690" s="27"/>
      <c r="P1690" s="27"/>
      <c r="Q1690" s="41"/>
      <c r="R1690" s="40"/>
    </row>
    <row r="1691" spans="1:18" ht="30" customHeight="1" x14ac:dyDescent="0.3">
      <c r="A1691" s="26" t="str">
        <f t="shared" si="52"/>
        <v/>
      </c>
      <c r="B1691" s="26">
        <f>COUNTIFS($A$4:A1691,A1691)</f>
        <v>528</v>
      </c>
      <c r="C1691" s="26" t="str">
        <f t="shared" si="53"/>
        <v>528</v>
      </c>
      <c r="E1691" s="26"/>
      <c r="F1691" s="26"/>
      <c r="H1691" s="27"/>
      <c r="I1691" s="27"/>
      <c r="J1691" s="27"/>
      <c r="K1691" s="27"/>
      <c r="L1691" s="27"/>
      <c r="M1691" s="27"/>
      <c r="N1691" s="40"/>
      <c r="O1691" s="27"/>
      <c r="P1691" s="27"/>
      <c r="Q1691" s="41"/>
      <c r="R1691" s="40"/>
    </row>
    <row r="1692" spans="1:18" ht="30" customHeight="1" x14ac:dyDescent="0.3">
      <c r="A1692" s="26" t="str">
        <f t="shared" si="52"/>
        <v/>
      </c>
      <c r="B1692" s="26">
        <f>COUNTIFS($A$4:A1692,A1692)</f>
        <v>529</v>
      </c>
      <c r="C1692" s="26" t="str">
        <f t="shared" si="53"/>
        <v>529</v>
      </c>
      <c r="E1692" s="26"/>
      <c r="F1692" s="26"/>
      <c r="H1692" s="27"/>
      <c r="I1692" s="27"/>
      <c r="J1692" s="27"/>
      <c r="K1692" s="27"/>
      <c r="L1692" s="27"/>
      <c r="M1692" s="27"/>
      <c r="N1692" s="40"/>
      <c r="O1692" s="27"/>
      <c r="P1692" s="27"/>
      <c r="Q1692" s="41"/>
      <c r="R1692" s="40"/>
    </row>
    <row r="1693" spans="1:18" ht="30" customHeight="1" x14ac:dyDescent="0.3">
      <c r="A1693" s="26" t="str">
        <f t="shared" si="52"/>
        <v/>
      </c>
      <c r="B1693" s="26">
        <f>COUNTIFS($A$4:A1693,A1693)</f>
        <v>530</v>
      </c>
      <c r="C1693" s="26" t="str">
        <f t="shared" si="53"/>
        <v>530</v>
      </c>
      <c r="E1693" s="26"/>
      <c r="F1693" s="26"/>
      <c r="H1693" s="27"/>
      <c r="I1693" s="27"/>
      <c r="J1693" s="27"/>
      <c r="K1693" s="27"/>
      <c r="L1693" s="27"/>
      <c r="M1693" s="27"/>
      <c r="N1693" s="40"/>
      <c r="O1693" s="27"/>
      <c r="P1693" s="27"/>
      <c r="Q1693" s="41"/>
      <c r="R1693" s="40"/>
    </row>
    <row r="1694" spans="1:18" ht="30" customHeight="1" x14ac:dyDescent="0.3">
      <c r="A1694" s="26" t="str">
        <f t="shared" si="52"/>
        <v/>
      </c>
      <c r="B1694" s="26">
        <f>COUNTIFS($A$4:A1694,A1694)</f>
        <v>531</v>
      </c>
      <c r="C1694" s="26" t="str">
        <f t="shared" si="53"/>
        <v>531</v>
      </c>
      <c r="E1694" s="26"/>
      <c r="F1694" s="26"/>
      <c r="H1694" s="27"/>
      <c r="I1694" s="27"/>
      <c r="J1694" s="27"/>
      <c r="K1694" s="27"/>
      <c r="L1694" s="27"/>
      <c r="M1694" s="27"/>
      <c r="N1694" s="40"/>
      <c r="O1694" s="27"/>
      <c r="P1694" s="27"/>
      <c r="Q1694" s="41"/>
      <c r="R1694" s="40"/>
    </row>
    <row r="1695" spans="1:18" ht="30" customHeight="1" x14ac:dyDescent="0.3">
      <c r="A1695" s="26" t="str">
        <f t="shared" si="52"/>
        <v/>
      </c>
      <c r="B1695" s="26">
        <f>COUNTIFS($A$4:A1695,A1695)</f>
        <v>532</v>
      </c>
      <c r="C1695" s="26" t="str">
        <f t="shared" si="53"/>
        <v>532</v>
      </c>
      <c r="E1695" s="26"/>
      <c r="F1695" s="26"/>
      <c r="H1695" s="27"/>
      <c r="I1695" s="27"/>
      <c r="J1695" s="27"/>
      <c r="K1695" s="27"/>
      <c r="L1695" s="27"/>
      <c r="M1695" s="27"/>
      <c r="N1695" s="40"/>
      <c r="O1695" s="27"/>
      <c r="P1695" s="27"/>
      <c r="Q1695" s="41"/>
      <c r="R1695" s="40"/>
    </row>
    <row r="1696" spans="1:18" ht="30" customHeight="1" x14ac:dyDescent="0.3">
      <c r="A1696" s="26" t="str">
        <f t="shared" si="52"/>
        <v/>
      </c>
      <c r="B1696" s="26">
        <f>COUNTIFS($A$4:A1696,A1696)</f>
        <v>533</v>
      </c>
      <c r="C1696" s="26" t="str">
        <f t="shared" si="53"/>
        <v>533</v>
      </c>
      <c r="E1696" s="26"/>
      <c r="F1696" s="26"/>
      <c r="H1696" s="27"/>
      <c r="I1696" s="27"/>
      <c r="J1696" s="27"/>
      <c r="K1696" s="27"/>
      <c r="L1696" s="27"/>
      <c r="M1696" s="27"/>
      <c r="N1696" s="40"/>
      <c r="O1696" s="27"/>
      <c r="P1696" s="27"/>
      <c r="Q1696" s="41"/>
      <c r="R1696" s="40"/>
    </row>
    <row r="1697" spans="1:18" ht="30" customHeight="1" x14ac:dyDescent="0.3">
      <c r="A1697" s="26" t="str">
        <f t="shared" si="52"/>
        <v/>
      </c>
      <c r="B1697" s="26">
        <f>COUNTIFS($A$4:A1697,A1697)</f>
        <v>534</v>
      </c>
      <c r="C1697" s="26" t="str">
        <f t="shared" si="53"/>
        <v>534</v>
      </c>
      <c r="E1697" s="26"/>
      <c r="F1697" s="26"/>
      <c r="H1697" s="27"/>
      <c r="I1697" s="27"/>
      <c r="J1697" s="27"/>
      <c r="K1697" s="27"/>
      <c r="L1697" s="27"/>
      <c r="M1697" s="27"/>
      <c r="N1697" s="40"/>
      <c r="O1697" s="27"/>
      <c r="P1697" s="27"/>
      <c r="Q1697" s="41"/>
      <c r="R1697" s="40"/>
    </row>
    <row r="1698" spans="1:18" ht="30" customHeight="1" x14ac:dyDescent="0.3">
      <c r="A1698" s="26" t="str">
        <f t="shared" si="52"/>
        <v/>
      </c>
      <c r="B1698" s="26">
        <f>COUNTIFS($A$4:A1698,A1698)</f>
        <v>535</v>
      </c>
      <c r="C1698" s="26" t="str">
        <f t="shared" si="53"/>
        <v>535</v>
      </c>
      <c r="E1698" s="26"/>
      <c r="F1698" s="26"/>
      <c r="H1698" s="27"/>
      <c r="I1698" s="27"/>
      <c r="J1698" s="27"/>
      <c r="K1698" s="27"/>
      <c r="L1698" s="27"/>
      <c r="M1698" s="27"/>
      <c r="N1698" s="40"/>
      <c r="O1698" s="27"/>
      <c r="P1698" s="27"/>
      <c r="Q1698" s="41"/>
      <c r="R1698" s="40"/>
    </row>
    <row r="1699" spans="1:18" ht="30" customHeight="1" x14ac:dyDescent="0.3">
      <c r="A1699" s="26" t="str">
        <f t="shared" si="52"/>
        <v/>
      </c>
      <c r="B1699" s="26">
        <f>COUNTIFS($A$4:A1699,A1699)</f>
        <v>536</v>
      </c>
      <c r="C1699" s="26" t="str">
        <f t="shared" si="53"/>
        <v>536</v>
      </c>
      <c r="E1699" s="26"/>
      <c r="F1699" s="26"/>
      <c r="H1699" s="27"/>
      <c r="I1699" s="27"/>
      <c r="J1699" s="27"/>
      <c r="K1699" s="27"/>
      <c r="L1699" s="27"/>
      <c r="M1699" s="27"/>
      <c r="N1699" s="40"/>
      <c r="O1699" s="27"/>
      <c r="P1699" s="27"/>
      <c r="Q1699" s="41"/>
      <c r="R1699" s="40"/>
    </row>
    <row r="1700" spans="1:18" ht="30" customHeight="1" x14ac:dyDescent="0.3">
      <c r="A1700" s="26" t="str">
        <f t="shared" si="52"/>
        <v/>
      </c>
      <c r="B1700" s="26">
        <f>COUNTIFS($A$4:A1700,A1700)</f>
        <v>537</v>
      </c>
      <c r="C1700" s="26" t="str">
        <f t="shared" si="53"/>
        <v>537</v>
      </c>
      <c r="E1700" s="26"/>
      <c r="F1700" s="26"/>
      <c r="H1700" s="27"/>
      <c r="I1700" s="27"/>
      <c r="J1700" s="27"/>
      <c r="K1700" s="27"/>
      <c r="L1700" s="27"/>
      <c r="M1700" s="27"/>
      <c r="N1700" s="40"/>
      <c r="O1700" s="27"/>
      <c r="P1700" s="27"/>
      <c r="Q1700" s="41"/>
      <c r="R1700" s="40"/>
    </row>
    <row r="1701" spans="1:18" ht="30" customHeight="1" x14ac:dyDescent="0.3">
      <c r="A1701" s="26" t="str">
        <f t="shared" si="52"/>
        <v/>
      </c>
      <c r="B1701" s="26">
        <f>COUNTIFS($A$4:A1701,A1701)</f>
        <v>538</v>
      </c>
      <c r="C1701" s="26" t="str">
        <f t="shared" si="53"/>
        <v>538</v>
      </c>
      <c r="E1701" s="26"/>
      <c r="F1701" s="26"/>
      <c r="H1701" s="27"/>
      <c r="I1701" s="27"/>
      <c r="J1701" s="27"/>
      <c r="K1701" s="27"/>
      <c r="L1701" s="27"/>
      <c r="M1701" s="27"/>
      <c r="N1701" s="40"/>
      <c r="O1701" s="27"/>
      <c r="P1701" s="27"/>
      <c r="Q1701" s="41"/>
      <c r="R1701" s="40"/>
    </row>
    <row r="1702" spans="1:18" ht="30" customHeight="1" x14ac:dyDescent="0.3">
      <c r="A1702" s="26" t="str">
        <f t="shared" si="52"/>
        <v/>
      </c>
      <c r="B1702" s="26">
        <f>COUNTIFS($A$4:A1702,A1702)</f>
        <v>539</v>
      </c>
      <c r="C1702" s="26" t="str">
        <f t="shared" si="53"/>
        <v>539</v>
      </c>
      <c r="E1702" s="26"/>
      <c r="F1702" s="26"/>
      <c r="H1702" s="27"/>
      <c r="I1702" s="27"/>
      <c r="J1702" s="27"/>
      <c r="K1702" s="27"/>
      <c r="L1702" s="27"/>
      <c r="M1702" s="27"/>
      <c r="N1702" s="40"/>
      <c r="O1702" s="27"/>
      <c r="P1702" s="27"/>
      <c r="Q1702" s="41"/>
      <c r="R1702" s="40"/>
    </row>
    <row r="1703" spans="1:18" ht="30" customHeight="1" x14ac:dyDescent="0.3">
      <c r="A1703" s="26" t="str">
        <f t="shared" si="52"/>
        <v/>
      </c>
      <c r="B1703" s="26">
        <f>COUNTIFS($A$4:A1703,A1703)</f>
        <v>540</v>
      </c>
      <c r="C1703" s="26" t="str">
        <f t="shared" si="53"/>
        <v>540</v>
      </c>
      <c r="E1703" s="26"/>
      <c r="F1703" s="26"/>
      <c r="H1703" s="27"/>
      <c r="I1703" s="27"/>
      <c r="J1703" s="27"/>
      <c r="K1703" s="27"/>
      <c r="L1703" s="27"/>
      <c r="M1703" s="27"/>
      <c r="N1703" s="40"/>
      <c r="O1703" s="27"/>
      <c r="P1703" s="27"/>
      <c r="Q1703" s="41"/>
      <c r="R1703" s="40"/>
    </row>
    <row r="1704" spans="1:18" ht="30" customHeight="1" x14ac:dyDescent="0.3">
      <c r="A1704" s="26" t="str">
        <f t="shared" si="52"/>
        <v/>
      </c>
      <c r="B1704" s="26">
        <f>COUNTIFS($A$4:A1704,A1704)</f>
        <v>541</v>
      </c>
      <c r="C1704" s="26" t="str">
        <f t="shared" si="53"/>
        <v>541</v>
      </c>
      <c r="E1704" s="26"/>
      <c r="F1704" s="26"/>
      <c r="H1704" s="27"/>
      <c r="I1704" s="27"/>
      <c r="J1704" s="27"/>
      <c r="K1704" s="27"/>
      <c r="L1704" s="27"/>
      <c r="M1704" s="27"/>
      <c r="N1704" s="40"/>
      <c r="O1704" s="27"/>
      <c r="P1704" s="27"/>
      <c r="Q1704" s="41"/>
      <c r="R1704" s="40"/>
    </row>
    <row r="1705" spans="1:18" ht="30" customHeight="1" x14ac:dyDescent="0.3">
      <c r="A1705" s="26" t="str">
        <f t="shared" si="52"/>
        <v/>
      </c>
      <c r="B1705" s="26">
        <f>COUNTIFS($A$4:A1705,A1705)</f>
        <v>542</v>
      </c>
      <c r="C1705" s="26" t="str">
        <f t="shared" si="53"/>
        <v>542</v>
      </c>
      <c r="E1705" s="26"/>
      <c r="F1705" s="26"/>
      <c r="H1705" s="27"/>
      <c r="I1705" s="27"/>
      <c r="J1705" s="27"/>
      <c r="K1705" s="27"/>
      <c r="L1705" s="27"/>
      <c r="M1705" s="27"/>
      <c r="N1705" s="40"/>
      <c r="O1705" s="27"/>
      <c r="P1705" s="27"/>
      <c r="Q1705" s="41"/>
      <c r="R1705" s="40"/>
    </row>
    <row r="1706" spans="1:18" ht="30" customHeight="1" x14ac:dyDescent="0.3">
      <c r="A1706" s="26" t="str">
        <f t="shared" si="52"/>
        <v/>
      </c>
      <c r="B1706" s="26">
        <f>COUNTIFS($A$4:A1706,A1706)</f>
        <v>543</v>
      </c>
      <c r="C1706" s="26" t="str">
        <f t="shared" si="53"/>
        <v>543</v>
      </c>
      <c r="E1706" s="26"/>
      <c r="F1706" s="26"/>
      <c r="H1706" s="27"/>
      <c r="I1706" s="27"/>
      <c r="J1706" s="27"/>
      <c r="K1706" s="27"/>
      <c r="L1706" s="27"/>
      <c r="M1706" s="27"/>
      <c r="N1706" s="40"/>
      <c r="O1706" s="27"/>
      <c r="P1706" s="27"/>
      <c r="Q1706" s="41"/>
      <c r="R1706" s="40"/>
    </row>
    <row r="1707" spans="1:18" ht="30" customHeight="1" x14ac:dyDescent="0.3">
      <c r="A1707" s="26" t="str">
        <f t="shared" si="52"/>
        <v/>
      </c>
      <c r="B1707" s="26">
        <f>COUNTIFS($A$4:A1707,A1707)</f>
        <v>544</v>
      </c>
      <c r="C1707" s="26" t="str">
        <f t="shared" si="53"/>
        <v>544</v>
      </c>
      <c r="E1707" s="26"/>
      <c r="F1707" s="26"/>
      <c r="H1707" s="27"/>
      <c r="I1707" s="27"/>
      <c r="J1707" s="27"/>
      <c r="K1707" s="27"/>
      <c r="L1707" s="27"/>
      <c r="M1707" s="27"/>
      <c r="N1707" s="40"/>
      <c r="O1707" s="27"/>
      <c r="P1707" s="27"/>
      <c r="Q1707" s="41"/>
      <c r="R1707" s="40"/>
    </row>
    <row r="1708" spans="1:18" ht="30" customHeight="1" x14ac:dyDescent="0.3">
      <c r="A1708" s="26" t="str">
        <f t="shared" si="52"/>
        <v/>
      </c>
      <c r="B1708" s="26">
        <f>COUNTIFS($A$4:A1708,A1708)</f>
        <v>545</v>
      </c>
      <c r="C1708" s="26" t="str">
        <f t="shared" si="53"/>
        <v>545</v>
      </c>
      <c r="E1708" s="26"/>
      <c r="F1708" s="26"/>
      <c r="H1708" s="27"/>
      <c r="I1708" s="27"/>
      <c r="J1708" s="27"/>
      <c r="K1708" s="27"/>
      <c r="L1708" s="27"/>
      <c r="M1708" s="27"/>
      <c r="N1708" s="40"/>
      <c r="O1708" s="27"/>
      <c r="P1708" s="27"/>
      <c r="Q1708" s="41"/>
      <c r="R1708" s="40"/>
    </row>
    <row r="1709" spans="1:18" ht="30" customHeight="1" x14ac:dyDescent="0.3">
      <c r="A1709" s="26" t="str">
        <f t="shared" si="52"/>
        <v/>
      </c>
      <c r="B1709" s="26">
        <f>COUNTIFS($A$4:A1709,A1709)</f>
        <v>546</v>
      </c>
      <c r="C1709" s="26" t="str">
        <f t="shared" si="53"/>
        <v>546</v>
      </c>
      <c r="E1709" s="26"/>
      <c r="F1709" s="26"/>
      <c r="H1709" s="27"/>
      <c r="I1709" s="27"/>
      <c r="J1709" s="27"/>
      <c r="K1709" s="27"/>
      <c r="L1709" s="27"/>
      <c r="M1709" s="27"/>
      <c r="N1709" s="40"/>
      <c r="O1709" s="27"/>
      <c r="P1709" s="27"/>
      <c r="Q1709" s="41"/>
      <c r="R1709" s="40"/>
    </row>
    <row r="1710" spans="1:18" ht="30" customHeight="1" x14ac:dyDescent="0.3">
      <c r="A1710" s="26" t="str">
        <f t="shared" si="52"/>
        <v/>
      </c>
      <c r="B1710" s="26">
        <f>COUNTIFS($A$4:A1710,A1710)</f>
        <v>547</v>
      </c>
      <c r="C1710" s="26" t="str">
        <f t="shared" si="53"/>
        <v>547</v>
      </c>
      <c r="E1710" s="26"/>
      <c r="F1710" s="26"/>
      <c r="H1710" s="27"/>
      <c r="I1710" s="27"/>
      <c r="J1710" s="27"/>
      <c r="K1710" s="27"/>
      <c r="L1710" s="27"/>
      <c r="M1710" s="27"/>
      <c r="N1710" s="40"/>
      <c r="O1710" s="27"/>
      <c r="P1710" s="27"/>
      <c r="Q1710" s="41"/>
      <c r="R1710" s="40"/>
    </row>
    <row r="1711" spans="1:18" ht="30" customHeight="1" x14ac:dyDescent="0.3">
      <c r="A1711" s="26" t="str">
        <f t="shared" si="52"/>
        <v/>
      </c>
      <c r="B1711" s="26">
        <f>COUNTIFS($A$4:A1711,A1711)</f>
        <v>548</v>
      </c>
      <c r="C1711" s="26" t="str">
        <f t="shared" si="53"/>
        <v>548</v>
      </c>
      <c r="E1711" s="26"/>
      <c r="F1711" s="26"/>
      <c r="H1711" s="27"/>
      <c r="I1711" s="27"/>
      <c r="J1711" s="27"/>
      <c r="K1711" s="27"/>
      <c r="L1711" s="27"/>
      <c r="M1711" s="27"/>
      <c r="N1711" s="40"/>
      <c r="O1711" s="27"/>
      <c r="P1711" s="27"/>
      <c r="Q1711" s="41"/>
      <c r="R1711" s="40"/>
    </row>
    <row r="1712" spans="1:18" ht="30" customHeight="1" x14ac:dyDescent="0.3">
      <c r="A1712" s="26" t="str">
        <f t="shared" si="52"/>
        <v/>
      </c>
      <c r="B1712" s="26">
        <f>COUNTIFS($A$4:A1712,A1712)</f>
        <v>549</v>
      </c>
      <c r="C1712" s="26" t="str">
        <f t="shared" si="53"/>
        <v>549</v>
      </c>
      <c r="E1712" s="26"/>
      <c r="F1712" s="26"/>
      <c r="H1712" s="27"/>
      <c r="I1712" s="27"/>
      <c r="J1712" s="27"/>
      <c r="K1712" s="27"/>
      <c r="L1712" s="27"/>
      <c r="M1712" s="27"/>
      <c r="N1712" s="40"/>
      <c r="O1712" s="27"/>
      <c r="P1712" s="27"/>
      <c r="Q1712" s="41"/>
      <c r="R1712" s="40"/>
    </row>
    <row r="1713" spans="1:18" ht="30" customHeight="1" x14ac:dyDescent="0.3">
      <c r="A1713" s="26" t="str">
        <f t="shared" si="52"/>
        <v/>
      </c>
      <c r="B1713" s="26">
        <f>COUNTIFS($A$4:A1713,A1713)</f>
        <v>550</v>
      </c>
      <c r="C1713" s="26" t="str">
        <f t="shared" si="53"/>
        <v>550</v>
      </c>
      <c r="E1713" s="26"/>
      <c r="F1713" s="26"/>
      <c r="H1713" s="27"/>
      <c r="I1713" s="27"/>
      <c r="J1713" s="27"/>
      <c r="K1713" s="27"/>
      <c r="L1713" s="27"/>
      <c r="M1713" s="27"/>
      <c r="N1713" s="40"/>
      <c r="O1713" s="27"/>
      <c r="P1713" s="27"/>
      <c r="Q1713" s="41"/>
      <c r="R1713" s="40"/>
    </row>
    <row r="1714" spans="1:18" ht="30" customHeight="1" x14ac:dyDescent="0.3">
      <c r="A1714" s="26" t="str">
        <f t="shared" si="52"/>
        <v/>
      </c>
      <c r="B1714" s="26">
        <f>COUNTIFS($A$4:A1714,A1714)</f>
        <v>551</v>
      </c>
      <c r="C1714" s="26" t="str">
        <f t="shared" si="53"/>
        <v>551</v>
      </c>
      <c r="E1714" s="26"/>
      <c r="F1714" s="26"/>
      <c r="H1714" s="27"/>
      <c r="I1714" s="27"/>
      <c r="J1714" s="27"/>
      <c r="K1714" s="27"/>
      <c r="L1714" s="27"/>
      <c r="M1714" s="27"/>
      <c r="N1714" s="40"/>
      <c r="O1714" s="27"/>
      <c r="P1714" s="27"/>
      <c r="Q1714" s="41"/>
      <c r="R1714" s="40"/>
    </row>
    <row r="1715" spans="1:18" ht="30" customHeight="1" x14ac:dyDescent="0.3">
      <c r="A1715" s="26" t="str">
        <f t="shared" si="52"/>
        <v/>
      </c>
      <c r="B1715" s="26">
        <f>COUNTIFS($A$4:A1715,A1715)</f>
        <v>552</v>
      </c>
      <c r="C1715" s="26" t="str">
        <f t="shared" si="53"/>
        <v>552</v>
      </c>
      <c r="E1715" s="26"/>
      <c r="F1715" s="26"/>
      <c r="H1715" s="27"/>
      <c r="I1715" s="27"/>
      <c r="J1715" s="27"/>
      <c r="K1715" s="27"/>
      <c r="L1715" s="27"/>
      <c r="M1715" s="27"/>
      <c r="N1715" s="40"/>
      <c r="O1715" s="27"/>
      <c r="P1715" s="27"/>
      <c r="Q1715" s="41"/>
      <c r="R1715" s="40"/>
    </row>
    <row r="1716" spans="1:18" ht="30" customHeight="1" x14ac:dyDescent="0.3">
      <c r="A1716" s="26" t="str">
        <f t="shared" si="52"/>
        <v/>
      </c>
      <c r="B1716" s="26">
        <f>COUNTIFS($A$4:A1716,A1716)</f>
        <v>553</v>
      </c>
      <c r="C1716" s="26" t="str">
        <f t="shared" si="53"/>
        <v>553</v>
      </c>
      <c r="E1716" s="26"/>
      <c r="F1716" s="26"/>
      <c r="H1716" s="27"/>
      <c r="I1716" s="27"/>
      <c r="J1716" s="27"/>
      <c r="K1716" s="27"/>
      <c r="L1716" s="27"/>
      <c r="M1716" s="27"/>
      <c r="N1716" s="40"/>
      <c r="O1716" s="27"/>
      <c r="P1716" s="27"/>
      <c r="Q1716" s="41"/>
      <c r="R1716" s="40"/>
    </row>
    <row r="1717" spans="1:18" ht="30" customHeight="1" x14ac:dyDescent="0.3">
      <c r="A1717" s="26" t="str">
        <f t="shared" si="52"/>
        <v/>
      </c>
      <c r="B1717" s="26">
        <f>COUNTIFS($A$4:A1717,A1717)</f>
        <v>554</v>
      </c>
      <c r="C1717" s="26" t="str">
        <f t="shared" si="53"/>
        <v>554</v>
      </c>
      <c r="E1717" s="26"/>
      <c r="F1717" s="26"/>
      <c r="H1717" s="27"/>
      <c r="I1717" s="27"/>
      <c r="J1717" s="27"/>
      <c r="K1717" s="27"/>
      <c r="L1717" s="27"/>
      <c r="M1717" s="27"/>
      <c r="N1717" s="40"/>
      <c r="O1717" s="27"/>
      <c r="P1717" s="27"/>
      <c r="Q1717" s="41"/>
      <c r="R1717" s="40"/>
    </row>
    <row r="1718" spans="1:18" ht="30" customHeight="1" x14ac:dyDescent="0.3">
      <c r="A1718" s="26" t="str">
        <f t="shared" si="52"/>
        <v/>
      </c>
      <c r="B1718" s="26">
        <f>COUNTIFS($A$4:A1718,A1718)</f>
        <v>555</v>
      </c>
      <c r="C1718" s="26" t="str">
        <f t="shared" si="53"/>
        <v>555</v>
      </c>
      <c r="E1718" s="26"/>
      <c r="F1718" s="26"/>
      <c r="H1718" s="27"/>
      <c r="I1718" s="27"/>
      <c r="J1718" s="27"/>
      <c r="K1718" s="27"/>
      <c r="L1718" s="27"/>
      <c r="M1718" s="27"/>
      <c r="N1718" s="40"/>
      <c r="O1718" s="27"/>
      <c r="P1718" s="27"/>
      <c r="Q1718" s="41"/>
      <c r="R1718" s="40"/>
    </row>
    <row r="1719" spans="1:18" ht="30" customHeight="1" x14ac:dyDescent="0.3">
      <c r="A1719" s="26" t="str">
        <f t="shared" si="52"/>
        <v/>
      </c>
      <c r="B1719" s="26">
        <f>COUNTIFS($A$4:A1719,A1719)</f>
        <v>556</v>
      </c>
      <c r="C1719" s="26" t="str">
        <f t="shared" si="53"/>
        <v>556</v>
      </c>
      <c r="E1719" s="26"/>
      <c r="F1719" s="26"/>
      <c r="H1719" s="27"/>
      <c r="I1719" s="27"/>
      <c r="J1719" s="27"/>
      <c r="K1719" s="27"/>
      <c r="L1719" s="27"/>
      <c r="M1719" s="27"/>
      <c r="N1719" s="40"/>
      <c r="O1719" s="27"/>
      <c r="P1719" s="27"/>
      <c r="Q1719" s="41"/>
      <c r="R1719" s="40"/>
    </row>
    <row r="1720" spans="1:18" ht="30" customHeight="1" x14ac:dyDescent="0.3">
      <c r="A1720" s="26" t="str">
        <f t="shared" si="52"/>
        <v/>
      </c>
      <c r="B1720" s="26">
        <f>COUNTIFS($A$4:A1720,A1720)</f>
        <v>557</v>
      </c>
      <c r="C1720" s="26" t="str">
        <f t="shared" si="53"/>
        <v>557</v>
      </c>
      <c r="E1720" s="26"/>
      <c r="F1720" s="26"/>
      <c r="H1720" s="27"/>
      <c r="I1720" s="27"/>
      <c r="J1720" s="27"/>
      <c r="K1720" s="27"/>
      <c r="L1720" s="27"/>
      <c r="M1720" s="27"/>
      <c r="N1720" s="40"/>
      <c r="O1720" s="27"/>
      <c r="P1720" s="27"/>
      <c r="Q1720" s="41"/>
      <c r="R1720" s="40"/>
    </row>
    <row r="1721" spans="1:18" ht="30" customHeight="1" x14ac:dyDescent="0.3">
      <c r="A1721" s="26" t="str">
        <f t="shared" si="52"/>
        <v/>
      </c>
      <c r="B1721" s="26">
        <f>COUNTIFS($A$4:A1721,A1721)</f>
        <v>558</v>
      </c>
      <c r="C1721" s="26" t="str">
        <f t="shared" si="53"/>
        <v>558</v>
      </c>
      <c r="E1721" s="26"/>
      <c r="F1721" s="26"/>
      <c r="H1721" s="27"/>
      <c r="I1721" s="27"/>
      <c r="J1721" s="27"/>
      <c r="K1721" s="27"/>
      <c r="L1721" s="27"/>
      <c r="M1721" s="27"/>
      <c r="N1721" s="40"/>
      <c r="O1721" s="27"/>
      <c r="P1721" s="27"/>
      <c r="Q1721" s="41"/>
      <c r="R1721" s="40"/>
    </row>
    <row r="1722" spans="1:18" ht="30" customHeight="1" x14ac:dyDescent="0.3">
      <c r="A1722" s="26" t="str">
        <f t="shared" si="52"/>
        <v/>
      </c>
      <c r="B1722" s="26">
        <f>COUNTIFS($A$4:A1722,A1722)</f>
        <v>559</v>
      </c>
      <c r="C1722" s="26" t="str">
        <f t="shared" si="53"/>
        <v>559</v>
      </c>
      <c r="E1722" s="26"/>
      <c r="F1722" s="26"/>
      <c r="H1722" s="27"/>
      <c r="I1722" s="27"/>
      <c r="J1722" s="27"/>
      <c r="K1722" s="27"/>
      <c r="L1722" s="27"/>
      <c r="M1722" s="27"/>
      <c r="N1722" s="40"/>
      <c r="O1722" s="27"/>
      <c r="P1722" s="27"/>
      <c r="Q1722" s="41"/>
      <c r="R1722" s="40"/>
    </row>
    <row r="1723" spans="1:18" ht="30" customHeight="1" x14ac:dyDescent="0.3">
      <c r="A1723" s="26" t="str">
        <f t="shared" si="52"/>
        <v/>
      </c>
      <c r="B1723" s="26">
        <f>COUNTIFS($A$4:A1723,A1723)</f>
        <v>560</v>
      </c>
      <c r="C1723" s="26" t="str">
        <f t="shared" si="53"/>
        <v>560</v>
      </c>
      <c r="E1723" s="26"/>
      <c r="F1723" s="26"/>
      <c r="H1723" s="27"/>
      <c r="I1723" s="27"/>
      <c r="J1723" s="27"/>
      <c r="K1723" s="27"/>
      <c r="L1723" s="27"/>
      <c r="M1723" s="27"/>
      <c r="N1723" s="40"/>
      <c r="O1723" s="27"/>
      <c r="P1723" s="27"/>
      <c r="Q1723" s="41"/>
      <c r="R1723" s="40"/>
    </row>
    <row r="1724" spans="1:18" ht="30" customHeight="1" x14ac:dyDescent="0.3">
      <c r="A1724" s="26" t="str">
        <f t="shared" si="52"/>
        <v/>
      </c>
      <c r="B1724" s="26">
        <f>COUNTIFS($A$4:A1724,A1724)</f>
        <v>561</v>
      </c>
      <c r="C1724" s="26" t="str">
        <f t="shared" si="53"/>
        <v>561</v>
      </c>
      <c r="E1724" s="26"/>
      <c r="F1724" s="26"/>
      <c r="H1724" s="27"/>
      <c r="I1724" s="27"/>
      <c r="J1724" s="27"/>
      <c r="K1724" s="27"/>
      <c r="L1724" s="27"/>
      <c r="M1724" s="27"/>
      <c r="N1724" s="40"/>
      <c r="O1724" s="27"/>
      <c r="P1724" s="27"/>
      <c r="Q1724" s="41"/>
      <c r="R1724" s="40"/>
    </row>
    <row r="1725" spans="1:18" ht="30" customHeight="1" x14ac:dyDescent="0.3">
      <c r="A1725" s="26" t="str">
        <f t="shared" si="52"/>
        <v/>
      </c>
      <c r="B1725" s="26">
        <f>COUNTIFS($A$4:A1725,A1725)</f>
        <v>562</v>
      </c>
      <c r="C1725" s="26" t="str">
        <f t="shared" si="53"/>
        <v>562</v>
      </c>
      <c r="E1725" s="26"/>
      <c r="F1725" s="26"/>
      <c r="H1725" s="27"/>
      <c r="I1725" s="27"/>
      <c r="J1725" s="27"/>
      <c r="K1725" s="27"/>
      <c r="L1725" s="27"/>
      <c r="M1725" s="27"/>
      <c r="N1725" s="40"/>
      <c r="O1725" s="27"/>
      <c r="P1725" s="27"/>
      <c r="Q1725" s="41"/>
      <c r="R1725" s="40"/>
    </row>
    <row r="1726" spans="1:18" ht="30" customHeight="1" x14ac:dyDescent="0.3">
      <c r="A1726" s="26" t="str">
        <f t="shared" si="52"/>
        <v/>
      </c>
      <c r="B1726" s="26">
        <f>COUNTIFS($A$4:A1726,A1726)</f>
        <v>563</v>
      </c>
      <c r="C1726" s="26" t="str">
        <f t="shared" si="53"/>
        <v>563</v>
      </c>
      <c r="E1726" s="26"/>
      <c r="F1726" s="26"/>
      <c r="H1726" s="27"/>
      <c r="I1726" s="27"/>
      <c r="J1726" s="27"/>
      <c r="K1726" s="27"/>
      <c r="L1726" s="27"/>
      <c r="M1726" s="27"/>
      <c r="N1726" s="40"/>
      <c r="O1726" s="27"/>
      <c r="P1726" s="27"/>
      <c r="Q1726" s="41"/>
      <c r="R1726" s="40"/>
    </row>
    <row r="1727" spans="1:18" ht="30" customHeight="1" x14ac:dyDescent="0.3">
      <c r="A1727" s="26" t="str">
        <f t="shared" si="52"/>
        <v/>
      </c>
      <c r="B1727" s="26">
        <f>COUNTIFS($A$4:A1727,A1727)</f>
        <v>564</v>
      </c>
      <c r="C1727" s="26" t="str">
        <f t="shared" si="53"/>
        <v>564</v>
      </c>
      <c r="E1727" s="26"/>
      <c r="F1727" s="26"/>
      <c r="H1727" s="27"/>
      <c r="I1727" s="27"/>
      <c r="J1727" s="27"/>
      <c r="K1727" s="27"/>
      <c r="L1727" s="27"/>
      <c r="M1727" s="27"/>
      <c r="N1727" s="40"/>
      <c r="O1727" s="27"/>
      <c r="P1727" s="27"/>
      <c r="Q1727" s="41"/>
      <c r="R1727" s="40"/>
    </row>
    <row r="1728" spans="1:18" ht="30" customHeight="1" x14ac:dyDescent="0.3">
      <c r="A1728" s="26" t="str">
        <f t="shared" si="52"/>
        <v/>
      </c>
      <c r="B1728" s="26">
        <f>COUNTIFS($A$4:A1728,A1728)</f>
        <v>565</v>
      </c>
      <c r="C1728" s="26" t="str">
        <f t="shared" si="53"/>
        <v>565</v>
      </c>
      <c r="E1728" s="26"/>
      <c r="F1728" s="26"/>
      <c r="H1728" s="27"/>
      <c r="I1728" s="27"/>
      <c r="J1728" s="27"/>
      <c r="K1728" s="27"/>
      <c r="L1728" s="27"/>
      <c r="M1728" s="27"/>
      <c r="N1728" s="40"/>
      <c r="O1728" s="27"/>
      <c r="P1728" s="27"/>
      <c r="Q1728" s="41"/>
      <c r="R1728" s="40"/>
    </row>
    <row r="1729" spans="1:18" ht="30" customHeight="1" x14ac:dyDescent="0.3">
      <c r="A1729" s="26" t="str">
        <f t="shared" si="52"/>
        <v/>
      </c>
      <c r="B1729" s="26">
        <f>COUNTIFS($A$4:A1729,A1729)</f>
        <v>566</v>
      </c>
      <c r="C1729" s="26" t="str">
        <f t="shared" si="53"/>
        <v>566</v>
      </c>
      <c r="E1729" s="26"/>
      <c r="F1729" s="26"/>
      <c r="H1729" s="27"/>
      <c r="I1729" s="27"/>
      <c r="J1729" s="27"/>
      <c r="K1729" s="27"/>
      <c r="L1729" s="27"/>
      <c r="M1729" s="27"/>
      <c r="N1729" s="40"/>
      <c r="O1729" s="27"/>
      <c r="P1729" s="27"/>
      <c r="Q1729" s="41"/>
      <c r="R1729" s="40"/>
    </row>
    <row r="1730" spans="1:18" ht="30" customHeight="1" x14ac:dyDescent="0.3">
      <c r="A1730" s="26" t="str">
        <f t="shared" si="52"/>
        <v/>
      </c>
      <c r="B1730" s="26">
        <f>COUNTIFS($A$4:A1730,A1730)</f>
        <v>567</v>
      </c>
      <c r="C1730" s="26" t="str">
        <f t="shared" si="53"/>
        <v>567</v>
      </c>
      <c r="E1730" s="26"/>
      <c r="F1730" s="26"/>
      <c r="H1730" s="27"/>
      <c r="I1730" s="27"/>
      <c r="J1730" s="27"/>
      <c r="K1730" s="27"/>
      <c r="L1730" s="27"/>
      <c r="M1730" s="27"/>
      <c r="N1730" s="40"/>
      <c r="O1730" s="27"/>
      <c r="P1730" s="27"/>
      <c r="Q1730" s="41"/>
      <c r="R1730" s="40"/>
    </row>
    <row r="1731" spans="1:18" ht="30" customHeight="1" x14ac:dyDescent="0.3">
      <c r="A1731" s="26" t="str">
        <f t="shared" si="52"/>
        <v/>
      </c>
      <c r="B1731" s="26">
        <f>COUNTIFS($A$4:A1731,A1731)</f>
        <v>568</v>
      </c>
      <c r="C1731" s="26" t="str">
        <f t="shared" si="53"/>
        <v>568</v>
      </c>
      <c r="E1731" s="26"/>
      <c r="F1731" s="26"/>
      <c r="H1731" s="27"/>
      <c r="I1731" s="27"/>
      <c r="J1731" s="27"/>
      <c r="K1731" s="27"/>
      <c r="L1731" s="27"/>
      <c r="M1731" s="27"/>
      <c r="N1731" s="40"/>
      <c r="O1731" s="27"/>
      <c r="P1731" s="27"/>
      <c r="Q1731" s="41"/>
      <c r="R1731" s="40"/>
    </row>
    <row r="1732" spans="1:18" ht="30" customHeight="1" x14ac:dyDescent="0.3">
      <c r="A1732" s="26" t="str">
        <f t="shared" si="52"/>
        <v/>
      </c>
      <c r="B1732" s="26">
        <f>COUNTIFS($A$4:A1732,A1732)</f>
        <v>569</v>
      </c>
      <c r="C1732" s="26" t="str">
        <f t="shared" si="53"/>
        <v>569</v>
      </c>
      <c r="E1732" s="26"/>
      <c r="F1732" s="26"/>
      <c r="H1732" s="27"/>
      <c r="I1732" s="27"/>
      <c r="J1732" s="27"/>
      <c r="K1732" s="27"/>
      <c r="L1732" s="27"/>
      <c r="M1732" s="27"/>
      <c r="N1732" s="40"/>
      <c r="O1732" s="27"/>
      <c r="P1732" s="27"/>
      <c r="Q1732" s="41"/>
      <c r="R1732" s="40"/>
    </row>
    <row r="1733" spans="1:18" ht="30" customHeight="1" x14ac:dyDescent="0.3">
      <c r="A1733" s="26" t="str">
        <f t="shared" si="52"/>
        <v/>
      </c>
      <c r="B1733" s="26">
        <f>COUNTIFS($A$4:A1733,A1733)</f>
        <v>570</v>
      </c>
      <c r="C1733" s="26" t="str">
        <f t="shared" si="53"/>
        <v>570</v>
      </c>
      <c r="E1733" s="26"/>
      <c r="F1733" s="26"/>
      <c r="H1733" s="27"/>
      <c r="I1733" s="27"/>
      <c r="J1733" s="27"/>
      <c r="K1733" s="27"/>
      <c r="L1733" s="27"/>
      <c r="M1733" s="27"/>
      <c r="N1733" s="40"/>
      <c r="O1733" s="27"/>
      <c r="P1733" s="27"/>
      <c r="Q1733" s="41"/>
      <c r="R1733" s="40"/>
    </row>
    <row r="1734" spans="1:18" ht="30" customHeight="1" x14ac:dyDescent="0.3">
      <c r="A1734" s="26" t="str">
        <f t="shared" si="52"/>
        <v/>
      </c>
      <c r="B1734" s="26">
        <f>COUNTIFS($A$4:A1734,A1734)</f>
        <v>571</v>
      </c>
      <c r="C1734" s="26" t="str">
        <f t="shared" si="53"/>
        <v>571</v>
      </c>
      <c r="E1734" s="26"/>
      <c r="F1734" s="26"/>
      <c r="H1734" s="27"/>
      <c r="I1734" s="27"/>
      <c r="J1734" s="27"/>
      <c r="K1734" s="27"/>
      <c r="L1734" s="27"/>
      <c r="M1734" s="27"/>
      <c r="N1734" s="40"/>
      <c r="O1734" s="27"/>
      <c r="P1734" s="27"/>
      <c r="Q1734" s="41"/>
      <c r="R1734" s="40"/>
    </row>
    <row r="1735" spans="1:18" ht="30" customHeight="1" x14ac:dyDescent="0.3">
      <c r="A1735" s="26" t="str">
        <f t="shared" si="52"/>
        <v/>
      </c>
      <c r="B1735" s="26">
        <f>COUNTIFS($A$4:A1735,A1735)</f>
        <v>572</v>
      </c>
      <c r="C1735" s="26" t="str">
        <f t="shared" si="53"/>
        <v>572</v>
      </c>
      <c r="E1735" s="26"/>
      <c r="F1735" s="26"/>
      <c r="H1735" s="27"/>
      <c r="I1735" s="27"/>
      <c r="J1735" s="27"/>
      <c r="K1735" s="27"/>
      <c r="L1735" s="27"/>
      <c r="M1735" s="27"/>
      <c r="N1735" s="40"/>
      <c r="O1735" s="27"/>
      <c r="P1735" s="27"/>
      <c r="Q1735" s="41"/>
      <c r="R1735" s="40"/>
    </row>
    <row r="1736" spans="1:18" ht="30" customHeight="1" x14ac:dyDescent="0.3">
      <c r="A1736" s="26" t="str">
        <f t="shared" si="52"/>
        <v/>
      </c>
      <c r="B1736" s="26">
        <f>COUNTIFS($A$4:A1736,A1736)</f>
        <v>573</v>
      </c>
      <c r="C1736" s="26" t="str">
        <f t="shared" si="53"/>
        <v>573</v>
      </c>
      <c r="E1736" s="26"/>
      <c r="F1736" s="26"/>
      <c r="H1736" s="27"/>
      <c r="I1736" s="27"/>
      <c r="J1736" s="27"/>
      <c r="K1736" s="27"/>
      <c r="L1736" s="27"/>
      <c r="M1736" s="27"/>
      <c r="N1736" s="40"/>
      <c r="O1736" s="27"/>
      <c r="P1736" s="27"/>
      <c r="Q1736" s="41"/>
      <c r="R1736" s="40"/>
    </row>
    <row r="1737" spans="1:18" ht="30" customHeight="1" x14ac:dyDescent="0.3">
      <c r="A1737" s="26" t="str">
        <f t="shared" si="52"/>
        <v/>
      </c>
      <c r="B1737" s="26">
        <f>COUNTIFS($A$4:A1737,A1737)</f>
        <v>574</v>
      </c>
      <c r="C1737" s="26" t="str">
        <f t="shared" si="53"/>
        <v>574</v>
      </c>
      <c r="E1737" s="26"/>
      <c r="F1737" s="26"/>
      <c r="H1737" s="27"/>
      <c r="I1737" s="27"/>
      <c r="J1737" s="27"/>
      <c r="K1737" s="27"/>
      <c r="L1737" s="27"/>
      <c r="M1737" s="27"/>
      <c r="N1737" s="40"/>
      <c r="O1737" s="27"/>
      <c r="P1737" s="27"/>
      <c r="Q1737" s="41"/>
      <c r="R1737" s="40"/>
    </row>
    <row r="1738" spans="1:18" ht="30" customHeight="1" x14ac:dyDescent="0.3">
      <c r="A1738" s="26" t="str">
        <f t="shared" si="52"/>
        <v/>
      </c>
      <c r="B1738" s="26">
        <f>COUNTIFS($A$4:A1738,A1738)</f>
        <v>575</v>
      </c>
      <c r="C1738" s="26" t="str">
        <f t="shared" si="53"/>
        <v>575</v>
      </c>
      <c r="E1738" s="26"/>
      <c r="F1738" s="26"/>
      <c r="H1738" s="27"/>
      <c r="I1738" s="27"/>
      <c r="J1738" s="27"/>
      <c r="K1738" s="27"/>
      <c r="L1738" s="27"/>
      <c r="M1738" s="27"/>
      <c r="N1738" s="40"/>
      <c r="O1738" s="27"/>
      <c r="P1738" s="27"/>
      <c r="Q1738" s="41"/>
      <c r="R1738" s="40"/>
    </row>
    <row r="1739" spans="1:18" ht="30" customHeight="1" x14ac:dyDescent="0.3">
      <c r="A1739" s="26" t="str">
        <f t="shared" si="52"/>
        <v/>
      </c>
      <c r="B1739" s="26">
        <f>COUNTIFS($A$4:A1739,A1739)</f>
        <v>576</v>
      </c>
      <c r="C1739" s="26" t="str">
        <f t="shared" si="53"/>
        <v>576</v>
      </c>
      <c r="E1739" s="26"/>
      <c r="F1739" s="26"/>
      <c r="H1739" s="27"/>
      <c r="I1739" s="27"/>
      <c r="J1739" s="27"/>
      <c r="K1739" s="27"/>
      <c r="L1739" s="27"/>
      <c r="M1739" s="27"/>
      <c r="N1739" s="40"/>
      <c r="O1739" s="27"/>
      <c r="P1739" s="27"/>
      <c r="Q1739" s="41"/>
      <c r="R1739" s="40"/>
    </row>
    <row r="1740" spans="1:18" ht="30" customHeight="1" x14ac:dyDescent="0.3">
      <c r="A1740" s="26" t="str">
        <f t="shared" si="52"/>
        <v/>
      </c>
      <c r="B1740" s="26">
        <f>COUNTIFS($A$4:A1740,A1740)</f>
        <v>577</v>
      </c>
      <c r="C1740" s="26" t="str">
        <f t="shared" si="53"/>
        <v>577</v>
      </c>
      <c r="E1740" s="26"/>
      <c r="F1740" s="26"/>
      <c r="H1740" s="27"/>
      <c r="I1740" s="27"/>
      <c r="J1740" s="27"/>
      <c r="K1740" s="27"/>
      <c r="L1740" s="27"/>
      <c r="M1740" s="27"/>
      <c r="N1740" s="40"/>
      <c r="O1740" s="27"/>
      <c r="P1740" s="27"/>
      <c r="Q1740" s="41"/>
      <c r="R1740" s="40"/>
    </row>
    <row r="1741" spans="1:18" ht="30" customHeight="1" x14ac:dyDescent="0.3">
      <c r="A1741" s="26" t="str">
        <f t="shared" si="52"/>
        <v/>
      </c>
      <c r="B1741" s="26">
        <f>COUNTIFS($A$4:A1741,A1741)</f>
        <v>578</v>
      </c>
      <c r="C1741" s="26" t="str">
        <f t="shared" si="53"/>
        <v>578</v>
      </c>
      <c r="E1741" s="26"/>
      <c r="F1741" s="26"/>
      <c r="H1741" s="27"/>
      <c r="I1741" s="27"/>
      <c r="J1741" s="27"/>
      <c r="K1741" s="27"/>
      <c r="L1741" s="27"/>
      <c r="M1741" s="27"/>
      <c r="N1741" s="40"/>
      <c r="O1741" s="27"/>
      <c r="P1741" s="27"/>
      <c r="Q1741" s="41"/>
      <c r="R1741" s="40"/>
    </row>
    <row r="1742" spans="1:18" ht="30" customHeight="1" x14ac:dyDescent="0.3">
      <c r="A1742" s="26" t="str">
        <f t="shared" si="52"/>
        <v/>
      </c>
      <c r="B1742" s="26">
        <f>COUNTIFS($A$4:A1742,A1742)</f>
        <v>579</v>
      </c>
      <c r="C1742" s="26" t="str">
        <f t="shared" si="53"/>
        <v>579</v>
      </c>
      <c r="E1742" s="26"/>
      <c r="F1742" s="26"/>
      <c r="H1742" s="27"/>
      <c r="I1742" s="27"/>
      <c r="J1742" s="27"/>
      <c r="K1742" s="27"/>
      <c r="L1742" s="27"/>
      <c r="M1742" s="27"/>
      <c r="N1742" s="40"/>
      <c r="O1742" s="27"/>
      <c r="P1742" s="27"/>
      <c r="Q1742" s="41"/>
      <c r="R1742" s="40"/>
    </row>
    <row r="1743" spans="1:18" ht="30" customHeight="1" x14ac:dyDescent="0.3">
      <c r="A1743" s="26" t="str">
        <f t="shared" si="52"/>
        <v/>
      </c>
      <c r="B1743" s="26">
        <f>COUNTIFS($A$4:A1743,A1743)</f>
        <v>580</v>
      </c>
      <c r="C1743" s="26" t="str">
        <f t="shared" si="53"/>
        <v>580</v>
      </c>
      <c r="E1743" s="26"/>
      <c r="F1743" s="26"/>
      <c r="H1743" s="27"/>
      <c r="I1743" s="27"/>
      <c r="J1743" s="27"/>
      <c r="K1743" s="27"/>
      <c r="L1743" s="27"/>
      <c r="M1743" s="27"/>
      <c r="N1743" s="40"/>
      <c r="O1743" s="27"/>
      <c r="P1743" s="27"/>
      <c r="Q1743" s="41"/>
      <c r="R1743" s="40"/>
    </row>
    <row r="1744" spans="1:18" ht="30" customHeight="1" x14ac:dyDescent="0.3">
      <c r="A1744" s="26" t="str">
        <f t="shared" si="52"/>
        <v/>
      </c>
      <c r="B1744" s="26">
        <f>COUNTIFS($A$4:A1744,A1744)</f>
        <v>581</v>
      </c>
      <c r="C1744" s="26" t="str">
        <f t="shared" si="53"/>
        <v>581</v>
      </c>
      <c r="E1744" s="26"/>
      <c r="F1744" s="26"/>
      <c r="H1744" s="27"/>
      <c r="I1744" s="27"/>
      <c r="J1744" s="27"/>
      <c r="K1744" s="27"/>
      <c r="L1744" s="27"/>
      <c r="M1744" s="27"/>
      <c r="N1744" s="40"/>
      <c r="O1744" s="27"/>
      <c r="P1744" s="27"/>
      <c r="Q1744" s="41"/>
      <c r="R1744" s="40"/>
    </row>
    <row r="1745" spans="1:18" ht="30" customHeight="1" x14ac:dyDescent="0.3">
      <c r="A1745" s="26" t="str">
        <f t="shared" ref="A1745:A1808" si="54">I1745&amp;H1745</f>
        <v/>
      </c>
      <c r="B1745" s="26">
        <f>COUNTIFS($A$4:A1745,A1745)</f>
        <v>582</v>
      </c>
      <c r="C1745" s="26" t="str">
        <f t="shared" ref="C1745:C1808" si="55">A1745&amp;B1745</f>
        <v>582</v>
      </c>
      <c r="E1745" s="26"/>
      <c r="F1745" s="26"/>
      <c r="H1745" s="27"/>
      <c r="I1745" s="27"/>
      <c r="J1745" s="27"/>
      <c r="K1745" s="27"/>
      <c r="L1745" s="27"/>
      <c r="M1745" s="27"/>
      <c r="N1745" s="40"/>
      <c r="O1745" s="27"/>
      <c r="P1745" s="27"/>
      <c r="Q1745" s="41"/>
      <c r="R1745" s="40"/>
    </row>
    <row r="1746" spans="1:18" ht="30" customHeight="1" x14ac:dyDescent="0.3">
      <c r="A1746" s="26" t="str">
        <f t="shared" si="54"/>
        <v/>
      </c>
      <c r="B1746" s="26">
        <f>COUNTIFS($A$4:A1746,A1746)</f>
        <v>583</v>
      </c>
      <c r="C1746" s="26" t="str">
        <f t="shared" si="55"/>
        <v>583</v>
      </c>
      <c r="E1746" s="26"/>
      <c r="F1746" s="26"/>
      <c r="H1746" s="27"/>
      <c r="I1746" s="27"/>
      <c r="J1746" s="27"/>
      <c r="K1746" s="27"/>
      <c r="L1746" s="27"/>
      <c r="M1746" s="27"/>
      <c r="N1746" s="40"/>
      <c r="O1746" s="27"/>
      <c r="P1746" s="27"/>
      <c r="Q1746" s="41"/>
      <c r="R1746" s="40"/>
    </row>
    <row r="1747" spans="1:18" ht="30" customHeight="1" x14ac:dyDescent="0.3">
      <c r="A1747" s="26" t="str">
        <f t="shared" si="54"/>
        <v/>
      </c>
      <c r="B1747" s="26">
        <f>COUNTIFS($A$4:A1747,A1747)</f>
        <v>584</v>
      </c>
      <c r="C1747" s="26" t="str">
        <f t="shared" si="55"/>
        <v>584</v>
      </c>
      <c r="E1747" s="26"/>
      <c r="F1747" s="26"/>
      <c r="H1747" s="27"/>
      <c r="I1747" s="27"/>
      <c r="J1747" s="27"/>
      <c r="K1747" s="27"/>
      <c r="L1747" s="27"/>
      <c r="M1747" s="27"/>
      <c r="N1747" s="40"/>
      <c r="O1747" s="27"/>
      <c r="P1747" s="27"/>
      <c r="Q1747" s="41"/>
      <c r="R1747" s="40"/>
    </row>
    <row r="1748" spans="1:18" ht="30" customHeight="1" x14ac:dyDescent="0.3">
      <c r="A1748" s="26" t="str">
        <f t="shared" si="54"/>
        <v/>
      </c>
      <c r="B1748" s="26">
        <f>COUNTIFS($A$4:A1748,A1748)</f>
        <v>585</v>
      </c>
      <c r="C1748" s="26" t="str">
        <f t="shared" si="55"/>
        <v>585</v>
      </c>
      <c r="E1748" s="26"/>
      <c r="F1748" s="26"/>
      <c r="H1748" s="27"/>
      <c r="I1748" s="27"/>
      <c r="J1748" s="27"/>
      <c r="K1748" s="27"/>
      <c r="L1748" s="27"/>
      <c r="M1748" s="27"/>
      <c r="N1748" s="40"/>
      <c r="O1748" s="27"/>
      <c r="P1748" s="27"/>
      <c r="Q1748" s="41"/>
      <c r="R1748" s="40"/>
    </row>
    <row r="1749" spans="1:18" ht="30" customHeight="1" x14ac:dyDescent="0.3">
      <c r="A1749" s="26" t="str">
        <f t="shared" si="54"/>
        <v/>
      </c>
      <c r="B1749" s="26">
        <f>COUNTIFS($A$4:A1749,A1749)</f>
        <v>586</v>
      </c>
      <c r="C1749" s="26" t="str">
        <f t="shared" si="55"/>
        <v>586</v>
      </c>
      <c r="E1749" s="26"/>
      <c r="F1749" s="26"/>
      <c r="H1749" s="27"/>
      <c r="I1749" s="27"/>
      <c r="J1749" s="27"/>
      <c r="K1749" s="27"/>
      <c r="L1749" s="27"/>
      <c r="M1749" s="27"/>
      <c r="N1749" s="40"/>
      <c r="O1749" s="27"/>
      <c r="P1749" s="27"/>
      <c r="Q1749" s="41"/>
      <c r="R1749" s="40"/>
    </row>
    <row r="1750" spans="1:18" ht="30" customHeight="1" x14ac:dyDescent="0.3">
      <c r="A1750" s="26" t="str">
        <f t="shared" si="54"/>
        <v/>
      </c>
      <c r="B1750" s="26">
        <f>COUNTIFS($A$4:A1750,A1750)</f>
        <v>587</v>
      </c>
      <c r="C1750" s="26" t="str">
        <f t="shared" si="55"/>
        <v>587</v>
      </c>
      <c r="E1750" s="26"/>
      <c r="F1750" s="26"/>
      <c r="H1750" s="27"/>
      <c r="I1750" s="27"/>
      <c r="J1750" s="27"/>
      <c r="K1750" s="27"/>
      <c r="L1750" s="27"/>
      <c r="M1750" s="27"/>
      <c r="N1750" s="40"/>
      <c r="O1750" s="27"/>
      <c r="P1750" s="27"/>
      <c r="Q1750" s="41"/>
      <c r="R1750" s="40"/>
    </row>
    <row r="1751" spans="1:18" ht="30" customHeight="1" x14ac:dyDescent="0.3">
      <c r="A1751" s="26" t="str">
        <f t="shared" si="54"/>
        <v/>
      </c>
      <c r="B1751" s="26">
        <f>COUNTIFS($A$4:A1751,A1751)</f>
        <v>588</v>
      </c>
      <c r="C1751" s="26" t="str">
        <f t="shared" si="55"/>
        <v>588</v>
      </c>
      <c r="E1751" s="26"/>
      <c r="F1751" s="26"/>
      <c r="H1751" s="27"/>
      <c r="I1751" s="27"/>
      <c r="J1751" s="27"/>
      <c r="K1751" s="27"/>
      <c r="L1751" s="27"/>
      <c r="M1751" s="27"/>
      <c r="N1751" s="40"/>
      <c r="O1751" s="27"/>
      <c r="P1751" s="27"/>
      <c r="Q1751" s="41"/>
      <c r="R1751" s="40"/>
    </row>
    <row r="1752" spans="1:18" ht="30" customHeight="1" x14ac:dyDescent="0.3">
      <c r="A1752" s="26" t="str">
        <f t="shared" si="54"/>
        <v/>
      </c>
      <c r="B1752" s="26">
        <f>COUNTIFS($A$4:A1752,A1752)</f>
        <v>589</v>
      </c>
      <c r="C1752" s="26" t="str">
        <f t="shared" si="55"/>
        <v>589</v>
      </c>
      <c r="E1752" s="26"/>
      <c r="F1752" s="26"/>
      <c r="H1752" s="27"/>
      <c r="I1752" s="27"/>
      <c r="J1752" s="27"/>
      <c r="K1752" s="27"/>
      <c r="L1752" s="27"/>
      <c r="M1752" s="27"/>
      <c r="N1752" s="40"/>
      <c r="O1752" s="27"/>
      <c r="P1752" s="27"/>
      <c r="Q1752" s="41"/>
      <c r="R1752" s="40"/>
    </row>
    <row r="1753" spans="1:18" ht="30" customHeight="1" x14ac:dyDescent="0.3">
      <c r="A1753" s="26" t="str">
        <f t="shared" si="54"/>
        <v/>
      </c>
      <c r="B1753" s="26">
        <f>COUNTIFS($A$4:A1753,A1753)</f>
        <v>590</v>
      </c>
      <c r="C1753" s="26" t="str">
        <f t="shared" si="55"/>
        <v>590</v>
      </c>
      <c r="E1753" s="26"/>
      <c r="F1753" s="26"/>
      <c r="H1753" s="27"/>
      <c r="I1753" s="27"/>
      <c r="J1753" s="27"/>
      <c r="K1753" s="27"/>
      <c r="L1753" s="27"/>
      <c r="M1753" s="27"/>
      <c r="N1753" s="40"/>
      <c r="O1753" s="27"/>
      <c r="P1753" s="27"/>
      <c r="Q1753" s="41"/>
      <c r="R1753" s="40"/>
    </row>
    <row r="1754" spans="1:18" ht="30" customHeight="1" x14ac:dyDescent="0.3">
      <c r="A1754" s="26" t="str">
        <f t="shared" si="54"/>
        <v/>
      </c>
      <c r="B1754" s="26">
        <f>COUNTIFS($A$4:A1754,A1754)</f>
        <v>591</v>
      </c>
      <c r="C1754" s="26" t="str">
        <f t="shared" si="55"/>
        <v>591</v>
      </c>
      <c r="E1754" s="26"/>
      <c r="F1754" s="26"/>
      <c r="H1754" s="27"/>
      <c r="I1754" s="27"/>
      <c r="J1754" s="27"/>
      <c r="K1754" s="27"/>
      <c r="L1754" s="27"/>
      <c r="M1754" s="27"/>
      <c r="N1754" s="40"/>
      <c r="O1754" s="27"/>
      <c r="P1754" s="27"/>
      <c r="Q1754" s="41"/>
      <c r="R1754" s="40"/>
    </row>
    <row r="1755" spans="1:18" ht="30" customHeight="1" x14ac:dyDescent="0.3">
      <c r="A1755" s="26" t="str">
        <f t="shared" si="54"/>
        <v/>
      </c>
      <c r="B1755" s="26">
        <f>COUNTIFS($A$4:A1755,A1755)</f>
        <v>592</v>
      </c>
      <c r="C1755" s="26" t="str">
        <f t="shared" si="55"/>
        <v>592</v>
      </c>
      <c r="E1755" s="26"/>
      <c r="F1755" s="26"/>
      <c r="H1755" s="27"/>
      <c r="I1755" s="27"/>
      <c r="J1755" s="27"/>
      <c r="K1755" s="27"/>
      <c r="L1755" s="27"/>
      <c r="M1755" s="27"/>
      <c r="N1755" s="40"/>
      <c r="O1755" s="27"/>
      <c r="P1755" s="27"/>
      <c r="Q1755" s="41"/>
      <c r="R1755" s="40"/>
    </row>
    <row r="1756" spans="1:18" ht="30" customHeight="1" x14ac:dyDescent="0.3">
      <c r="A1756" s="26" t="str">
        <f t="shared" si="54"/>
        <v/>
      </c>
      <c r="B1756" s="26">
        <f>COUNTIFS($A$4:A1756,A1756)</f>
        <v>593</v>
      </c>
      <c r="C1756" s="26" t="str">
        <f t="shared" si="55"/>
        <v>593</v>
      </c>
      <c r="E1756" s="26"/>
      <c r="F1756" s="26"/>
      <c r="H1756" s="27"/>
      <c r="I1756" s="27"/>
      <c r="J1756" s="27"/>
      <c r="K1756" s="27"/>
      <c r="L1756" s="27"/>
      <c r="M1756" s="27"/>
      <c r="N1756" s="40"/>
      <c r="O1756" s="27"/>
      <c r="P1756" s="27"/>
      <c r="Q1756" s="41"/>
      <c r="R1756" s="40"/>
    </row>
    <row r="1757" spans="1:18" ht="30" customHeight="1" x14ac:dyDescent="0.3">
      <c r="A1757" s="26" t="str">
        <f t="shared" si="54"/>
        <v/>
      </c>
      <c r="B1757" s="26">
        <f>COUNTIFS($A$4:A1757,A1757)</f>
        <v>594</v>
      </c>
      <c r="C1757" s="26" t="str">
        <f t="shared" si="55"/>
        <v>594</v>
      </c>
      <c r="E1757" s="26"/>
      <c r="F1757" s="26"/>
      <c r="H1757" s="27"/>
      <c r="I1757" s="27"/>
      <c r="J1757" s="27"/>
      <c r="K1757" s="27"/>
      <c r="L1757" s="27"/>
      <c r="M1757" s="27"/>
      <c r="N1757" s="40"/>
      <c r="O1757" s="27"/>
      <c r="P1757" s="27"/>
      <c r="Q1757" s="41"/>
      <c r="R1757" s="40"/>
    </row>
    <row r="1758" spans="1:18" ht="30" customHeight="1" x14ac:dyDescent="0.3">
      <c r="A1758" s="26" t="str">
        <f t="shared" si="54"/>
        <v/>
      </c>
      <c r="B1758" s="26">
        <f>COUNTIFS($A$4:A1758,A1758)</f>
        <v>595</v>
      </c>
      <c r="C1758" s="26" t="str">
        <f t="shared" si="55"/>
        <v>595</v>
      </c>
      <c r="E1758" s="26"/>
      <c r="F1758" s="26"/>
      <c r="H1758" s="27"/>
      <c r="I1758" s="27"/>
      <c r="J1758" s="27"/>
      <c r="K1758" s="27"/>
      <c r="L1758" s="27"/>
      <c r="M1758" s="27"/>
      <c r="N1758" s="40"/>
      <c r="O1758" s="27"/>
      <c r="P1758" s="27"/>
      <c r="Q1758" s="41"/>
      <c r="R1758" s="40"/>
    </row>
    <row r="1759" spans="1:18" ht="30" customHeight="1" x14ac:dyDescent="0.3">
      <c r="A1759" s="26" t="str">
        <f t="shared" si="54"/>
        <v/>
      </c>
      <c r="B1759" s="26">
        <f>COUNTIFS($A$4:A1759,A1759)</f>
        <v>596</v>
      </c>
      <c r="C1759" s="26" t="str">
        <f t="shared" si="55"/>
        <v>596</v>
      </c>
      <c r="E1759" s="26"/>
      <c r="F1759" s="26"/>
      <c r="H1759" s="27"/>
      <c r="I1759" s="27"/>
      <c r="J1759" s="27"/>
      <c r="K1759" s="27"/>
      <c r="L1759" s="27"/>
      <c r="M1759" s="27"/>
      <c r="N1759" s="40"/>
      <c r="O1759" s="27"/>
      <c r="P1759" s="27"/>
      <c r="Q1759" s="41"/>
      <c r="R1759" s="40"/>
    </row>
    <row r="1760" spans="1:18" ht="30" customHeight="1" x14ac:dyDescent="0.3">
      <c r="A1760" s="26" t="str">
        <f t="shared" si="54"/>
        <v/>
      </c>
      <c r="B1760" s="26">
        <f>COUNTIFS($A$4:A1760,A1760)</f>
        <v>597</v>
      </c>
      <c r="C1760" s="26" t="str">
        <f t="shared" si="55"/>
        <v>597</v>
      </c>
      <c r="E1760" s="26"/>
      <c r="F1760" s="26"/>
      <c r="H1760" s="27"/>
      <c r="I1760" s="27"/>
      <c r="J1760" s="27"/>
      <c r="K1760" s="27"/>
      <c r="L1760" s="27"/>
      <c r="M1760" s="27"/>
      <c r="N1760" s="40"/>
      <c r="O1760" s="27"/>
      <c r="P1760" s="27"/>
      <c r="Q1760" s="41"/>
      <c r="R1760" s="40"/>
    </row>
    <row r="1761" spans="1:18" ht="30" customHeight="1" x14ac:dyDescent="0.3">
      <c r="A1761" s="26" t="str">
        <f t="shared" si="54"/>
        <v/>
      </c>
      <c r="B1761" s="26">
        <f>COUNTIFS($A$4:A1761,A1761)</f>
        <v>598</v>
      </c>
      <c r="C1761" s="26" t="str">
        <f t="shared" si="55"/>
        <v>598</v>
      </c>
      <c r="E1761" s="26"/>
      <c r="F1761" s="26"/>
      <c r="H1761" s="27"/>
      <c r="I1761" s="27"/>
      <c r="J1761" s="27"/>
      <c r="K1761" s="27"/>
      <c r="L1761" s="27"/>
      <c r="M1761" s="27"/>
      <c r="N1761" s="40"/>
      <c r="O1761" s="27"/>
      <c r="P1761" s="27"/>
      <c r="Q1761" s="41"/>
      <c r="R1761" s="40"/>
    </row>
    <row r="1762" spans="1:18" ht="30" customHeight="1" x14ac:dyDescent="0.3">
      <c r="A1762" s="26" t="str">
        <f t="shared" si="54"/>
        <v/>
      </c>
      <c r="B1762" s="26">
        <f>COUNTIFS($A$4:A1762,A1762)</f>
        <v>599</v>
      </c>
      <c r="C1762" s="26" t="str">
        <f t="shared" si="55"/>
        <v>599</v>
      </c>
      <c r="E1762" s="26"/>
      <c r="F1762" s="26"/>
      <c r="H1762" s="27"/>
      <c r="I1762" s="27"/>
      <c r="J1762" s="27"/>
      <c r="K1762" s="27"/>
      <c r="L1762" s="27"/>
      <c r="M1762" s="27"/>
      <c r="N1762" s="40"/>
      <c r="O1762" s="27"/>
      <c r="P1762" s="27"/>
      <c r="Q1762" s="41"/>
      <c r="R1762" s="40"/>
    </row>
    <row r="1763" spans="1:18" ht="30" customHeight="1" x14ac:dyDescent="0.3">
      <c r="A1763" s="26" t="str">
        <f t="shared" si="54"/>
        <v/>
      </c>
      <c r="B1763" s="26">
        <f>COUNTIFS($A$4:A1763,A1763)</f>
        <v>600</v>
      </c>
      <c r="C1763" s="26" t="str">
        <f t="shared" si="55"/>
        <v>600</v>
      </c>
      <c r="E1763" s="26"/>
      <c r="F1763" s="26"/>
      <c r="H1763" s="27"/>
      <c r="I1763" s="27"/>
      <c r="J1763" s="27"/>
      <c r="K1763" s="27"/>
      <c r="L1763" s="27"/>
      <c r="M1763" s="27"/>
      <c r="N1763" s="40"/>
      <c r="O1763" s="27"/>
      <c r="P1763" s="27"/>
      <c r="Q1763" s="41"/>
      <c r="R1763" s="40"/>
    </row>
    <row r="1764" spans="1:18" ht="30" customHeight="1" x14ac:dyDescent="0.3">
      <c r="A1764" s="26" t="str">
        <f t="shared" si="54"/>
        <v/>
      </c>
      <c r="B1764" s="26">
        <f>COUNTIFS($A$4:A1764,A1764)</f>
        <v>601</v>
      </c>
      <c r="C1764" s="26" t="str">
        <f t="shared" si="55"/>
        <v>601</v>
      </c>
      <c r="E1764" s="26"/>
      <c r="F1764" s="26"/>
      <c r="H1764" s="27"/>
      <c r="I1764" s="27"/>
      <c r="J1764" s="27"/>
      <c r="K1764" s="27"/>
      <c r="L1764" s="27"/>
      <c r="M1764" s="27"/>
      <c r="N1764" s="40"/>
      <c r="O1764" s="27"/>
      <c r="P1764" s="27"/>
      <c r="Q1764" s="41"/>
      <c r="R1764" s="40"/>
    </row>
    <row r="1765" spans="1:18" ht="30" customHeight="1" x14ac:dyDescent="0.3">
      <c r="A1765" s="26" t="str">
        <f t="shared" si="54"/>
        <v/>
      </c>
      <c r="B1765" s="26">
        <f>COUNTIFS($A$4:A1765,A1765)</f>
        <v>602</v>
      </c>
      <c r="C1765" s="26" t="str">
        <f t="shared" si="55"/>
        <v>602</v>
      </c>
      <c r="E1765" s="26"/>
      <c r="F1765" s="26"/>
      <c r="H1765" s="27"/>
      <c r="I1765" s="27"/>
      <c r="J1765" s="27"/>
      <c r="K1765" s="27"/>
      <c r="L1765" s="27"/>
      <c r="M1765" s="27"/>
      <c r="N1765" s="40"/>
      <c r="O1765" s="27"/>
      <c r="P1765" s="27"/>
      <c r="Q1765" s="41"/>
      <c r="R1765" s="40"/>
    </row>
    <row r="1766" spans="1:18" ht="30" customHeight="1" x14ac:dyDescent="0.3">
      <c r="A1766" s="26" t="str">
        <f t="shared" si="54"/>
        <v/>
      </c>
      <c r="B1766" s="26">
        <f>COUNTIFS($A$4:A1766,A1766)</f>
        <v>603</v>
      </c>
      <c r="C1766" s="26" t="str">
        <f t="shared" si="55"/>
        <v>603</v>
      </c>
      <c r="E1766" s="26"/>
      <c r="F1766" s="26"/>
      <c r="H1766" s="27"/>
      <c r="I1766" s="27"/>
      <c r="J1766" s="27"/>
      <c r="K1766" s="27"/>
      <c r="L1766" s="27"/>
      <c r="M1766" s="27"/>
      <c r="N1766" s="40"/>
      <c r="O1766" s="27"/>
      <c r="P1766" s="27"/>
      <c r="Q1766" s="41"/>
      <c r="R1766" s="40"/>
    </row>
    <row r="1767" spans="1:18" ht="30" customHeight="1" x14ac:dyDescent="0.3">
      <c r="A1767" s="26" t="str">
        <f t="shared" si="54"/>
        <v/>
      </c>
      <c r="B1767" s="26">
        <f>COUNTIFS($A$4:A1767,A1767)</f>
        <v>604</v>
      </c>
      <c r="C1767" s="26" t="str">
        <f t="shared" si="55"/>
        <v>604</v>
      </c>
      <c r="E1767" s="26"/>
      <c r="F1767" s="26"/>
      <c r="H1767" s="27"/>
      <c r="I1767" s="27"/>
      <c r="J1767" s="27"/>
      <c r="K1767" s="27"/>
      <c r="L1767" s="27"/>
      <c r="M1767" s="27"/>
      <c r="N1767" s="40"/>
      <c r="O1767" s="27"/>
      <c r="P1767" s="27"/>
      <c r="Q1767" s="41"/>
      <c r="R1767" s="40"/>
    </row>
    <row r="1768" spans="1:18" ht="30" customHeight="1" x14ac:dyDescent="0.3">
      <c r="A1768" s="26" t="str">
        <f t="shared" si="54"/>
        <v/>
      </c>
      <c r="B1768" s="26">
        <f>COUNTIFS($A$4:A1768,A1768)</f>
        <v>605</v>
      </c>
      <c r="C1768" s="26" t="str">
        <f t="shared" si="55"/>
        <v>605</v>
      </c>
      <c r="E1768" s="26"/>
      <c r="F1768" s="26"/>
      <c r="H1768" s="27"/>
      <c r="I1768" s="27"/>
      <c r="J1768" s="27"/>
      <c r="K1768" s="27"/>
      <c r="L1768" s="27"/>
      <c r="M1768" s="27"/>
      <c r="N1768" s="40"/>
      <c r="O1768" s="27"/>
      <c r="P1768" s="27"/>
      <c r="Q1768" s="41"/>
      <c r="R1768" s="40"/>
    </row>
    <row r="1769" spans="1:18" ht="30" customHeight="1" x14ac:dyDescent="0.3">
      <c r="A1769" s="26" t="str">
        <f t="shared" si="54"/>
        <v/>
      </c>
      <c r="B1769" s="26">
        <f>COUNTIFS($A$4:A1769,A1769)</f>
        <v>606</v>
      </c>
      <c r="C1769" s="26" t="str">
        <f t="shared" si="55"/>
        <v>606</v>
      </c>
      <c r="E1769" s="26"/>
      <c r="F1769" s="26"/>
      <c r="H1769" s="27"/>
      <c r="I1769" s="27"/>
      <c r="J1769" s="27"/>
      <c r="K1769" s="27"/>
      <c r="L1769" s="27"/>
      <c r="M1769" s="27"/>
      <c r="N1769" s="40"/>
      <c r="O1769" s="27"/>
      <c r="P1769" s="27"/>
      <c r="Q1769" s="41"/>
      <c r="R1769" s="40"/>
    </row>
    <row r="1770" spans="1:18" ht="30" customHeight="1" x14ac:dyDescent="0.3">
      <c r="A1770" s="26" t="str">
        <f t="shared" si="54"/>
        <v/>
      </c>
      <c r="B1770" s="26">
        <f>COUNTIFS($A$4:A1770,A1770)</f>
        <v>607</v>
      </c>
      <c r="C1770" s="26" t="str">
        <f t="shared" si="55"/>
        <v>607</v>
      </c>
      <c r="E1770" s="26"/>
      <c r="F1770" s="26"/>
      <c r="H1770" s="27"/>
      <c r="I1770" s="27"/>
      <c r="J1770" s="27"/>
      <c r="K1770" s="27"/>
      <c r="L1770" s="27"/>
      <c r="M1770" s="27"/>
      <c r="N1770" s="40"/>
      <c r="O1770" s="27"/>
      <c r="P1770" s="27"/>
      <c r="Q1770" s="41"/>
      <c r="R1770" s="40"/>
    </row>
    <row r="1771" spans="1:18" ht="30" customHeight="1" x14ac:dyDescent="0.3">
      <c r="A1771" s="26" t="str">
        <f t="shared" si="54"/>
        <v/>
      </c>
      <c r="B1771" s="26">
        <f>COUNTIFS($A$4:A1771,A1771)</f>
        <v>608</v>
      </c>
      <c r="C1771" s="26" t="str">
        <f t="shared" si="55"/>
        <v>608</v>
      </c>
      <c r="E1771" s="26"/>
      <c r="F1771" s="26"/>
      <c r="H1771" s="27"/>
      <c r="I1771" s="27"/>
      <c r="J1771" s="27"/>
      <c r="K1771" s="27"/>
      <c r="L1771" s="27"/>
      <c r="M1771" s="27"/>
      <c r="N1771" s="40"/>
      <c r="O1771" s="27"/>
      <c r="P1771" s="27"/>
      <c r="Q1771" s="41"/>
      <c r="R1771" s="40"/>
    </row>
    <row r="1772" spans="1:18" ht="30" customHeight="1" x14ac:dyDescent="0.3">
      <c r="A1772" s="26" t="str">
        <f t="shared" si="54"/>
        <v/>
      </c>
      <c r="B1772" s="26">
        <f>COUNTIFS($A$4:A1772,A1772)</f>
        <v>609</v>
      </c>
      <c r="C1772" s="26" t="str">
        <f t="shared" si="55"/>
        <v>609</v>
      </c>
      <c r="E1772" s="26"/>
      <c r="F1772" s="26"/>
      <c r="H1772" s="27"/>
      <c r="I1772" s="27"/>
      <c r="J1772" s="27"/>
      <c r="K1772" s="27"/>
      <c r="L1772" s="27"/>
      <c r="M1772" s="27"/>
      <c r="N1772" s="40"/>
      <c r="O1772" s="27"/>
      <c r="P1772" s="27"/>
      <c r="Q1772" s="41"/>
      <c r="R1772" s="40"/>
    </row>
    <row r="1773" spans="1:18" ht="30" customHeight="1" x14ac:dyDescent="0.3">
      <c r="A1773" s="26" t="str">
        <f t="shared" si="54"/>
        <v/>
      </c>
      <c r="B1773" s="26">
        <f>COUNTIFS($A$4:A1773,A1773)</f>
        <v>610</v>
      </c>
      <c r="C1773" s="26" t="str">
        <f t="shared" si="55"/>
        <v>610</v>
      </c>
      <c r="E1773" s="26"/>
      <c r="F1773" s="26"/>
      <c r="H1773" s="27"/>
      <c r="I1773" s="27"/>
      <c r="J1773" s="27"/>
      <c r="K1773" s="27"/>
      <c r="L1773" s="27"/>
      <c r="M1773" s="27"/>
      <c r="N1773" s="40"/>
      <c r="O1773" s="27"/>
      <c r="P1773" s="27"/>
      <c r="Q1773" s="41"/>
      <c r="R1773" s="40"/>
    </row>
    <row r="1774" spans="1:18" ht="30" customHeight="1" x14ac:dyDescent="0.3">
      <c r="A1774" s="26" t="str">
        <f t="shared" si="54"/>
        <v/>
      </c>
      <c r="B1774" s="26">
        <f>COUNTIFS($A$4:A1774,A1774)</f>
        <v>611</v>
      </c>
      <c r="C1774" s="26" t="str">
        <f t="shared" si="55"/>
        <v>611</v>
      </c>
      <c r="E1774" s="26"/>
      <c r="F1774" s="26"/>
      <c r="H1774" s="27"/>
      <c r="I1774" s="27"/>
      <c r="J1774" s="27"/>
      <c r="K1774" s="27"/>
      <c r="L1774" s="27"/>
      <c r="M1774" s="27"/>
      <c r="N1774" s="40"/>
      <c r="O1774" s="27"/>
      <c r="P1774" s="27"/>
      <c r="Q1774" s="41"/>
      <c r="R1774" s="40"/>
    </row>
    <row r="1775" spans="1:18" ht="30" customHeight="1" x14ac:dyDescent="0.3">
      <c r="A1775" s="26" t="str">
        <f t="shared" si="54"/>
        <v/>
      </c>
      <c r="B1775" s="26">
        <f>COUNTIFS($A$4:A1775,A1775)</f>
        <v>612</v>
      </c>
      <c r="C1775" s="26" t="str">
        <f t="shared" si="55"/>
        <v>612</v>
      </c>
      <c r="E1775" s="26"/>
      <c r="F1775" s="26"/>
      <c r="H1775" s="27"/>
      <c r="I1775" s="27"/>
      <c r="J1775" s="27"/>
      <c r="K1775" s="27"/>
      <c r="L1775" s="27"/>
      <c r="M1775" s="27"/>
      <c r="N1775" s="40"/>
      <c r="O1775" s="27"/>
      <c r="P1775" s="27"/>
      <c r="Q1775" s="41"/>
      <c r="R1775" s="40"/>
    </row>
    <row r="1776" spans="1:18" ht="30" customHeight="1" x14ac:dyDescent="0.3">
      <c r="A1776" s="26" t="str">
        <f t="shared" si="54"/>
        <v/>
      </c>
      <c r="B1776" s="26">
        <f>COUNTIFS($A$4:A1776,A1776)</f>
        <v>613</v>
      </c>
      <c r="C1776" s="26" t="str">
        <f t="shared" si="55"/>
        <v>613</v>
      </c>
      <c r="E1776" s="26"/>
      <c r="F1776" s="26"/>
      <c r="H1776" s="27"/>
      <c r="I1776" s="27"/>
      <c r="J1776" s="27"/>
      <c r="K1776" s="27"/>
      <c r="L1776" s="27"/>
      <c r="M1776" s="27"/>
      <c r="N1776" s="40"/>
      <c r="O1776" s="27"/>
      <c r="P1776" s="27"/>
      <c r="Q1776" s="41"/>
      <c r="R1776" s="40"/>
    </row>
    <row r="1777" spans="1:18" ht="30" customHeight="1" x14ac:dyDescent="0.3">
      <c r="A1777" s="26" t="str">
        <f t="shared" si="54"/>
        <v/>
      </c>
      <c r="B1777" s="26">
        <f>COUNTIFS($A$4:A1777,A1777)</f>
        <v>614</v>
      </c>
      <c r="C1777" s="26" t="str">
        <f t="shared" si="55"/>
        <v>614</v>
      </c>
      <c r="E1777" s="26"/>
      <c r="F1777" s="26"/>
      <c r="H1777" s="27"/>
      <c r="I1777" s="27"/>
      <c r="J1777" s="27"/>
      <c r="K1777" s="27"/>
      <c r="L1777" s="27"/>
      <c r="M1777" s="27"/>
      <c r="N1777" s="40"/>
      <c r="O1777" s="27"/>
      <c r="P1777" s="27"/>
      <c r="Q1777" s="41"/>
      <c r="R1777" s="40"/>
    </row>
    <row r="1778" spans="1:18" ht="30" customHeight="1" x14ac:dyDescent="0.3">
      <c r="A1778" s="26" t="str">
        <f t="shared" si="54"/>
        <v/>
      </c>
      <c r="B1778" s="26">
        <f>COUNTIFS($A$4:A1778,A1778)</f>
        <v>615</v>
      </c>
      <c r="C1778" s="26" t="str">
        <f t="shared" si="55"/>
        <v>615</v>
      </c>
      <c r="E1778" s="26"/>
      <c r="F1778" s="26"/>
      <c r="H1778" s="27"/>
      <c r="I1778" s="27"/>
      <c r="J1778" s="27"/>
      <c r="K1778" s="27"/>
      <c r="L1778" s="27"/>
      <c r="M1778" s="27"/>
      <c r="N1778" s="40"/>
      <c r="O1778" s="27"/>
      <c r="P1778" s="27"/>
      <c r="Q1778" s="41"/>
      <c r="R1778" s="40"/>
    </row>
    <row r="1779" spans="1:18" ht="30" customHeight="1" x14ac:dyDescent="0.3">
      <c r="A1779" s="26" t="str">
        <f t="shared" si="54"/>
        <v/>
      </c>
      <c r="B1779" s="26">
        <f>COUNTIFS($A$4:A1779,A1779)</f>
        <v>616</v>
      </c>
      <c r="C1779" s="26" t="str">
        <f t="shared" si="55"/>
        <v>616</v>
      </c>
      <c r="E1779" s="26"/>
      <c r="F1779" s="26"/>
      <c r="H1779" s="27"/>
      <c r="I1779" s="27"/>
      <c r="J1779" s="27"/>
      <c r="K1779" s="27"/>
      <c r="L1779" s="27"/>
      <c r="M1779" s="27"/>
      <c r="N1779" s="40"/>
      <c r="O1779" s="27"/>
      <c r="P1779" s="27"/>
      <c r="Q1779" s="41"/>
      <c r="R1779" s="40"/>
    </row>
    <row r="1780" spans="1:18" ht="30" customHeight="1" x14ac:dyDescent="0.3">
      <c r="A1780" s="26" t="str">
        <f t="shared" si="54"/>
        <v/>
      </c>
      <c r="B1780" s="26">
        <f>COUNTIFS($A$4:A1780,A1780)</f>
        <v>617</v>
      </c>
      <c r="C1780" s="26" t="str">
        <f t="shared" si="55"/>
        <v>617</v>
      </c>
      <c r="E1780" s="26"/>
      <c r="F1780" s="26"/>
      <c r="H1780" s="27"/>
      <c r="I1780" s="27"/>
      <c r="J1780" s="27"/>
      <c r="K1780" s="27"/>
      <c r="L1780" s="27"/>
      <c r="M1780" s="27"/>
      <c r="N1780" s="40"/>
      <c r="O1780" s="27"/>
      <c r="P1780" s="27"/>
      <c r="Q1780" s="41"/>
      <c r="R1780" s="40"/>
    </row>
    <row r="1781" spans="1:18" ht="30" customHeight="1" x14ac:dyDescent="0.3">
      <c r="A1781" s="26" t="str">
        <f t="shared" si="54"/>
        <v/>
      </c>
      <c r="B1781" s="26">
        <f>COUNTIFS($A$4:A1781,A1781)</f>
        <v>618</v>
      </c>
      <c r="C1781" s="26" t="str">
        <f t="shared" si="55"/>
        <v>618</v>
      </c>
      <c r="E1781" s="26"/>
      <c r="F1781" s="26"/>
      <c r="H1781" s="27"/>
      <c r="I1781" s="27"/>
      <c r="J1781" s="27"/>
      <c r="K1781" s="27"/>
      <c r="L1781" s="27"/>
      <c r="M1781" s="27"/>
      <c r="N1781" s="40"/>
      <c r="O1781" s="27"/>
      <c r="P1781" s="27"/>
      <c r="Q1781" s="41"/>
      <c r="R1781" s="40"/>
    </row>
    <row r="1782" spans="1:18" ht="30" customHeight="1" x14ac:dyDescent="0.3">
      <c r="A1782" s="26" t="str">
        <f t="shared" si="54"/>
        <v/>
      </c>
      <c r="B1782" s="26">
        <f>COUNTIFS($A$4:A1782,A1782)</f>
        <v>619</v>
      </c>
      <c r="C1782" s="26" t="str">
        <f t="shared" si="55"/>
        <v>619</v>
      </c>
      <c r="E1782" s="26"/>
      <c r="F1782" s="26"/>
      <c r="H1782" s="27"/>
      <c r="I1782" s="27"/>
      <c r="J1782" s="27"/>
      <c r="K1782" s="27"/>
      <c r="L1782" s="27"/>
      <c r="M1782" s="27"/>
      <c r="N1782" s="40"/>
      <c r="O1782" s="27"/>
      <c r="P1782" s="27"/>
      <c r="Q1782" s="41"/>
      <c r="R1782" s="40"/>
    </row>
    <row r="1783" spans="1:18" ht="30" customHeight="1" x14ac:dyDescent="0.3">
      <c r="A1783" s="26" t="str">
        <f t="shared" si="54"/>
        <v/>
      </c>
      <c r="B1783" s="26">
        <f>COUNTIFS($A$4:A1783,A1783)</f>
        <v>620</v>
      </c>
      <c r="C1783" s="26" t="str">
        <f t="shared" si="55"/>
        <v>620</v>
      </c>
      <c r="E1783" s="26"/>
      <c r="F1783" s="26"/>
      <c r="H1783" s="27"/>
      <c r="I1783" s="27"/>
      <c r="J1783" s="27"/>
      <c r="K1783" s="27"/>
      <c r="L1783" s="27"/>
      <c r="M1783" s="27"/>
      <c r="N1783" s="40"/>
      <c r="O1783" s="27"/>
      <c r="P1783" s="27"/>
      <c r="Q1783" s="41"/>
      <c r="R1783" s="40"/>
    </row>
    <row r="1784" spans="1:18" ht="30" customHeight="1" x14ac:dyDescent="0.3">
      <c r="A1784" s="26" t="str">
        <f t="shared" si="54"/>
        <v/>
      </c>
      <c r="B1784" s="26">
        <f>COUNTIFS($A$4:A1784,A1784)</f>
        <v>621</v>
      </c>
      <c r="C1784" s="26" t="str">
        <f t="shared" si="55"/>
        <v>621</v>
      </c>
      <c r="E1784" s="26"/>
      <c r="F1784" s="26"/>
      <c r="H1784" s="27"/>
      <c r="I1784" s="27"/>
      <c r="J1784" s="27"/>
      <c r="K1784" s="27"/>
      <c r="L1784" s="27"/>
      <c r="M1784" s="27"/>
      <c r="N1784" s="40"/>
      <c r="O1784" s="27"/>
      <c r="P1784" s="27"/>
      <c r="Q1784" s="41"/>
      <c r="R1784" s="40"/>
    </row>
    <row r="1785" spans="1:18" ht="30" customHeight="1" x14ac:dyDescent="0.3">
      <c r="A1785" s="26" t="str">
        <f t="shared" si="54"/>
        <v/>
      </c>
      <c r="B1785" s="26">
        <f>COUNTIFS($A$4:A1785,A1785)</f>
        <v>622</v>
      </c>
      <c r="C1785" s="26" t="str">
        <f t="shared" si="55"/>
        <v>622</v>
      </c>
      <c r="E1785" s="26"/>
      <c r="F1785" s="26"/>
      <c r="H1785" s="27"/>
      <c r="I1785" s="27"/>
      <c r="J1785" s="27"/>
      <c r="K1785" s="27"/>
      <c r="L1785" s="27"/>
      <c r="M1785" s="27"/>
      <c r="N1785" s="40"/>
      <c r="O1785" s="27"/>
      <c r="P1785" s="27"/>
      <c r="Q1785" s="41"/>
      <c r="R1785" s="40"/>
    </row>
    <row r="1786" spans="1:18" ht="30" customHeight="1" x14ac:dyDescent="0.3">
      <c r="A1786" s="26" t="str">
        <f t="shared" si="54"/>
        <v/>
      </c>
      <c r="B1786" s="26">
        <f>COUNTIFS($A$4:A1786,A1786)</f>
        <v>623</v>
      </c>
      <c r="C1786" s="26" t="str">
        <f t="shared" si="55"/>
        <v>623</v>
      </c>
      <c r="E1786" s="26"/>
      <c r="F1786" s="26"/>
      <c r="H1786" s="27"/>
      <c r="I1786" s="27"/>
      <c r="J1786" s="27"/>
      <c r="K1786" s="27"/>
      <c r="L1786" s="27"/>
      <c r="M1786" s="27"/>
      <c r="N1786" s="40"/>
      <c r="O1786" s="27"/>
      <c r="P1786" s="27"/>
      <c r="Q1786" s="41"/>
      <c r="R1786" s="40"/>
    </row>
    <row r="1787" spans="1:18" ht="30" customHeight="1" x14ac:dyDescent="0.3">
      <c r="A1787" s="26" t="str">
        <f t="shared" si="54"/>
        <v/>
      </c>
      <c r="B1787" s="26">
        <f>COUNTIFS($A$4:A1787,A1787)</f>
        <v>624</v>
      </c>
      <c r="C1787" s="26" t="str">
        <f t="shared" si="55"/>
        <v>624</v>
      </c>
      <c r="E1787" s="26"/>
      <c r="F1787" s="26"/>
      <c r="H1787" s="27"/>
      <c r="I1787" s="27"/>
      <c r="J1787" s="27"/>
      <c r="K1787" s="27"/>
      <c r="L1787" s="27"/>
      <c r="M1787" s="27"/>
      <c r="N1787" s="40"/>
      <c r="O1787" s="27"/>
      <c r="P1787" s="27"/>
      <c r="Q1787" s="41"/>
      <c r="R1787" s="40"/>
    </row>
    <row r="1788" spans="1:18" ht="30" customHeight="1" x14ac:dyDescent="0.3">
      <c r="A1788" s="26" t="str">
        <f t="shared" si="54"/>
        <v/>
      </c>
      <c r="B1788" s="26">
        <f>COUNTIFS($A$4:A1788,A1788)</f>
        <v>625</v>
      </c>
      <c r="C1788" s="26" t="str">
        <f t="shared" si="55"/>
        <v>625</v>
      </c>
      <c r="E1788" s="26"/>
      <c r="F1788" s="26"/>
      <c r="H1788" s="27"/>
      <c r="I1788" s="27"/>
      <c r="J1788" s="27"/>
      <c r="K1788" s="27"/>
      <c r="L1788" s="27"/>
      <c r="M1788" s="27"/>
      <c r="N1788" s="40"/>
      <c r="O1788" s="27"/>
      <c r="P1788" s="27"/>
      <c r="Q1788" s="41"/>
      <c r="R1788" s="40"/>
    </row>
    <row r="1789" spans="1:18" ht="30" customHeight="1" x14ac:dyDescent="0.3">
      <c r="A1789" s="26" t="str">
        <f t="shared" si="54"/>
        <v/>
      </c>
      <c r="B1789" s="26">
        <f>COUNTIFS($A$4:A1789,A1789)</f>
        <v>626</v>
      </c>
      <c r="C1789" s="26" t="str">
        <f t="shared" si="55"/>
        <v>626</v>
      </c>
      <c r="E1789" s="26"/>
      <c r="F1789" s="26"/>
      <c r="H1789" s="27"/>
      <c r="I1789" s="27"/>
      <c r="J1789" s="27"/>
      <c r="K1789" s="27"/>
      <c r="L1789" s="27"/>
      <c r="M1789" s="27"/>
      <c r="N1789" s="40"/>
      <c r="O1789" s="27"/>
      <c r="P1789" s="27"/>
      <c r="Q1789" s="41"/>
      <c r="R1789" s="40"/>
    </row>
    <row r="1790" spans="1:18" ht="30" customHeight="1" x14ac:dyDescent="0.3">
      <c r="A1790" s="26" t="str">
        <f t="shared" si="54"/>
        <v/>
      </c>
      <c r="B1790" s="26">
        <f>COUNTIFS($A$4:A1790,A1790)</f>
        <v>627</v>
      </c>
      <c r="C1790" s="26" t="str">
        <f t="shared" si="55"/>
        <v>627</v>
      </c>
      <c r="E1790" s="26"/>
      <c r="F1790" s="26"/>
      <c r="H1790" s="27"/>
      <c r="I1790" s="27"/>
      <c r="J1790" s="27"/>
      <c r="K1790" s="27"/>
      <c r="L1790" s="27"/>
      <c r="M1790" s="27"/>
      <c r="N1790" s="40"/>
      <c r="O1790" s="27"/>
      <c r="P1790" s="27"/>
      <c r="Q1790" s="41"/>
      <c r="R1790" s="40"/>
    </row>
    <row r="1791" spans="1:18" ht="30" customHeight="1" x14ac:dyDescent="0.3">
      <c r="A1791" s="26" t="str">
        <f t="shared" si="54"/>
        <v/>
      </c>
      <c r="B1791" s="26">
        <f>COUNTIFS($A$4:A1791,A1791)</f>
        <v>628</v>
      </c>
      <c r="C1791" s="26" t="str">
        <f t="shared" si="55"/>
        <v>628</v>
      </c>
      <c r="E1791" s="26"/>
      <c r="F1791" s="26"/>
      <c r="H1791" s="27"/>
      <c r="I1791" s="27"/>
      <c r="J1791" s="27"/>
      <c r="K1791" s="27"/>
      <c r="L1791" s="27"/>
      <c r="M1791" s="27"/>
      <c r="N1791" s="40"/>
      <c r="O1791" s="27"/>
      <c r="P1791" s="27"/>
      <c r="Q1791" s="41"/>
      <c r="R1791" s="40"/>
    </row>
    <row r="1792" spans="1:18" ht="30" customHeight="1" x14ac:dyDescent="0.3">
      <c r="A1792" s="26" t="str">
        <f t="shared" si="54"/>
        <v/>
      </c>
      <c r="B1792" s="26">
        <f>COUNTIFS($A$4:A1792,A1792)</f>
        <v>629</v>
      </c>
      <c r="C1792" s="26" t="str">
        <f t="shared" si="55"/>
        <v>629</v>
      </c>
      <c r="E1792" s="26"/>
      <c r="F1792" s="26"/>
      <c r="H1792" s="27"/>
      <c r="I1792" s="27"/>
      <c r="J1792" s="27"/>
      <c r="K1792" s="27"/>
      <c r="L1792" s="27"/>
      <c r="M1792" s="27"/>
      <c r="N1792" s="40"/>
      <c r="O1792" s="27"/>
      <c r="P1792" s="27"/>
      <c r="Q1792" s="41"/>
      <c r="R1792" s="40"/>
    </row>
    <row r="1793" spans="1:18" ht="30" customHeight="1" x14ac:dyDescent="0.3">
      <c r="A1793" s="26" t="str">
        <f t="shared" si="54"/>
        <v/>
      </c>
      <c r="B1793" s="26">
        <f>COUNTIFS($A$4:A1793,A1793)</f>
        <v>630</v>
      </c>
      <c r="C1793" s="26" t="str">
        <f t="shared" si="55"/>
        <v>630</v>
      </c>
      <c r="E1793" s="26"/>
      <c r="F1793" s="26"/>
      <c r="H1793" s="27"/>
      <c r="I1793" s="27"/>
      <c r="J1793" s="27"/>
      <c r="K1793" s="27"/>
      <c r="L1793" s="27"/>
      <c r="M1793" s="27"/>
      <c r="N1793" s="40"/>
      <c r="O1793" s="27"/>
      <c r="P1793" s="27"/>
      <c r="Q1793" s="41"/>
      <c r="R1793" s="40"/>
    </row>
    <row r="1794" spans="1:18" ht="30" customHeight="1" x14ac:dyDescent="0.3">
      <c r="A1794" s="26" t="str">
        <f t="shared" si="54"/>
        <v/>
      </c>
      <c r="B1794" s="26">
        <f>COUNTIFS($A$4:A1794,A1794)</f>
        <v>631</v>
      </c>
      <c r="C1794" s="26" t="str">
        <f t="shared" si="55"/>
        <v>631</v>
      </c>
      <c r="E1794" s="26"/>
      <c r="F1794" s="26"/>
      <c r="H1794" s="27"/>
      <c r="I1794" s="27"/>
      <c r="J1794" s="27"/>
      <c r="K1794" s="27"/>
      <c r="L1794" s="27"/>
      <c r="M1794" s="27"/>
      <c r="N1794" s="40"/>
      <c r="O1794" s="27"/>
      <c r="P1794" s="27"/>
      <c r="Q1794" s="41"/>
      <c r="R1794" s="40"/>
    </row>
    <row r="1795" spans="1:18" ht="30" customHeight="1" x14ac:dyDescent="0.3">
      <c r="A1795" s="26" t="str">
        <f t="shared" si="54"/>
        <v/>
      </c>
      <c r="B1795" s="26">
        <f>COUNTIFS($A$4:A1795,A1795)</f>
        <v>632</v>
      </c>
      <c r="C1795" s="26" t="str">
        <f t="shared" si="55"/>
        <v>632</v>
      </c>
      <c r="E1795" s="26"/>
      <c r="F1795" s="26"/>
      <c r="H1795" s="27"/>
      <c r="I1795" s="27"/>
      <c r="J1795" s="27"/>
      <c r="K1795" s="27"/>
      <c r="L1795" s="27"/>
      <c r="M1795" s="27"/>
      <c r="N1795" s="40"/>
      <c r="O1795" s="27"/>
      <c r="P1795" s="27"/>
      <c r="Q1795" s="41"/>
      <c r="R1795" s="40"/>
    </row>
    <row r="1796" spans="1:18" ht="30" customHeight="1" x14ac:dyDescent="0.3">
      <c r="A1796" s="26" t="str">
        <f t="shared" si="54"/>
        <v/>
      </c>
      <c r="B1796" s="26">
        <f>COUNTIFS($A$4:A1796,A1796)</f>
        <v>633</v>
      </c>
      <c r="C1796" s="26" t="str">
        <f t="shared" si="55"/>
        <v>633</v>
      </c>
      <c r="E1796" s="26"/>
      <c r="F1796" s="26"/>
      <c r="H1796" s="27"/>
      <c r="I1796" s="27"/>
      <c r="J1796" s="27"/>
      <c r="K1796" s="27"/>
      <c r="L1796" s="27"/>
      <c r="M1796" s="27"/>
      <c r="N1796" s="40"/>
      <c r="O1796" s="27"/>
      <c r="P1796" s="27"/>
      <c r="Q1796" s="41"/>
      <c r="R1796" s="40"/>
    </row>
    <row r="1797" spans="1:18" ht="30" customHeight="1" x14ac:dyDescent="0.3">
      <c r="A1797" s="26" t="str">
        <f t="shared" si="54"/>
        <v/>
      </c>
      <c r="B1797" s="26">
        <f>COUNTIFS($A$4:A1797,A1797)</f>
        <v>634</v>
      </c>
      <c r="C1797" s="26" t="str">
        <f t="shared" si="55"/>
        <v>634</v>
      </c>
      <c r="E1797" s="26"/>
      <c r="F1797" s="26"/>
      <c r="H1797" s="27"/>
      <c r="I1797" s="27"/>
      <c r="J1797" s="27"/>
      <c r="K1797" s="27"/>
      <c r="L1797" s="27"/>
      <c r="M1797" s="27"/>
      <c r="N1797" s="40"/>
      <c r="O1797" s="27"/>
      <c r="P1797" s="27"/>
      <c r="Q1797" s="41"/>
      <c r="R1797" s="40"/>
    </row>
    <row r="1798" spans="1:18" ht="30" customHeight="1" x14ac:dyDescent="0.3">
      <c r="A1798" s="26" t="str">
        <f t="shared" si="54"/>
        <v/>
      </c>
      <c r="B1798" s="26">
        <f>COUNTIFS($A$4:A1798,A1798)</f>
        <v>635</v>
      </c>
      <c r="C1798" s="26" t="str">
        <f t="shared" si="55"/>
        <v>635</v>
      </c>
      <c r="E1798" s="26"/>
      <c r="F1798" s="26"/>
      <c r="H1798" s="27"/>
      <c r="I1798" s="27"/>
      <c r="J1798" s="27"/>
      <c r="K1798" s="27"/>
      <c r="L1798" s="27"/>
      <c r="M1798" s="27"/>
      <c r="N1798" s="40"/>
      <c r="O1798" s="27"/>
      <c r="P1798" s="27"/>
      <c r="Q1798" s="41"/>
      <c r="R1798" s="40"/>
    </row>
    <row r="1799" spans="1:18" ht="30" customHeight="1" x14ac:dyDescent="0.3">
      <c r="A1799" s="26" t="str">
        <f t="shared" si="54"/>
        <v/>
      </c>
      <c r="B1799" s="26">
        <f>COUNTIFS($A$4:A1799,A1799)</f>
        <v>636</v>
      </c>
      <c r="C1799" s="26" t="str">
        <f t="shared" si="55"/>
        <v>636</v>
      </c>
      <c r="E1799" s="26"/>
      <c r="F1799" s="26"/>
      <c r="H1799" s="27"/>
      <c r="I1799" s="27"/>
      <c r="J1799" s="27"/>
      <c r="K1799" s="27"/>
      <c r="L1799" s="27"/>
      <c r="M1799" s="27"/>
      <c r="N1799" s="40"/>
      <c r="O1799" s="27"/>
      <c r="P1799" s="27"/>
      <c r="Q1799" s="41"/>
      <c r="R1799" s="40"/>
    </row>
    <row r="1800" spans="1:18" ht="30" customHeight="1" x14ac:dyDescent="0.3">
      <c r="A1800" s="26" t="str">
        <f t="shared" si="54"/>
        <v/>
      </c>
      <c r="B1800" s="26">
        <f>COUNTIFS($A$4:A1800,A1800)</f>
        <v>637</v>
      </c>
      <c r="C1800" s="26" t="str">
        <f t="shared" si="55"/>
        <v>637</v>
      </c>
      <c r="E1800" s="26"/>
      <c r="F1800" s="26"/>
      <c r="H1800" s="27"/>
      <c r="I1800" s="27"/>
      <c r="J1800" s="27"/>
      <c r="K1800" s="27"/>
      <c r="L1800" s="27"/>
      <c r="M1800" s="27"/>
      <c r="N1800" s="40"/>
      <c r="O1800" s="27"/>
      <c r="P1800" s="27"/>
      <c r="Q1800" s="41"/>
      <c r="R1800" s="40"/>
    </row>
    <row r="1801" spans="1:18" ht="30" customHeight="1" x14ac:dyDescent="0.3">
      <c r="A1801" s="26" t="str">
        <f t="shared" si="54"/>
        <v/>
      </c>
      <c r="B1801" s="26">
        <f>COUNTIFS($A$4:A1801,A1801)</f>
        <v>638</v>
      </c>
      <c r="C1801" s="26" t="str">
        <f t="shared" si="55"/>
        <v>638</v>
      </c>
      <c r="E1801" s="26"/>
      <c r="F1801" s="26"/>
      <c r="H1801" s="27"/>
      <c r="I1801" s="27"/>
      <c r="J1801" s="27"/>
      <c r="K1801" s="27"/>
      <c r="L1801" s="27"/>
      <c r="M1801" s="27"/>
      <c r="N1801" s="40"/>
      <c r="O1801" s="27"/>
      <c r="P1801" s="27"/>
      <c r="Q1801" s="41"/>
      <c r="R1801" s="40"/>
    </row>
    <row r="1802" spans="1:18" ht="30" customHeight="1" x14ac:dyDescent="0.3">
      <c r="A1802" s="26" t="str">
        <f t="shared" si="54"/>
        <v/>
      </c>
      <c r="B1802" s="26">
        <f>COUNTIFS($A$4:A1802,A1802)</f>
        <v>639</v>
      </c>
      <c r="C1802" s="26" t="str">
        <f t="shared" si="55"/>
        <v>639</v>
      </c>
      <c r="E1802" s="26"/>
      <c r="F1802" s="26"/>
      <c r="H1802" s="27"/>
      <c r="I1802" s="27"/>
      <c r="J1802" s="27"/>
      <c r="K1802" s="27"/>
      <c r="L1802" s="27"/>
      <c r="M1802" s="27"/>
      <c r="N1802" s="40"/>
      <c r="O1802" s="27"/>
      <c r="P1802" s="27"/>
      <c r="Q1802" s="41"/>
      <c r="R1802" s="40"/>
    </row>
    <row r="1803" spans="1:18" ht="30" customHeight="1" x14ac:dyDescent="0.3">
      <c r="A1803" s="26" t="str">
        <f t="shared" si="54"/>
        <v/>
      </c>
      <c r="B1803" s="26">
        <f>COUNTIFS($A$4:A1803,A1803)</f>
        <v>640</v>
      </c>
      <c r="C1803" s="26" t="str">
        <f t="shared" si="55"/>
        <v>640</v>
      </c>
      <c r="E1803" s="26"/>
      <c r="F1803" s="26"/>
      <c r="H1803" s="27"/>
      <c r="I1803" s="27"/>
      <c r="J1803" s="27"/>
      <c r="K1803" s="27"/>
      <c r="L1803" s="27"/>
      <c r="M1803" s="27"/>
      <c r="N1803" s="40"/>
      <c r="O1803" s="27"/>
      <c r="P1803" s="27"/>
      <c r="Q1803" s="41"/>
      <c r="R1803" s="40"/>
    </row>
    <row r="1804" spans="1:18" ht="30" customHeight="1" x14ac:dyDescent="0.3">
      <c r="A1804" s="26" t="str">
        <f t="shared" si="54"/>
        <v/>
      </c>
      <c r="B1804" s="26">
        <f>COUNTIFS($A$4:A1804,A1804)</f>
        <v>641</v>
      </c>
      <c r="C1804" s="26" t="str">
        <f t="shared" si="55"/>
        <v>641</v>
      </c>
      <c r="E1804" s="26"/>
      <c r="F1804" s="26"/>
      <c r="H1804" s="27"/>
      <c r="I1804" s="27"/>
      <c r="J1804" s="27"/>
      <c r="K1804" s="27"/>
      <c r="L1804" s="27"/>
      <c r="M1804" s="27"/>
      <c r="N1804" s="40"/>
      <c r="O1804" s="27"/>
      <c r="P1804" s="27"/>
      <c r="Q1804" s="41"/>
      <c r="R1804" s="40"/>
    </row>
    <row r="1805" spans="1:18" ht="30" customHeight="1" x14ac:dyDescent="0.3">
      <c r="A1805" s="26" t="str">
        <f t="shared" si="54"/>
        <v/>
      </c>
      <c r="B1805" s="26">
        <f>COUNTIFS($A$4:A1805,A1805)</f>
        <v>642</v>
      </c>
      <c r="C1805" s="26" t="str">
        <f t="shared" si="55"/>
        <v>642</v>
      </c>
      <c r="E1805" s="26"/>
      <c r="F1805" s="26"/>
      <c r="H1805" s="27"/>
      <c r="I1805" s="27"/>
      <c r="J1805" s="27"/>
      <c r="K1805" s="27"/>
      <c r="L1805" s="27"/>
      <c r="M1805" s="27"/>
      <c r="N1805" s="40"/>
      <c r="O1805" s="27"/>
      <c r="P1805" s="27"/>
      <c r="Q1805" s="41"/>
      <c r="R1805" s="40"/>
    </row>
    <row r="1806" spans="1:18" ht="30" customHeight="1" x14ac:dyDescent="0.3">
      <c r="A1806" s="26" t="str">
        <f t="shared" si="54"/>
        <v/>
      </c>
      <c r="B1806" s="26">
        <f>COUNTIFS($A$4:A1806,A1806)</f>
        <v>643</v>
      </c>
      <c r="C1806" s="26" t="str">
        <f t="shared" si="55"/>
        <v>643</v>
      </c>
      <c r="E1806" s="26"/>
      <c r="F1806" s="26"/>
      <c r="H1806" s="27"/>
      <c r="I1806" s="27"/>
      <c r="J1806" s="27"/>
      <c r="K1806" s="27"/>
      <c r="L1806" s="27"/>
      <c r="M1806" s="27"/>
      <c r="N1806" s="40"/>
      <c r="O1806" s="27"/>
      <c r="P1806" s="27"/>
      <c r="Q1806" s="41"/>
      <c r="R1806" s="40"/>
    </row>
    <row r="1807" spans="1:18" ht="30" customHeight="1" x14ac:dyDescent="0.3">
      <c r="A1807" s="26" t="str">
        <f t="shared" si="54"/>
        <v/>
      </c>
      <c r="B1807" s="26">
        <f>COUNTIFS($A$4:A1807,A1807)</f>
        <v>644</v>
      </c>
      <c r="C1807" s="26" t="str">
        <f t="shared" si="55"/>
        <v>644</v>
      </c>
      <c r="E1807" s="26"/>
      <c r="F1807" s="26"/>
      <c r="H1807" s="27"/>
      <c r="I1807" s="27"/>
      <c r="J1807" s="27"/>
      <c r="K1807" s="27"/>
      <c r="L1807" s="27"/>
      <c r="M1807" s="27"/>
      <c r="N1807" s="40"/>
      <c r="O1807" s="27"/>
      <c r="P1807" s="27"/>
      <c r="Q1807" s="41"/>
      <c r="R1807" s="40"/>
    </row>
    <row r="1808" spans="1:18" ht="30" customHeight="1" x14ac:dyDescent="0.3">
      <c r="A1808" s="26" t="str">
        <f t="shared" si="54"/>
        <v/>
      </c>
      <c r="B1808" s="26">
        <f>COUNTIFS($A$4:A1808,A1808)</f>
        <v>645</v>
      </c>
      <c r="C1808" s="26" t="str">
        <f t="shared" si="55"/>
        <v>645</v>
      </c>
      <c r="E1808" s="26"/>
      <c r="F1808" s="26"/>
      <c r="H1808" s="27"/>
      <c r="I1808" s="27"/>
      <c r="J1808" s="27"/>
      <c r="K1808" s="27"/>
      <c r="L1808" s="27"/>
      <c r="M1808" s="27"/>
      <c r="N1808" s="40"/>
      <c r="O1808" s="27"/>
      <c r="P1808" s="27"/>
      <c r="Q1808" s="41"/>
      <c r="R1808" s="40"/>
    </row>
    <row r="1809" spans="1:18" ht="30" customHeight="1" x14ac:dyDescent="0.3">
      <c r="A1809" s="26" t="str">
        <f t="shared" ref="A1809:A1872" si="56">I1809&amp;H1809</f>
        <v/>
      </c>
      <c r="B1809" s="26">
        <f>COUNTIFS($A$4:A1809,A1809)</f>
        <v>646</v>
      </c>
      <c r="C1809" s="26" t="str">
        <f t="shared" ref="C1809:C1872" si="57">A1809&amp;B1809</f>
        <v>646</v>
      </c>
      <c r="E1809" s="26"/>
      <c r="F1809" s="26"/>
      <c r="H1809" s="27"/>
      <c r="I1809" s="27"/>
      <c r="J1809" s="27"/>
      <c r="K1809" s="27"/>
      <c r="L1809" s="27"/>
      <c r="M1809" s="27"/>
      <c r="N1809" s="40"/>
      <c r="O1809" s="27"/>
      <c r="P1809" s="27"/>
      <c r="Q1809" s="41"/>
      <c r="R1809" s="40"/>
    </row>
    <row r="1810" spans="1:18" ht="30" customHeight="1" x14ac:dyDescent="0.3">
      <c r="A1810" s="26" t="str">
        <f t="shared" si="56"/>
        <v/>
      </c>
      <c r="B1810" s="26">
        <f>COUNTIFS($A$4:A1810,A1810)</f>
        <v>647</v>
      </c>
      <c r="C1810" s="26" t="str">
        <f t="shared" si="57"/>
        <v>647</v>
      </c>
      <c r="E1810" s="26"/>
      <c r="F1810" s="26"/>
      <c r="H1810" s="27"/>
      <c r="I1810" s="27"/>
      <c r="J1810" s="27"/>
      <c r="K1810" s="27"/>
      <c r="L1810" s="27"/>
      <c r="M1810" s="27"/>
      <c r="N1810" s="40"/>
      <c r="O1810" s="27"/>
      <c r="P1810" s="27"/>
      <c r="Q1810" s="41"/>
      <c r="R1810" s="40"/>
    </row>
    <row r="1811" spans="1:18" ht="30" customHeight="1" x14ac:dyDescent="0.3">
      <c r="A1811" s="26" t="str">
        <f t="shared" si="56"/>
        <v/>
      </c>
      <c r="B1811" s="26">
        <f>COUNTIFS($A$4:A1811,A1811)</f>
        <v>648</v>
      </c>
      <c r="C1811" s="26" t="str">
        <f t="shared" si="57"/>
        <v>648</v>
      </c>
      <c r="E1811" s="26"/>
      <c r="F1811" s="26"/>
      <c r="H1811" s="27"/>
      <c r="I1811" s="27"/>
      <c r="J1811" s="27"/>
      <c r="K1811" s="27"/>
      <c r="L1811" s="27"/>
      <c r="M1811" s="27"/>
      <c r="N1811" s="40"/>
      <c r="O1811" s="27"/>
      <c r="P1811" s="27"/>
      <c r="Q1811" s="41"/>
      <c r="R1811" s="40"/>
    </row>
    <row r="1812" spans="1:18" ht="30" customHeight="1" x14ac:dyDescent="0.3">
      <c r="A1812" s="26" t="str">
        <f t="shared" si="56"/>
        <v/>
      </c>
      <c r="B1812" s="26">
        <f>COUNTIFS($A$4:A1812,A1812)</f>
        <v>649</v>
      </c>
      <c r="C1812" s="26" t="str">
        <f t="shared" si="57"/>
        <v>649</v>
      </c>
      <c r="E1812" s="26"/>
      <c r="F1812" s="26"/>
      <c r="H1812" s="27"/>
      <c r="I1812" s="27"/>
      <c r="J1812" s="27"/>
      <c r="K1812" s="27"/>
      <c r="L1812" s="27"/>
      <c r="M1812" s="27"/>
      <c r="N1812" s="40"/>
      <c r="O1812" s="27"/>
      <c r="P1812" s="27"/>
      <c r="Q1812" s="41"/>
      <c r="R1812" s="40"/>
    </row>
    <row r="1813" spans="1:18" ht="30" customHeight="1" x14ac:dyDescent="0.3">
      <c r="A1813" s="26" t="str">
        <f t="shared" si="56"/>
        <v/>
      </c>
      <c r="B1813" s="26">
        <f>COUNTIFS($A$4:A1813,A1813)</f>
        <v>650</v>
      </c>
      <c r="C1813" s="26" t="str">
        <f t="shared" si="57"/>
        <v>650</v>
      </c>
      <c r="E1813" s="26"/>
      <c r="F1813" s="26"/>
      <c r="H1813" s="27"/>
      <c r="I1813" s="27"/>
      <c r="J1813" s="27"/>
      <c r="K1813" s="27"/>
      <c r="L1813" s="27"/>
      <c r="M1813" s="27"/>
      <c r="N1813" s="40"/>
      <c r="O1813" s="27"/>
      <c r="P1813" s="27"/>
      <c r="Q1813" s="41"/>
      <c r="R1813" s="40"/>
    </row>
    <row r="1814" spans="1:18" ht="30" customHeight="1" x14ac:dyDescent="0.3">
      <c r="A1814" s="26" t="str">
        <f t="shared" si="56"/>
        <v/>
      </c>
      <c r="B1814" s="26">
        <f>COUNTIFS($A$4:A1814,A1814)</f>
        <v>651</v>
      </c>
      <c r="C1814" s="26" t="str">
        <f t="shared" si="57"/>
        <v>651</v>
      </c>
      <c r="E1814" s="26"/>
      <c r="F1814" s="26"/>
      <c r="H1814" s="27"/>
      <c r="I1814" s="27"/>
      <c r="J1814" s="27"/>
      <c r="K1814" s="27"/>
      <c r="L1814" s="27"/>
      <c r="M1814" s="27"/>
      <c r="N1814" s="40"/>
      <c r="O1814" s="27"/>
      <c r="P1814" s="27"/>
      <c r="Q1814" s="41"/>
      <c r="R1814" s="40"/>
    </row>
    <row r="1815" spans="1:18" ht="30" customHeight="1" x14ac:dyDescent="0.3">
      <c r="A1815" s="26" t="str">
        <f t="shared" si="56"/>
        <v/>
      </c>
      <c r="B1815" s="26">
        <f>COUNTIFS($A$4:A1815,A1815)</f>
        <v>652</v>
      </c>
      <c r="C1815" s="26" t="str">
        <f t="shared" si="57"/>
        <v>652</v>
      </c>
      <c r="E1815" s="26"/>
      <c r="F1815" s="26"/>
      <c r="H1815" s="27"/>
      <c r="I1815" s="27"/>
      <c r="J1815" s="27"/>
      <c r="K1815" s="27"/>
      <c r="L1815" s="27"/>
      <c r="M1815" s="27"/>
      <c r="N1815" s="40"/>
      <c r="O1815" s="27"/>
      <c r="P1815" s="27"/>
      <c r="Q1815" s="41"/>
      <c r="R1815" s="40"/>
    </row>
    <row r="1816" spans="1:18" ht="30" customHeight="1" x14ac:dyDescent="0.3">
      <c r="A1816" s="26" t="str">
        <f t="shared" si="56"/>
        <v/>
      </c>
      <c r="B1816" s="26">
        <f>COUNTIFS($A$4:A1816,A1816)</f>
        <v>653</v>
      </c>
      <c r="C1816" s="26" t="str">
        <f t="shared" si="57"/>
        <v>653</v>
      </c>
      <c r="E1816" s="26"/>
      <c r="F1816" s="26"/>
      <c r="H1816" s="27"/>
      <c r="I1816" s="27"/>
      <c r="J1816" s="27"/>
      <c r="K1816" s="27"/>
      <c r="L1816" s="27"/>
      <c r="M1816" s="27"/>
      <c r="N1816" s="40"/>
      <c r="O1816" s="27"/>
      <c r="P1816" s="27"/>
      <c r="Q1816" s="41"/>
      <c r="R1816" s="40"/>
    </row>
    <row r="1817" spans="1:18" ht="30" customHeight="1" x14ac:dyDescent="0.3">
      <c r="A1817" s="26" t="str">
        <f t="shared" si="56"/>
        <v/>
      </c>
      <c r="B1817" s="26">
        <f>COUNTIFS($A$4:A1817,A1817)</f>
        <v>654</v>
      </c>
      <c r="C1817" s="26" t="str">
        <f t="shared" si="57"/>
        <v>654</v>
      </c>
      <c r="E1817" s="26"/>
      <c r="F1817" s="26"/>
      <c r="H1817" s="27"/>
      <c r="I1817" s="27"/>
      <c r="J1817" s="27"/>
      <c r="K1817" s="27"/>
      <c r="L1817" s="27"/>
      <c r="M1817" s="27"/>
      <c r="N1817" s="40"/>
      <c r="O1817" s="27"/>
      <c r="P1817" s="27"/>
      <c r="Q1817" s="41"/>
      <c r="R1817" s="40"/>
    </row>
    <row r="1818" spans="1:18" ht="30" customHeight="1" x14ac:dyDescent="0.3">
      <c r="A1818" s="26" t="str">
        <f t="shared" si="56"/>
        <v/>
      </c>
      <c r="B1818" s="26">
        <f>COUNTIFS($A$4:A1818,A1818)</f>
        <v>655</v>
      </c>
      <c r="C1818" s="26" t="str">
        <f t="shared" si="57"/>
        <v>655</v>
      </c>
      <c r="E1818" s="26"/>
      <c r="F1818" s="26"/>
      <c r="H1818" s="27"/>
      <c r="I1818" s="27"/>
      <c r="J1818" s="27"/>
      <c r="K1818" s="27"/>
      <c r="L1818" s="27"/>
      <c r="M1818" s="27"/>
      <c r="N1818" s="40"/>
      <c r="O1818" s="27"/>
      <c r="P1818" s="27"/>
      <c r="Q1818" s="41"/>
      <c r="R1818" s="40"/>
    </row>
    <row r="1819" spans="1:18" ht="30" customHeight="1" x14ac:dyDescent="0.3">
      <c r="A1819" s="26" t="str">
        <f t="shared" si="56"/>
        <v/>
      </c>
      <c r="B1819" s="26">
        <f>COUNTIFS($A$4:A1819,A1819)</f>
        <v>656</v>
      </c>
      <c r="C1819" s="26" t="str">
        <f t="shared" si="57"/>
        <v>656</v>
      </c>
      <c r="E1819" s="26"/>
      <c r="F1819" s="26"/>
      <c r="H1819" s="27"/>
      <c r="I1819" s="27"/>
      <c r="J1819" s="27"/>
      <c r="K1819" s="27"/>
      <c r="L1819" s="27"/>
      <c r="M1819" s="27"/>
      <c r="N1819" s="40"/>
      <c r="O1819" s="27"/>
      <c r="P1819" s="27"/>
      <c r="Q1819" s="41"/>
      <c r="R1819" s="40"/>
    </row>
    <row r="1820" spans="1:18" ht="30" customHeight="1" x14ac:dyDescent="0.3">
      <c r="A1820" s="26" t="str">
        <f t="shared" si="56"/>
        <v/>
      </c>
      <c r="B1820" s="26">
        <f>COUNTIFS($A$4:A1820,A1820)</f>
        <v>657</v>
      </c>
      <c r="C1820" s="26" t="str">
        <f t="shared" si="57"/>
        <v>657</v>
      </c>
      <c r="E1820" s="26"/>
      <c r="F1820" s="26"/>
      <c r="H1820" s="27"/>
      <c r="I1820" s="27"/>
      <c r="J1820" s="27"/>
      <c r="K1820" s="27"/>
      <c r="L1820" s="27"/>
      <c r="M1820" s="27"/>
      <c r="N1820" s="40"/>
      <c r="O1820" s="27"/>
      <c r="P1820" s="27"/>
      <c r="Q1820" s="41"/>
      <c r="R1820" s="40"/>
    </row>
    <row r="1821" spans="1:18" ht="30" customHeight="1" x14ac:dyDescent="0.3">
      <c r="A1821" s="26" t="str">
        <f t="shared" si="56"/>
        <v/>
      </c>
      <c r="B1821" s="26">
        <f>COUNTIFS($A$4:A1821,A1821)</f>
        <v>658</v>
      </c>
      <c r="C1821" s="26" t="str">
        <f t="shared" si="57"/>
        <v>658</v>
      </c>
      <c r="E1821" s="26"/>
      <c r="F1821" s="26"/>
      <c r="H1821" s="27"/>
      <c r="I1821" s="27"/>
      <c r="J1821" s="27"/>
      <c r="K1821" s="27"/>
      <c r="L1821" s="27"/>
      <c r="M1821" s="27"/>
      <c r="N1821" s="40"/>
      <c r="O1821" s="27"/>
      <c r="P1821" s="27"/>
      <c r="Q1821" s="41"/>
      <c r="R1821" s="40"/>
    </row>
    <row r="1822" spans="1:18" ht="30" customHeight="1" x14ac:dyDescent="0.3">
      <c r="A1822" s="26" t="str">
        <f t="shared" si="56"/>
        <v/>
      </c>
      <c r="B1822" s="26">
        <f>COUNTIFS($A$4:A1822,A1822)</f>
        <v>659</v>
      </c>
      <c r="C1822" s="26" t="str">
        <f t="shared" si="57"/>
        <v>659</v>
      </c>
      <c r="E1822" s="26"/>
      <c r="F1822" s="26"/>
      <c r="H1822" s="27"/>
      <c r="I1822" s="27"/>
      <c r="J1822" s="27"/>
      <c r="K1822" s="27"/>
      <c r="L1822" s="27"/>
      <c r="M1822" s="27"/>
      <c r="N1822" s="40"/>
      <c r="O1822" s="27"/>
      <c r="P1822" s="27"/>
      <c r="Q1822" s="41"/>
      <c r="R1822" s="40"/>
    </row>
    <row r="1823" spans="1:18" ht="30" customHeight="1" x14ac:dyDescent="0.3">
      <c r="A1823" s="26" t="str">
        <f t="shared" si="56"/>
        <v/>
      </c>
      <c r="B1823" s="26">
        <f>COUNTIFS($A$4:A1823,A1823)</f>
        <v>660</v>
      </c>
      <c r="C1823" s="26" t="str">
        <f t="shared" si="57"/>
        <v>660</v>
      </c>
      <c r="E1823" s="26"/>
      <c r="F1823" s="26"/>
      <c r="H1823" s="27"/>
      <c r="I1823" s="27"/>
      <c r="J1823" s="27"/>
      <c r="K1823" s="27"/>
      <c r="L1823" s="27"/>
      <c r="M1823" s="27"/>
      <c r="N1823" s="40"/>
      <c r="O1823" s="27"/>
      <c r="P1823" s="27"/>
      <c r="Q1823" s="41"/>
      <c r="R1823" s="40"/>
    </row>
    <row r="1824" spans="1:18" ht="30" customHeight="1" x14ac:dyDescent="0.3">
      <c r="A1824" s="26" t="str">
        <f t="shared" si="56"/>
        <v/>
      </c>
      <c r="B1824" s="26">
        <f>COUNTIFS($A$4:A1824,A1824)</f>
        <v>661</v>
      </c>
      <c r="C1824" s="26" t="str">
        <f t="shared" si="57"/>
        <v>661</v>
      </c>
      <c r="E1824" s="26"/>
      <c r="F1824" s="26"/>
      <c r="H1824" s="27"/>
      <c r="I1824" s="27"/>
      <c r="J1824" s="27"/>
      <c r="K1824" s="27"/>
      <c r="L1824" s="27"/>
      <c r="M1824" s="27"/>
      <c r="N1824" s="40"/>
      <c r="O1824" s="27"/>
      <c r="P1824" s="27"/>
      <c r="Q1824" s="41"/>
      <c r="R1824" s="40"/>
    </row>
    <row r="1825" spans="1:18" ht="30" customHeight="1" x14ac:dyDescent="0.3">
      <c r="A1825" s="26" t="str">
        <f t="shared" si="56"/>
        <v/>
      </c>
      <c r="B1825" s="26">
        <f>COUNTIFS($A$4:A1825,A1825)</f>
        <v>662</v>
      </c>
      <c r="C1825" s="26" t="str">
        <f t="shared" si="57"/>
        <v>662</v>
      </c>
      <c r="E1825" s="26"/>
      <c r="F1825" s="26"/>
      <c r="H1825" s="27"/>
      <c r="I1825" s="27"/>
      <c r="J1825" s="27"/>
      <c r="K1825" s="27"/>
      <c r="L1825" s="27"/>
      <c r="M1825" s="27"/>
      <c r="N1825" s="40"/>
      <c r="O1825" s="27"/>
      <c r="P1825" s="27"/>
      <c r="Q1825" s="41"/>
      <c r="R1825" s="40"/>
    </row>
    <row r="1826" spans="1:18" ht="30" customHeight="1" x14ac:dyDescent="0.3">
      <c r="A1826" s="26" t="str">
        <f t="shared" si="56"/>
        <v/>
      </c>
      <c r="B1826" s="26">
        <f>COUNTIFS($A$4:A1826,A1826)</f>
        <v>663</v>
      </c>
      <c r="C1826" s="26" t="str">
        <f t="shared" si="57"/>
        <v>663</v>
      </c>
      <c r="E1826" s="26"/>
      <c r="F1826" s="26"/>
      <c r="H1826" s="27"/>
      <c r="I1826" s="27"/>
      <c r="J1826" s="27"/>
      <c r="K1826" s="27"/>
      <c r="L1826" s="27"/>
      <c r="M1826" s="27"/>
      <c r="N1826" s="40"/>
      <c r="O1826" s="27"/>
      <c r="P1826" s="27"/>
      <c r="Q1826" s="41"/>
      <c r="R1826" s="40"/>
    </row>
    <row r="1827" spans="1:18" ht="30" customHeight="1" x14ac:dyDescent="0.3">
      <c r="A1827" s="26" t="str">
        <f t="shared" si="56"/>
        <v/>
      </c>
      <c r="B1827" s="26">
        <f>COUNTIFS($A$4:A1827,A1827)</f>
        <v>664</v>
      </c>
      <c r="C1827" s="26" t="str">
        <f t="shared" si="57"/>
        <v>664</v>
      </c>
      <c r="E1827" s="26"/>
      <c r="F1827" s="26"/>
      <c r="H1827" s="27"/>
      <c r="I1827" s="27"/>
      <c r="J1827" s="27"/>
      <c r="K1827" s="27"/>
      <c r="L1827" s="27"/>
      <c r="M1827" s="27"/>
      <c r="N1827" s="40"/>
      <c r="O1827" s="27"/>
      <c r="P1827" s="27"/>
      <c r="Q1827" s="41"/>
      <c r="R1827" s="40"/>
    </row>
    <row r="1828" spans="1:18" ht="30" customHeight="1" x14ac:dyDescent="0.3">
      <c r="A1828" s="26" t="str">
        <f t="shared" si="56"/>
        <v/>
      </c>
      <c r="B1828" s="26">
        <f>COUNTIFS($A$4:A1828,A1828)</f>
        <v>665</v>
      </c>
      <c r="C1828" s="26" t="str">
        <f t="shared" si="57"/>
        <v>665</v>
      </c>
      <c r="E1828" s="26"/>
      <c r="F1828" s="26"/>
      <c r="H1828" s="27"/>
      <c r="I1828" s="27"/>
      <c r="J1828" s="27"/>
      <c r="K1828" s="27"/>
      <c r="L1828" s="27"/>
      <c r="M1828" s="27"/>
      <c r="N1828" s="40"/>
      <c r="O1828" s="27"/>
      <c r="P1828" s="27"/>
      <c r="Q1828" s="41"/>
      <c r="R1828" s="40"/>
    </row>
    <row r="1829" spans="1:18" ht="30" customHeight="1" x14ac:dyDescent="0.3">
      <c r="A1829" s="26" t="str">
        <f t="shared" si="56"/>
        <v/>
      </c>
      <c r="B1829" s="26">
        <f>COUNTIFS($A$4:A1829,A1829)</f>
        <v>666</v>
      </c>
      <c r="C1829" s="26" t="str">
        <f t="shared" si="57"/>
        <v>666</v>
      </c>
      <c r="E1829" s="26"/>
      <c r="F1829" s="26"/>
      <c r="H1829" s="27"/>
      <c r="I1829" s="27"/>
      <c r="J1829" s="27"/>
      <c r="K1829" s="27"/>
      <c r="L1829" s="27"/>
      <c r="M1829" s="27"/>
      <c r="N1829" s="40"/>
      <c r="O1829" s="27"/>
      <c r="P1829" s="27"/>
      <c r="Q1829" s="41"/>
      <c r="R1829" s="40"/>
    </row>
    <row r="1830" spans="1:18" ht="30" customHeight="1" x14ac:dyDescent="0.3">
      <c r="A1830" s="26" t="str">
        <f t="shared" si="56"/>
        <v/>
      </c>
      <c r="B1830" s="26">
        <f>COUNTIFS($A$4:A1830,A1830)</f>
        <v>667</v>
      </c>
      <c r="C1830" s="26" t="str">
        <f t="shared" si="57"/>
        <v>667</v>
      </c>
      <c r="E1830" s="26"/>
      <c r="F1830" s="26"/>
      <c r="H1830" s="27"/>
      <c r="I1830" s="27"/>
      <c r="J1830" s="27"/>
      <c r="K1830" s="27"/>
      <c r="L1830" s="27"/>
      <c r="M1830" s="27"/>
      <c r="N1830" s="40"/>
      <c r="O1830" s="27"/>
      <c r="P1830" s="27"/>
      <c r="Q1830" s="41"/>
      <c r="R1830" s="40"/>
    </row>
    <row r="1831" spans="1:18" ht="30" customHeight="1" x14ac:dyDescent="0.3">
      <c r="A1831" s="26" t="str">
        <f t="shared" si="56"/>
        <v/>
      </c>
      <c r="B1831" s="26">
        <f>COUNTIFS($A$4:A1831,A1831)</f>
        <v>668</v>
      </c>
      <c r="C1831" s="26" t="str">
        <f t="shared" si="57"/>
        <v>668</v>
      </c>
      <c r="E1831" s="26"/>
      <c r="F1831" s="26"/>
      <c r="H1831" s="27"/>
      <c r="I1831" s="27"/>
      <c r="J1831" s="27"/>
      <c r="K1831" s="27"/>
      <c r="L1831" s="27"/>
      <c r="M1831" s="27"/>
      <c r="N1831" s="40"/>
      <c r="O1831" s="27"/>
      <c r="P1831" s="27"/>
      <c r="Q1831" s="41"/>
      <c r="R1831" s="40"/>
    </row>
    <row r="1832" spans="1:18" ht="30" customHeight="1" x14ac:dyDescent="0.3">
      <c r="A1832" s="26" t="str">
        <f t="shared" si="56"/>
        <v/>
      </c>
      <c r="B1832" s="26">
        <f>COUNTIFS($A$4:A1832,A1832)</f>
        <v>669</v>
      </c>
      <c r="C1832" s="26" t="str">
        <f t="shared" si="57"/>
        <v>669</v>
      </c>
      <c r="E1832" s="26"/>
      <c r="F1832" s="26"/>
      <c r="H1832" s="27"/>
      <c r="I1832" s="27"/>
      <c r="J1832" s="27"/>
      <c r="K1832" s="27"/>
      <c r="L1832" s="27"/>
      <c r="M1832" s="27"/>
      <c r="N1832" s="40"/>
      <c r="O1832" s="27"/>
      <c r="P1832" s="27"/>
      <c r="Q1832" s="41"/>
      <c r="R1832" s="40"/>
    </row>
    <row r="1833" spans="1:18" ht="30" customHeight="1" x14ac:dyDescent="0.3">
      <c r="A1833" s="26" t="str">
        <f t="shared" si="56"/>
        <v/>
      </c>
      <c r="B1833" s="26">
        <f>COUNTIFS($A$4:A1833,A1833)</f>
        <v>670</v>
      </c>
      <c r="C1833" s="26" t="str">
        <f t="shared" si="57"/>
        <v>670</v>
      </c>
      <c r="E1833" s="26"/>
      <c r="F1833" s="26"/>
      <c r="H1833" s="27"/>
      <c r="I1833" s="27"/>
      <c r="J1833" s="27"/>
      <c r="K1833" s="27"/>
      <c r="L1833" s="27"/>
      <c r="M1833" s="27"/>
      <c r="N1833" s="40"/>
      <c r="O1833" s="27"/>
      <c r="P1833" s="27"/>
      <c r="Q1833" s="41"/>
      <c r="R1833" s="40"/>
    </row>
    <row r="1834" spans="1:18" ht="30" customHeight="1" x14ac:dyDescent="0.3">
      <c r="A1834" s="26" t="str">
        <f t="shared" si="56"/>
        <v/>
      </c>
      <c r="B1834" s="26">
        <f>COUNTIFS($A$4:A1834,A1834)</f>
        <v>671</v>
      </c>
      <c r="C1834" s="26" t="str">
        <f t="shared" si="57"/>
        <v>671</v>
      </c>
      <c r="E1834" s="26"/>
      <c r="F1834" s="26"/>
      <c r="H1834" s="27"/>
      <c r="I1834" s="27"/>
      <c r="J1834" s="27"/>
      <c r="K1834" s="27"/>
      <c r="L1834" s="27"/>
      <c r="M1834" s="27"/>
      <c r="N1834" s="40"/>
      <c r="O1834" s="27"/>
      <c r="P1834" s="27"/>
      <c r="Q1834" s="41"/>
      <c r="R1834" s="40"/>
    </row>
    <row r="1835" spans="1:18" ht="30" customHeight="1" x14ac:dyDescent="0.3">
      <c r="A1835" s="26" t="str">
        <f t="shared" si="56"/>
        <v/>
      </c>
      <c r="B1835" s="26">
        <f>COUNTIFS($A$4:A1835,A1835)</f>
        <v>672</v>
      </c>
      <c r="C1835" s="26" t="str">
        <f t="shared" si="57"/>
        <v>672</v>
      </c>
      <c r="E1835" s="26"/>
      <c r="F1835" s="26"/>
      <c r="H1835" s="27"/>
      <c r="I1835" s="27"/>
      <c r="J1835" s="27"/>
      <c r="K1835" s="27"/>
      <c r="L1835" s="27"/>
      <c r="M1835" s="27"/>
      <c r="N1835" s="40"/>
      <c r="O1835" s="27"/>
      <c r="P1835" s="27"/>
      <c r="Q1835" s="41"/>
      <c r="R1835" s="40"/>
    </row>
    <row r="1836" spans="1:18" ht="30" customHeight="1" x14ac:dyDescent="0.3">
      <c r="A1836" s="26" t="str">
        <f t="shared" si="56"/>
        <v/>
      </c>
      <c r="B1836" s="26">
        <f>COUNTIFS($A$4:A1836,A1836)</f>
        <v>673</v>
      </c>
      <c r="C1836" s="26" t="str">
        <f t="shared" si="57"/>
        <v>673</v>
      </c>
      <c r="E1836" s="26"/>
      <c r="F1836" s="26"/>
      <c r="H1836" s="27"/>
      <c r="I1836" s="27"/>
      <c r="J1836" s="27"/>
      <c r="K1836" s="27"/>
      <c r="L1836" s="27"/>
      <c r="M1836" s="27"/>
      <c r="N1836" s="40"/>
      <c r="O1836" s="27"/>
      <c r="P1836" s="27"/>
      <c r="Q1836" s="41"/>
      <c r="R1836" s="40"/>
    </row>
    <row r="1837" spans="1:18" ht="30" customHeight="1" x14ac:dyDescent="0.3">
      <c r="A1837" s="26" t="str">
        <f t="shared" si="56"/>
        <v/>
      </c>
      <c r="B1837" s="26">
        <f>COUNTIFS($A$4:A1837,A1837)</f>
        <v>674</v>
      </c>
      <c r="C1837" s="26" t="str">
        <f t="shared" si="57"/>
        <v>674</v>
      </c>
      <c r="E1837" s="26"/>
      <c r="F1837" s="26"/>
      <c r="H1837" s="27"/>
      <c r="I1837" s="27"/>
      <c r="J1837" s="27"/>
      <c r="K1837" s="27"/>
      <c r="L1837" s="27"/>
      <c r="M1837" s="27"/>
      <c r="N1837" s="40"/>
      <c r="O1837" s="27"/>
      <c r="P1837" s="27"/>
      <c r="Q1837" s="41"/>
      <c r="R1837" s="40"/>
    </row>
    <row r="1838" spans="1:18" ht="30" customHeight="1" x14ac:dyDescent="0.3">
      <c r="A1838" s="26" t="str">
        <f t="shared" si="56"/>
        <v/>
      </c>
      <c r="B1838" s="26">
        <f>COUNTIFS($A$4:A1838,A1838)</f>
        <v>675</v>
      </c>
      <c r="C1838" s="26" t="str">
        <f t="shared" si="57"/>
        <v>675</v>
      </c>
      <c r="E1838" s="26"/>
      <c r="F1838" s="26"/>
      <c r="H1838" s="27"/>
      <c r="I1838" s="27"/>
      <c r="J1838" s="27"/>
      <c r="K1838" s="27"/>
      <c r="L1838" s="27"/>
      <c r="M1838" s="27"/>
      <c r="N1838" s="40"/>
      <c r="O1838" s="27"/>
      <c r="P1838" s="27"/>
      <c r="Q1838" s="41"/>
      <c r="R1838" s="40"/>
    </row>
    <row r="1839" spans="1:18" ht="30" customHeight="1" x14ac:dyDescent="0.3">
      <c r="A1839" s="26" t="str">
        <f t="shared" si="56"/>
        <v/>
      </c>
      <c r="B1839" s="26">
        <f>COUNTIFS($A$4:A1839,A1839)</f>
        <v>676</v>
      </c>
      <c r="C1839" s="26" t="str">
        <f t="shared" si="57"/>
        <v>676</v>
      </c>
      <c r="E1839" s="26"/>
      <c r="F1839" s="26"/>
      <c r="H1839" s="27"/>
      <c r="I1839" s="27"/>
      <c r="J1839" s="27"/>
      <c r="K1839" s="27"/>
      <c r="L1839" s="27"/>
      <c r="M1839" s="27"/>
      <c r="N1839" s="40"/>
      <c r="O1839" s="27"/>
      <c r="P1839" s="27"/>
      <c r="Q1839" s="41"/>
      <c r="R1839" s="40"/>
    </row>
    <row r="1840" spans="1:18" ht="30" customHeight="1" x14ac:dyDescent="0.3">
      <c r="A1840" s="26" t="str">
        <f t="shared" si="56"/>
        <v/>
      </c>
      <c r="B1840" s="26">
        <f>COUNTIFS($A$4:A1840,A1840)</f>
        <v>677</v>
      </c>
      <c r="C1840" s="26" t="str">
        <f t="shared" si="57"/>
        <v>677</v>
      </c>
      <c r="E1840" s="26"/>
      <c r="F1840" s="26"/>
      <c r="H1840" s="27"/>
      <c r="I1840" s="27"/>
      <c r="J1840" s="27"/>
      <c r="K1840" s="27"/>
      <c r="L1840" s="27"/>
      <c r="M1840" s="27"/>
      <c r="N1840" s="40"/>
      <c r="O1840" s="27"/>
      <c r="P1840" s="27"/>
      <c r="Q1840" s="41"/>
      <c r="R1840" s="40"/>
    </row>
    <row r="1841" spans="1:18" ht="30" customHeight="1" x14ac:dyDescent="0.3">
      <c r="A1841" s="26" t="str">
        <f t="shared" si="56"/>
        <v/>
      </c>
      <c r="B1841" s="26">
        <f>COUNTIFS($A$4:A1841,A1841)</f>
        <v>678</v>
      </c>
      <c r="C1841" s="26" t="str">
        <f t="shared" si="57"/>
        <v>678</v>
      </c>
      <c r="E1841" s="26"/>
      <c r="F1841" s="26"/>
      <c r="H1841" s="27"/>
      <c r="I1841" s="27"/>
      <c r="J1841" s="27"/>
      <c r="K1841" s="27"/>
      <c r="L1841" s="27"/>
      <c r="M1841" s="27"/>
      <c r="N1841" s="40"/>
      <c r="O1841" s="27"/>
      <c r="P1841" s="27"/>
      <c r="Q1841" s="41"/>
      <c r="R1841" s="40"/>
    </row>
    <row r="1842" spans="1:18" ht="30" customHeight="1" x14ac:dyDescent="0.3">
      <c r="A1842" s="26" t="str">
        <f t="shared" si="56"/>
        <v/>
      </c>
      <c r="B1842" s="26">
        <f>COUNTIFS($A$4:A1842,A1842)</f>
        <v>679</v>
      </c>
      <c r="C1842" s="26" t="str">
        <f t="shared" si="57"/>
        <v>679</v>
      </c>
      <c r="E1842" s="26"/>
      <c r="F1842" s="26"/>
      <c r="H1842" s="27"/>
      <c r="I1842" s="27"/>
      <c r="J1842" s="27"/>
      <c r="K1842" s="27"/>
      <c r="L1842" s="27"/>
      <c r="M1842" s="27"/>
      <c r="N1842" s="40"/>
      <c r="O1842" s="27"/>
      <c r="P1842" s="27"/>
      <c r="Q1842" s="41"/>
      <c r="R1842" s="40"/>
    </row>
    <row r="1843" spans="1:18" ht="30" customHeight="1" x14ac:dyDescent="0.3">
      <c r="A1843" s="26" t="str">
        <f t="shared" si="56"/>
        <v/>
      </c>
      <c r="B1843" s="26">
        <f>COUNTIFS($A$4:A1843,A1843)</f>
        <v>680</v>
      </c>
      <c r="C1843" s="26" t="str">
        <f t="shared" si="57"/>
        <v>680</v>
      </c>
      <c r="E1843" s="26"/>
      <c r="F1843" s="26"/>
      <c r="H1843" s="27"/>
      <c r="I1843" s="27"/>
      <c r="J1843" s="27"/>
      <c r="K1843" s="27"/>
      <c r="L1843" s="27"/>
      <c r="M1843" s="27"/>
      <c r="N1843" s="40"/>
      <c r="O1843" s="27"/>
      <c r="P1843" s="27"/>
      <c r="Q1843" s="41"/>
      <c r="R1843" s="40"/>
    </row>
    <row r="1844" spans="1:18" ht="30" customHeight="1" x14ac:dyDescent="0.3">
      <c r="A1844" s="26" t="str">
        <f t="shared" si="56"/>
        <v/>
      </c>
      <c r="B1844" s="26">
        <f>COUNTIFS($A$4:A1844,A1844)</f>
        <v>681</v>
      </c>
      <c r="C1844" s="26" t="str">
        <f t="shared" si="57"/>
        <v>681</v>
      </c>
      <c r="E1844" s="26"/>
      <c r="F1844" s="26"/>
      <c r="H1844" s="27"/>
      <c r="I1844" s="27"/>
      <c r="J1844" s="27"/>
      <c r="K1844" s="27"/>
      <c r="L1844" s="27"/>
      <c r="M1844" s="27"/>
      <c r="N1844" s="40"/>
      <c r="O1844" s="27"/>
      <c r="P1844" s="27"/>
      <c r="Q1844" s="41"/>
      <c r="R1844" s="40"/>
    </row>
    <row r="1845" spans="1:18" ht="30" customHeight="1" x14ac:dyDescent="0.3">
      <c r="A1845" s="26" t="str">
        <f t="shared" si="56"/>
        <v/>
      </c>
      <c r="B1845" s="26">
        <f>COUNTIFS($A$4:A1845,A1845)</f>
        <v>682</v>
      </c>
      <c r="C1845" s="26" t="str">
        <f t="shared" si="57"/>
        <v>682</v>
      </c>
      <c r="E1845" s="26"/>
      <c r="F1845" s="26"/>
      <c r="H1845" s="27"/>
      <c r="I1845" s="27"/>
      <c r="J1845" s="27"/>
      <c r="K1845" s="27"/>
      <c r="L1845" s="27"/>
      <c r="M1845" s="27"/>
      <c r="N1845" s="40"/>
      <c r="O1845" s="27"/>
      <c r="P1845" s="27"/>
      <c r="Q1845" s="41"/>
      <c r="R1845" s="40"/>
    </row>
    <row r="1846" spans="1:18" ht="30" customHeight="1" x14ac:dyDescent="0.3">
      <c r="A1846" s="26" t="str">
        <f t="shared" si="56"/>
        <v/>
      </c>
      <c r="B1846" s="26">
        <f>COUNTIFS($A$4:A1846,A1846)</f>
        <v>683</v>
      </c>
      <c r="C1846" s="26" t="str">
        <f t="shared" si="57"/>
        <v>683</v>
      </c>
      <c r="E1846" s="26"/>
      <c r="F1846" s="26"/>
      <c r="H1846" s="27"/>
      <c r="I1846" s="27"/>
      <c r="J1846" s="27"/>
      <c r="K1846" s="27"/>
      <c r="L1846" s="27"/>
      <c r="M1846" s="27"/>
      <c r="N1846" s="40"/>
      <c r="O1846" s="27"/>
      <c r="P1846" s="27"/>
      <c r="Q1846" s="41"/>
      <c r="R1846" s="40"/>
    </row>
    <row r="1847" spans="1:18" ht="30" customHeight="1" x14ac:dyDescent="0.3">
      <c r="A1847" s="26" t="str">
        <f t="shared" si="56"/>
        <v/>
      </c>
      <c r="B1847" s="26">
        <f>COUNTIFS($A$4:A1847,A1847)</f>
        <v>684</v>
      </c>
      <c r="C1847" s="26" t="str">
        <f t="shared" si="57"/>
        <v>684</v>
      </c>
      <c r="E1847" s="26"/>
      <c r="F1847" s="26"/>
      <c r="H1847" s="27"/>
      <c r="I1847" s="27"/>
      <c r="J1847" s="27"/>
      <c r="K1847" s="27"/>
      <c r="L1847" s="27"/>
      <c r="M1847" s="27"/>
      <c r="N1847" s="40"/>
      <c r="O1847" s="27"/>
      <c r="P1847" s="27"/>
      <c r="Q1847" s="41"/>
      <c r="R1847" s="40"/>
    </row>
    <row r="1848" spans="1:18" ht="30" customHeight="1" x14ac:dyDescent="0.3">
      <c r="A1848" s="26" t="str">
        <f t="shared" si="56"/>
        <v/>
      </c>
      <c r="B1848" s="26">
        <f>COUNTIFS($A$4:A1848,A1848)</f>
        <v>685</v>
      </c>
      <c r="C1848" s="26" t="str">
        <f t="shared" si="57"/>
        <v>685</v>
      </c>
      <c r="E1848" s="26"/>
      <c r="F1848" s="26"/>
      <c r="H1848" s="27"/>
      <c r="I1848" s="27"/>
      <c r="J1848" s="27"/>
      <c r="K1848" s="27"/>
      <c r="L1848" s="27"/>
      <c r="M1848" s="27"/>
      <c r="N1848" s="40"/>
      <c r="O1848" s="27"/>
      <c r="P1848" s="27"/>
      <c r="Q1848" s="41"/>
      <c r="R1848" s="40"/>
    </row>
    <row r="1849" spans="1:18" ht="30" customHeight="1" x14ac:dyDescent="0.3">
      <c r="A1849" s="26" t="str">
        <f t="shared" si="56"/>
        <v/>
      </c>
      <c r="B1849" s="26">
        <f>COUNTIFS($A$4:A1849,A1849)</f>
        <v>686</v>
      </c>
      <c r="C1849" s="26" t="str">
        <f t="shared" si="57"/>
        <v>686</v>
      </c>
      <c r="E1849" s="26"/>
      <c r="F1849" s="26"/>
      <c r="H1849" s="27"/>
      <c r="I1849" s="27"/>
      <c r="J1849" s="27"/>
      <c r="K1849" s="27"/>
      <c r="L1849" s="27"/>
      <c r="M1849" s="27"/>
      <c r="N1849" s="40"/>
      <c r="O1849" s="27"/>
      <c r="P1849" s="27"/>
      <c r="Q1849" s="41"/>
      <c r="R1849" s="40"/>
    </row>
    <row r="1850" spans="1:18" ht="30" customHeight="1" x14ac:dyDescent="0.3">
      <c r="A1850" s="26" t="str">
        <f t="shared" si="56"/>
        <v/>
      </c>
      <c r="B1850" s="26">
        <f>COUNTIFS($A$4:A1850,A1850)</f>
        <v>687</v>
      </c>
      <c r="C1850" s="26" t="str">
        <f t="shared" si="57"/>
        <v>687</v>
      </c>
      <c r="E1850" s="26"/>
      <c r="F1850" s="26"/>
      <c r="H1850" s="27"/>
      <c r="I1850" s="27"/>
      <c r="J1850" s="27"/>
      <c r="K1850" s="27"/>
      <c r="L1850" s="27"/>
      <c r="M1850" s="27"/>
      <c r="N1850" s="40"/>
      <c r="O1850" s="27"/>
      <c r="P1850" s="27"/>
      <c r="Q1850" s="41"/>
      <c r="R1850" s="40"/>
    </row>
    <row r="1851" spans="1:18" ht="30" customHeight="1" x14ac:dyDescent="0.3">
      <c r="A1851" s="26" t="str">
        <f t="shared" si="56"/>
        <v/>
      </c>
      <c r="B1851" s="26">
        <f>COUNTIFS($A$4:A1851,A1851)</f>
        <v>688</v>
      </c>
      <c r="C1851" s="26" t="str">
        <f t="shared" si="57"/>
        <v>688</v>
      </c>
      <c r="E1851" s="26"/>
      <c r="F1851" s="26"/>
      <c r="H1851" s="27"/>
      <c r="I1851" s="27"/>
      <c r="J1851" s="27"/>
      <c r="K1851" s="27"/>
      <c r="L1851" s="27"/>
      <c r="M1851" s="27"/>
      <c r="N1851" s="40"/>
      <c r="O1851" s="27"/>
      <c r="P1851" s="27"/>
      <c r="Q1851" s="41"/>
      <c r="R1851" s="40"/>
    </row>
    <row r="1852" spans="1:18" ht="30" customHeight="1" x14ac:dyDescent="0.3">
      <c r="A1852" s="26" t="str">
        <f t="shared" si="56"/>
        <v/>
      </c>
      <c r="B1852" s="26">
        <f>COUNTIFS($A$4:A1852,A1852)</f>
        <v>689</v>
      </c>
      <c r="C1852" s="26" t="str">
        <f t="shared" si="57"/>
        <v>689</v>
      </c>
      <c r="E1852" s="26"/>
      <c r="F1852" s="26"/>
      <c r="H1852" s="27"/>
      <c r="I1852" s="27"/>
      <c r="J1852" s="27"/>
      <c r="K1852" s="27"/>
      <c r="L1852" s="27"/>
      <c r="M1852" s="27"/>
      <c r="N1852" s="40"/>
      <c r="O1852" s="27"/>
      <c r="P1852" s="27"/>
      <c r="Q1852" s="41"/>
      <c r="R1852" s="40"/>
    </row>
    <row r="1853" spans="1:18" ht="30" customHeight="1" x14ac:dyDescent="0.3">
      <c r="A1853" s="26" t="str">
        <f t="shared" si="56"/>
        <v/>
      </c>
      <c r="B1853" s="26">
        <f>COUNTIFS($A$4:A1853,A1853)</f>
        <v>690</v>
      </c>
      <c r="C1853" s="26" t="str">
        <f t="shared" si="57"/>
        <v>690</v>
      </c>
      <c r="E1853" s="26"/>
      <c r="F1853" s="26"/>
      <c r="H1853" s="27"/>
      <c r="I1853" s="27"/>
      <c r="J1853" s="27"/>
      <c r="K1853" s="27"/>
      <c r="L1853" s="27"/>
      <c r="M1853" s="27"/>
      <c r="N1853" s="40"/>
      <c r="O1853" s="27"/>
      <c r="P1853" s="27"/>
      <c r="Q1853" s="41"/>
      <c r="R1853" s="40"/>
    </row>
    <row r="1854" spans="1:18" ht="30" customHeight="1" x14ac:dyDescent="0.3">
      <c r="A1854" s="26" t="str">
        <f t="shared" si="56"/>
        <v/>
      </c>
      <c r="B1854" s="26">
        <f>COUNTIFS($A$4:A1854,A1854)</f>
        <v>691</v>
      </c>
      <c r="C1854" s="26" t="str">
        <f t="shared" si="57"/>
        <v>691</v>
      </c>
      <c r="E1854" s="26"/>
      <c r="F1854" s="26"/>
      <c r="H1854" s="27"/>
      <c r="I1854" s="27"/>
      <c r="J1854" s="27"/>
      <c r="K1854" s="27"/>
      <c r="L1854" s="27"/>
      <c r="M1854" s="27"/>
      <c r="N1854" s="40"/>
      <c r="O1854" s="27"/>
      <c r="P1854" s="27"/>
      <c r="Q1854" s="41"/>
      <c r="R1854" s="40"/>
    </row>
    <row r="1855" spans="1:18" ht="30" customHeight="1" x14ac:dyDescent="0.3">
      <c r="A1855" s="26" t="str">
        <f t="shared" si="56"/>
        <v/>
      </c>
      <c r="B1855" s="26">
        <f>COUNTIFS($A$4:A1855,A1855)</f>
        <v>692</v>
      </c>
      <c r="C1855" s="26" t="str">
        <f t="shared" si="57"/>
        <v>692</v>
      </c>
      <c r="E1855" s="26"/>
      <c r="F1855" s="26"/>
      <c r="H1855" s="27"/>
      <c r="I1855" s="27"/>
      <c r="J1855" s="27"/>
      <c r="K1855" s="27"/>
      <c r="L1855" s="27"/>
      <c r="M1855" s="27"/>
      <c r="N1855" s="40"/>
      <c r="O1855" s="27"/>
      <c r="P1855" s="27"/>
      <c r="Q1855" s="41"/>
      <c r="R1855" s="40"/>
    </row>
    <row r="1856" spans="1:18" ht="30" customHeight="1" x14ac:dyDescent="0.3">
      <c r="A1856" s="26" t="str">
        <f t="shared" si="56"/>
        <v/>
      </c>
      <c r="B1856" s="26">
        <f>COUNTIFS($A$4:A1856,A1856)</f>
        <v>693</v>
      </c>
      <c r="C1856" s="26" t="str">
        <f t="shared" si="57"/>
        <v>693</v>
      </c>
      <c r="E1856" s="26"/>
      <c r="F1856" s="26"/>
      <c r="H1856" s="27"/>
      <c r="I1856" s="27"/>
      <c r="J1856" s="27"/>
      <c r="K1856" s="27"/>
      <c r="L1856" s="27"/>
      <c r="M1856" s="27"/>
      <c r="N1856" s="40"/>
      <c r="O1856" s="27"/>
      <c r="P1856" s="27"/>
      <c r="Q1856" s="41"/>
      <c r="R1856" s="40"/>
    </row>
    <row r="1857" spans="1:18" ht="30" customHeight="1" x14ac:dyDescent="0.3">
      <c r="A1857" s="26" t="str">
        <f t="shared" si="56"/>
        <v/>
      </c>
      <c r="B1857" s="26">
        <f>COUNTIFS($A$4:A1857,A1857)</f>
        <v>694</v>
      </c>
      <c r="C1857" s="26" t="str">
        <f t="shared" si="57"/>
        <v>694</v>
      </c>
      <c r="E1857" s="26"/>
      <c r="F1857" s="26"/>
      <c r="H1857" s="27"/>
      <c r="I1857" s="27"/>
      <c r="J1857" s="27"/>
      <c r="K1857" s="27"/>
      <c r="L1857" s="27"/>
      <c r="M1857" s="27"/>
      <c r="N1857" s="40"/>
      <c r="O1857" s="27"/>
      <c r="P1857" s="27"/>
      <c r="Q1857" s="41"/>
      <c r="R1857" s="40"/>
    </row>
    <row r="1858" spans="1:18" ht="30" customHeight="1" x14ac:dyDescent="0.3">
      <c r="A1858" s="26" t="str">
        <f t="shared" si="56"/>
        <v/>
      </c>
      <c r="B1858" s="26">
        <f>COUNTIFS($A$4:A1858,A1858)</f>
        <v>695</v>
      </c>
      <c r="C1858" s="26" t="str">
        <f t="shared" si="57"/>
        <v>695</v>
      </c>
      <c r="E1858" s="26"/>
      <c r="F1858" s="26"/>
      <c r="H1858" s="27"/>
      <c r="I1858" s="27"/>
      <c r="J1858" s="27"/>
      <c r="K1858" s="27"/>
      <c r="L1858" s="27"/>
      <c r="M1858" s="27"/>
      <c r="N1858" s="40"/>
      <c r="O1858" s="27"/>
      <c r="P1858" s="27"/>
      <c r="Q1858" s="41"/>
      <c r="R1858" s="40"/>
    </row>
    <row r="1859" spans="1:18" ht="30" customHeight="1" x14ac:dyDescent="0.3">
      <c r="A1859" s="26" t="str">
        <f t="shared" si="56"/>
        <v/>
      </c>
      <c r="B1859" s="26">
        <f>COUNTIFS($A$4:A1859,A1859)</f>
        <v>696</v>
      </c>
      <c r="C1859" s="26" t="str">
        <f t="shared" si="57"/>
        <v>696</v>
      </c>
      <c r="E1859" s="26"/>
      <c r="F1859" s="26"/>
      <c r="H1859" s="27"/>
      <c r="I1859" s="27"/>
      <c r="J1859" s="27"/>
      <c r="K1859" s="27"/>
      <c r="L1859" s="27"/>
      <c r="M1859" s="27"/>
      <c r="N1859" s="40"/>
      <c r="O1859" s="27"/>
      <c r="P1859" s="27"/>
      <c r="Q1859" s="41"/>
      <c r="R1859" s="40"/>
    </row>
    <row r="1860" spans="1:18" ht="30" customHeight="1" x14ac:dyDescent="0.3">
      <c r="A1860" s="26" t="str">
        <f t="shared" si="56"/>
        <v/>
      </c>
      <c r="B1860" s="26">
        <f>COUNTIFS($A$4:A1860,A1860)</f>
        <v>697</v>
      </c>
      <c r="C1860" s="26" t="str">
        <f t="shared" si="57"/>
        <v>697</v>
      </c>
      <c r="E1860" s="26"/>
      <c r="F1860" s="26"/>
      <c r="H1860" s="27"/>
      <c r="I1860" s="27"/>
      <c r="J1860" s="27"/>
      <c r="K1860" s="27"/>
      <c r="L1860" s="27"/>
      <c r="M1860" s="27"/>
      <c r="N1860" s="40"/>
      <c r="O1860" s="27"/>
      <c r="P1860" s="27"/>
      <c r="Q1860" s="41"/>
      <c r="R1860" s="40"/>
    </row>
    <row r="1861" spans="1:18" ht="30" customHeight="1" x14ac:dyDescent="0.3">
      <c r="A1861" s="26" t="str">
        <f t="shared" si="56"/>
        <v/>
      </c>
      <c r="B1861" s="26">
        <f>COUNTIFS($A$4:A1861,A1861)</f>
        <v>698</v>
      </c>
      <c r="C1861" s="26" t="str">
        <f t="shared" si="57"/>
        <v>698</v>
      </c>
      <c r="E1861" s="26"/>
      <c r="F1861" s="26"/>
      <c r="H1861" s="27"/>
      <c r="I1861" s="27"/>
      <c r="J1861" s="27"/>
      <c r="K1861" s="27"/>
      <c r="L1861" s="27"/>
      <c r="M1861" s="27"/>
      <c r="N1861" s="40"/>
      <c r="O1861" s="27"/>
      <c r="P1861" s="27"/>
      <c r="Q1861" s="41"/>
      <c r="R1861" s="40"/>
    </row>
    <row r="1862" spans="1:18" ht="30" customHeight="1" x14ac:dyDescent="0.3">
      <c r="A1862" s="26" t="str">
        <f t="shared" si="56"/>
        <v/>
      </c>
      <c r="B1862" s="26">
        <f>COUNTIFS($A$4:A1862,A1862)</f>
        <v>699</v>
      </c>
      <c r="C1862" s="26" t="str">
        <f t="shared" si="57"/>
        <v>699</v>
      </c>
      <c r="E1862" s="26"/>
      <c r="F1862" s="26"/>
      <c r="H1862" s="27"/>
      <c r="I1862" s="27"/>
      <c r="J1862" s="27"/>
      <c r="K1862" s="27"/>
      <c r="L1862" s="27"/>
      <c r="M1862" s="27"/>
      <c r="N1862" s="40"/>
      <c r="O1862" s="27"/>
      <c r="P1862" s="27"/>
      <c r="Q1862" s="41"/>
      <c r="R1862" s="40"/>
    </row>
    <row r="1863" spans="1:18" ht="30" customHeight="1" x14ac:dyDescent="0.3">
      <c r="A1863" s="26" t="str">
        <f t="shared" si="56"/>
        <v/>
      </c>
      <c r="B1863" s="26">
        <f>COUNTIFS($A$4:A1863,A1863)</f>
        <v>700</v>
      </c>
      <c r="C1863" s="26" t="str">
        <f t="shared" si="57"/>
        <v>700</v>
      </c>
      <c r="E1863" s="26"/>
      <c r="F1863" s="26"/>
      <c r="H1863" s="27"/>
      <c r="I1863" s="27"/>
      <c r="J1863" s="27"/>
      <c r="K1863" s="27"/>
      <c r="L1863" s="27"/>
      <c r="M1863" s="27"/>
      <c r="N1863" s="40"/>
      <c r="O1863" s="27"/>
      <c r="P1863" s="27"/>
      <c r="Q1863" s="41"/>
      <c r="R1863" s="40"/>
    </row>
    <row r="1864" spans="1:18" ht="30" customHeight="1" x14ac:dyDescent="0.3">
      <c r="A1864" s="26" t="str">
        <f t="shared" si="56"/>
        <v/>
      </c>
      <c r="B1864" s="26">
        <f>COUNTIFS($A$4:A1864,A1864)</f>
        <v>701</v>
      </c>
      <c r="C1864" s="26" t="str">
        <f t="shared" si="57"/>
        <v>701</v>
      </c>
      <c r="E1864" s="26"/>
      <c r="F1864" s="26"/>
      <c r="H1864" s="27"/>
      <c r="I1864" s="27"/>
      <c r="J1864" s="27"/>
      <c r="K1864" s="27"/>
      <c r="L1864" s="27"/>
      <c r="M1864" s="27"/>
      <c r="N1864" s="40"/>
      <c r="O1864" s="27"/>
      <c r="P1864" s="27"/>
      <c r="Q1864" s="41"/>
      <c r="R1864" s="40"/>
    </row>
    <row r="1865" spans="1:18" ht="30" customHeight="1" x14ac:dyDescent="0.3">
      <c r="A1865" s="26" t="str">
        <f t="shared" si="56"/>
        <v/>
      </c>
      <c r="B1865" s="26">
        <f>COUNTIFS($A$4:A1865,A1865)</f>
        <v>702</v>
      </c>
      <c r="C1865" s="26" t="str">
        <f t="shared" si="57"/>
        <v>702</v>
      </c>
      <c r="E1865" s="26"/>
      <c r="F1865" s="26"/>
      <c r="H1865" s="27"/>
      <c r="I1865" s="27"/>
      <c r="J1865" s="27"/>
      <c r="K1865" s="27"/>
      <c r="L1865" s="27"/>
      <c r="M1865" s="27"/>
      <c r="N1865" s="40"/>
      <c r="O1865" s="27"/>
      <c r="P1865" s="27"/>
      <c r="Q1865" s="41"/>
      <c r="R1865" s="40"/>
    </row>
    <row r="1866" spans="1:18" ht="30" customHeight="1" x14ac:dyDescent="0.3">
      <c r="A1866" s="26" t="str">
        <f t="shared" si="56"/>
        <v/>
      </c>
      <c r="B1866" s="26">
        <f>COUNTIFS($A$4:A1866,A1866)</f>
        <v>703</v>
      </c>
      <c r="C1866" s="26" t="str">
        <f t="shared" si="57"/>
        <v>703</v>
      </c>
      <c r="E1866" s="26"/>
      <c r="F1866" s="26"/>
      <c r="H1866" s="27"/>
      <c r="I1866" s="27"/>
      <c r="J1866" s="27"/>
      <c r="K1866" s="27"/>
      <c r="L1866" s="27"/>
      <c r="M1866" s="27"/>
      <c r="N1866" s="40"/>
      <c r="O1866" s="27"/>
      <c r="P1866" s="27"/>
      <c r="Q1866" s="41"/>
      <c r="R1866" s="40"/>
    </row>
    <row r="1867" spans="1:18" ht="30" customHeight="1" x14ac:dyDescent="0.3">
      <c r="A1867" s="26" t="str">
        <f t="shared" si="56"/>
        <v/>
      </c>
      <c r="B1867" s="26">
        <f>COUNTIFS($A$4:A1867,A1867)</f>
        <v>704</v>
      </c>
      <c r="C1867" s="26" t="str">
        <f t="shared" si="57"/>
        <v>704</v>
      </c>
      <c r="E1867" s="26"/>
      <c r="F1867" s="26"/>
      <c r="H1867" s="27"/>
      <c r="I1867" s="27"/>
      <c r="J1867" s="27"/>
      <c r="K1867" s="27"/>
      <c r="L1867" s="27"/>
      <c r="M1867" s="27"/>
      <c r="N1867" s="40"/>
      <c r="O1867" s="27"/>
      <c r="P1867" s="27"/>
      <c r="Q1867" s="41"/>
      <c r="R1867" s="40"/>
    </row>
    <row r="1868" spans="1:18" ht="30" customHeight="1" x14ac:dyDescent="0.3">
      <c r="A1868" s="26" t="str">
        <f t="shared" si="56"/>
        <v/>
      </c>
      <c r="B1868" s="26">
        <f>COUNTIFS($A$4:A1868,A1868)</f>
        <v>705</v>
      </c>
      <c r="C1868" s="26" t="str">
        <f t="shared" si="57"/>
        <v>705</v>
      </c>
      <c r="E1868" s="26"/>
      <c r="F1868" s="26"/>
      <c r="H1868" s="27"/>
      <c r="I1868" s="27"/>
      <c r="J1868" s="27"/>
      <c r="K1868" s="27"/>
      <c r="L1868" s="27"/>
      <c r="M1868" s="27"/>
      <c r="N1868" s="40"/>
      <c r="O1868" s="27"/>
      <c r="P1868" s="27"/>
      <c r="Q1868" s="41"/>
      <c r="R1868" s="40"/>
    </row>
    <row r="1869" spans="1:18" ht="30" customHeight="1" x14ac:dyDescent="0.3">
      <c r="A1869" s="26" t="str">
        <f t="shared" si="56"/>
        <v/>
      </c>
      <c r="B1869" s="26">
        <f>COUNTIFS($A$4:A1869,A1869)</f>
        <v>706</v>
      </c>
      <c r="C1869" s="26" t="str">
        <f t="shared" si="57"/>
        <v>706</v>
      </c>
      <c r="E1869" s="26"/>
      <c r="F1869" s="26"/>
      <c r="H1869" s="27"/>
      <c r="I1869" s="27"/>
      <c r="J1869" s="27"/>
      <c r="K1869" s="27"/>
      <c r="L1869" s="27"/>
      <c r="M1869" s="27"/>
      <c r="N1869" s="40"/>
      <c r="O1869" s="27"/>
      <c r="P1869" s="27"/>
      <c r="Q1869" s="41"/>
      <c r="R1869" s="40"/>
    </row>
    <row r="1870" spans="1:18" ht="30" customHeight="1" x14ac:dyDescent="0.3">
      <c r="A1870" s="26" t="str">
        <f t="shared" si="56"/>
        <v/>
      </c>
      <c r="B1870" s="26">
        <f>COUNTIFS($A$4:A1870,A1870)</f>
        <v>707</v>
      </c>
      <c r="C1870" s="26" t="str">
        <f t="shared" si="57"/>
        <v>707</v>
      </c>
      <c r="E1870" s="26"/>
      <c r="F1870" s="26"/>
      <c r="H1870" s="27"/>
      <c r="I1870" s="27"/>
      <c r="J1870" s="27"/>
      <c r="K1870" s="27"/>
      <c r="L1870" s="27"/>
      <c r="M1870" s="27"/>
      <c r="N1870" s="40"/>
      <c r="O1870" s="27"/>
      <c r="P1870" s="27"/>
      <c r="Q1870" s="41"/>
      <c r="R1870" s="40"/>
    </row>
    <row r="1871" spans="1:18" ht="30" customHeight="1" x14ac:dyDescent="0.3">
      <c r="A1871" s="26" t="str">
        <f t="shared" si="56"/>
        <v/>
      </c>
      <c r="B1871" s="26">
        <f>COUNTIFS($A$4:A1871,A1871)</f>
        <v>708</v>
      </c>
      <c r="C1871" s="26" t="str">
        <f t="shared" si="57"/>
        <v>708</v>
      </c>
      <c r="E1871" s="26"/>
      <c r="F1871" s="26"/>
      <c r="H1871" s="27"/>
      <c r="I1871" s="27"/>
      <c r="J1871" s="27"/>
      <c r="K1871" s="27"/>
      <c r="L1871" s="27"/>
      <c r="M1871" s="27"/>
      <c r="N1871" s="40"/>
      <c r="O1871" s="27"/>
      <c r="P1871" s="27"/>
      <c r="Q1871" s="41"/>
      <c r="R1871" s="40"/>
    </row>
    <row r="1872" spans="1:18" ht="30" customHeight="1" x14ac:dyDescent="0.3">
      <c r="A1872" s="26" t="str">
        <f t="shared" si="56"/>
        <v/>
      </c>
      <c r="B1872" s="26">
        <f>COUNTIFS($A$4:A1872,A1872)</f>
        <v>709</v>
      </c>
      <c r="C1872" s="26" t="str">
        <f t="shared" si="57"/>
        <v>709</v>
      </c>
      <c r="E1872" s="26"/>
      <c r="F1872" s="26"/>
      <c r="H1872" s="27"/>
      <c r="I1872" s="27"/>
      <c r="J1872" s="27"/>
      <c r="K1872" s="27"/>
      <c r="L1872" s="27"/>
      <c r="M1872" s="27"/>
      <c r="N1872" s="40"/>
      <c r="O1872" s="27"/>
      <c r="P1872" s="27"/>
      <c r="Q1872" s="41"/>
      <c r="R1872" s="40"/>
    </row>
    <row r="1873" spans="1:18" ht="30" customHeight="1" x14ac:dyDescent="0.3">
      <c r="A1873" s="26" t="str">
        <f t="shared" ref="A1873:A1936" si="58">I1873&amp;H1873</f>
        <v/>
      </c>
      <c r="B1873" s="26">
        <f>COUNTIFS($A$4:A1873,A1873)</f>
        <v>710</v>
      </c>
      <c r="C1873" s="26" t="str">
        <f t="shared" ref="C1873:C1936" si="59">A1873&amp;B1873</f>
        <v>710</v>
      </c>
      <c r="E1873" s="26"/>
      <c r="F1873" s="26"/>
      <c r="H1873" s="27"/>
      <c r="I1873" s="27"/>
      <c r="J1873" s="27"/>
      <c r="K1873" s="27"/>
      <c r="L1873" s="27"/>
      <c r="M1873" s="27"/>
      <c r="N1873" s="40"/>
      <c r="O1873" s="27"/>
      <c r="P1873" s="27"/>
      <c r="Q1873" s="41"/>
      <c r="R1873" s="40"/>
    </row>
    <row r="1874" spans="1:18" ht="30" customHeight="1" x14ac:dyDescent="0.3">
      <c r="A1874" s="26" t="str">
        <f t="shared" si="58"/>
        <v/>
      </c>
      <c r="B1874" s="26">
        <f>COUNTIFS($A$4:A1874,A1874)</f>
        <v>711</v>
      </c>
      <c r="C1874" s="26" t="str">
        <f t="shared" si="59"/>
        <v>711</v>
      </c>
      <c r="E1874" s="26"/>
      <c r="F1874" s="26"/>
      <c r="H1874" s="27"/>
      <c r="I1874" s="27"/>
      <c r="J1874" s="27"/>
      <c r="K1874" s="27"/>
      <c r="L1874" s="27"/>
      <c r="M1874" s="27"/>
      <c r="N1874" s="40"/>
      <c r="O1874" s="27"/>
      <c r="P1874" s="27"/>
      <c r="Q1874" s="41"/>
      <c r="R1874" s="40"/>
    </row>
    <row r="1875" spans="1:18" ht="30" customHeight="1" x14ac:dyDescent="0.3">
      <c r="A1875" s="26" t="str">
        <f t="shared" si="58"/>
        <v/>
      </c>
      <c r="B1875" s="26">
        <f>COUNTIFS($A$4:A1875,A1875)</f>
        <v>712</v>
      </c>
      <c r="C1875" s="26" t="str">
        <f t="shared" si="59"/>
        <v>712</v>
      </c>
      <c r="E1875" s="26"/>
      <c r="F1875" s="26"/>
      <c r="H1875" s="27"/>
      <c r="I1875" s="27"/>
      <c r="J1875" s="27"/>
      <c r="K1875" s="27"/>
      <c r="L1875" s="27"/>
      <c r="M1875" s="27"/>
      <c r="N1875" s="40"/>
      <c r="O1875" s="27"/>
      <c r="P1875" s="27"/>
      <c r="Q1875" s="41"/>
      <c r="R1875" s="40"/>
    </row>
    <row r="1876" spans="1:18" ht="30" customHeight="1" x14ac:dyDescent="0.3">
      <c r="A1876" s="26" t="str">
        <f t="shared" si="58"/>
        <v/>
      </c>
      <c r="B1876" s="26">
        <f>COUNTIFS($A$4:A1876,A1876)</f>
        <v>713</v>
      </c>
      <c r="C1876" s="26" t="str">
        <f t="shared" si="59"/>
        <v>713</v>
      </c>
      <c r="E1876" s="26"/>
      <c r="F1876" s="26"/>
      <c r="H1876" s="27"/>
      <c r="I1876" s="27"/>
      <c r="J1876" s="27"/>
      <c r="K1876" s="27"/>
      <c r="L1876" s="27"/>
      <c r="M1876" s="27"/>
      <c r="N1876" s="40"/>
      <c r="O1876" s="27"/>
      <c r="P1876" s="27"/>
      <c r="Q1876" s="41"/>
      <c r="R1876" s="40"/>
    </row>
    <row r="1877" spans="1:18" ht="30" customHeight="1" x14ac:dyDescent="0.3">
      <c r="A1877" s="26" t="str">
        <f t="shared" si="58"/>
        <v/>
      </c>
      <c r="B1877" s="26">
        <f>COUNTIFS($A$4:A1877,A1877)</f>
        <v>714</v>
      </c>
      <c r="C1877" s="26" t="str">
        <f t="shared" si="59"/>
        <v>714</v>
      </c>
      <c r="E1877" s="26"/>
      <c r="F1877" s="26"/>
      <c r="H1877" s="27"/>
      <c r="I1877" s="27"/>
      <c r="J1877" s="27"/>
      <c r="K1877" s="27"/>
      <c r="L1877" s="27"/>
      <c r="M1877" s="27"/>
      <c r="N1877" s="40"/>
      <c r="O1877" s="27"/>
      <c r="P1877" s="27"/>
      <c r="Q1877" s="41"/>
      <c r="R1877" s="40"/>
    </row>
    <row r="1878" spans="1:18" ht="30" customHeight="1" x14ac:dyDescent="0.3">
      <c r="A1878" s="26" t="str">
        <f t="shared" si="58"/>
        <v/>
      </c>
      <c r="B1878" s="26">
        <f>COUNTIFS($A$4:A1878,A1878)</f>
        <v>715</v>
      </c>
      <c r="C1878" s="26" t="str">
        <f t="shared" si="59"/>
        <v>715</v>
      </c>
      <c r="E1878" s="26"/>
      <c r="F1878" s="26"/>
      <c r="H1878" s="27"/>
      <c r="I1878" s="27"/>
      <c r="J1878" s="27"/>
      <c r="K1878" s="27"/>
      <c r="L1878" s="27"/>
      <c r="M1878" s="27"/>
      <c r="N1878" s="40"/>
      <c r="O1878" s="27"/>
      <c r="P1878" s="27"/>
      <c r="Q1878" s="41"/>
      <c r="R1878" s="40"/>
    </row>
    <row r="1879" spans="1:18" ht="30" customHeight="1" x14ac:dyDescent="0.3">
      <c r="A1879" s="26" t="str">
        <f t="shared" si="58"/>
        <v/>
      </c>
      <c r="B1879" s="26">
        <f>COUNTIFS($A$4:A1879,A1879)</f>
        <v>716</v>
      </c>
      <c r="C1879" s="26" t="str">
        <f t="shared" si="59"/>
        <v>716</v>
      </c>
      <c r="E1879" s="26"/>
      <c r="F1879" s="26"/>
      <c r="H1879" s="27"/>
      <c r="I1879" s="27"/>
      <c r="J1879" s="27"/>
      <c r="K1879" s="27"/>
      <c r="L1879" s="27"/>
      <c r="M1879" s="27"/>
      <c r="N1879" s="40"/>
      <c r="O1879" s="27"/>
      <c r="P1879" s="27"/>
      <c r="Q1879" s="41"/>
      <c r="R1879" s="40"/>
    </row>
    <row r="1880" spans="1:18" ht="30" customHeight="1" x14ac:dyDescent="0.3">
      <c r="A1880" s="26" t="str">
        <f t="shared" si="58"/>
        <v/>
      </c>
      <c r="B1880" s="26">
        <f>COUNTIFS($A$4:A1880,A1880)</f>
        <v>717</v>
      </c>
      <c r="C1880" s="26" t="str">
        <f t="shared" si="59"/>
        <v>717</v>
      </c>
      <c r="E1880" s="26"/>
      <c r="F1880" s="26"/>
      <c r="H1880" s="27"/>
      <c r="I1880" s="27"/>
      <c r="J1880" s="27"/>
      <c r="K1880" s="27"/>
      <c r="L1880" s="27"/>
      <c r="M1880" s="27"/>
      <c r="N1880" s="40"/>
      <c r="O1880" s="27"/>
      <c r="P1880" s="27"/>
      <c r="Q1880" s="41"/>
      <c r="R1880" s="40"/>
    </row>
    <row r="1881" spans="1:18" ht="30" customHeight="1" x14ac:dyDescent="0.3">
      <c r="A1881" s="26" t="str">
        <f t="shared" si="58"/>
        <v/>
      </c>
      <c r="B1881" s="26">
        <f>COUNTIFS($A$4:A1881,A1881)</f>
        <v>718</v>
      </c>
      <c r="C1881" s="26" t="str">
        <f t="shared" si="59"/>
        <v>718</v>
      </c>
      <c r="E1881" s="26"/>
      <c r="F1881" s="26"/>
      <c r="H1881" s="27"/>
      <c r="I1881" s="27"/>
      <c r="J1881" s="27"/>
      <c r="K1881" s="27"/>
      <c r="L1881" s="27"/>
      <c r="M1881" s="27"/>
      <c r="N1881" s="40"/>
      <c r="O1881" s="27"/>
      <c r="P1881" s="27"/>
      <c r="Q1881" s="41"/>
      <c r="R1881" s="40"/>
    </row>
    <row r="1882" spans="1:18" ht="30" customHeight="1" x14ac:dyDescent="0.3">
      <c r="A1882" s="26" t="str">
        <f t="shared" si="58"/>
        <v/>
      </c>
      <c r="B1882" s="26">
        <f>COUNTIFS($A$4:A1882,A1882)</f>
        <v>719</v>
      </c>
      <c r="C1882" s="26" t="str">
        <f t="shared" si="59"/>
        <v>719</v>
      </c>
      <c r="E1882" s="26"/>
      <c r="F1882" s="26"/>
      <c r="H1882" s="27"/>
      <c r="I1882" s="27"/>
      <c r="J1882" s="27"/>
      <c r="K1882" s="27"/>
      <c r="L1882" s="27"/>
      <c r="M1882" s="27"/>
      <c r="N1882" s="40"/>
      <c r="O1882" s="27"/>
      <c r="P1882" s="27"/>
      <c r="Q1882" s="41"/>
      <c r="R1882" s="40"/>
    </row>
    <row r="1883" spans="1:18" ht="30" customHeight="1" x14ac:dyDescent="0.3">
      <c r="A1883" s="26" t="str">
        <f t="shared" si="58"/>
        <v/>
      </c>
      <c r="B1883" s="26">
        <f>COUNTIFS($A$4:A1883,A1883)</f>
        <v>720</v>
      </c>
      <c r="C1883" s="26" t="str">
        <f t="shared" si="59"/>
        <v>720</v>
      </c>
      <c r="E1883" s="26"/>
      <c r="F1883" s="26"/>
      <c r="H1883" s="27"/>
      <c r="I1883" s="27"/>
      <c r="J1883" s="27"/>
      <c r="K1883" s="27"/>
      <c r="L1883" s="27"/>
      <c r="M1883" s="27"/>
      <c r="N1883" s="40"/>
      <c r="O1883" s="27"/>
      <c r="P1883" s="27"/>
      <c r="Q1883" s="41"/>
      <c r="R1883" s="40"/>
    </row>
    <row r="1884" spans="1:18" ht="30" customHeight="1" x14ac:dyDescent="0.3">
      <c r="A1884" s="26" t="str">
        <f t="shared" si="58"/>
        <v/>
      </c>
      <c r="B1884" s="26">
        <f>COUNTIFS($A$4:A1884,A1884)</f>
        <v>721</v>
      </c>
      <c r="C1884" s="26" t="str">
        <f t="shared" si="59"/>
        <v>721</v>
      </c>
      <c r="E1884" s="26"/>
      <c r="F1884" s="26"/>
      <c r="H1884" s="27"/>
      <c r="I1884" s="27"/>
      <c r="J1884" s="27"/>
      <c r="K1884" s="27"/>
      <c r="L1884" s="27"/>
      <c r="M1884" s="27"/>
      <c r="N1884" s="40"/>
      <c r="O1884" s="27"/>
      <c r="P1884" s="27"/>
      <c r="Q1884" s="41"/>
      <c r="R1884" s="40"/>
    </row>
    <row r="1885" spans="1:18" ht="30" customHeight="1" x14ac:dyDescent="0.3">
      <c r="A1885" s="26" t="str">
        <f t="shared" si="58"/>
        <v/>
      </c>
      <c r="B1885" s="26">
        <f>COUNTIFS($A$4:A1885,A1885)</f>
        <v>722</v>
      </c>
      <c r="C1885" s="26" t="str">
        <f t="shared" si="59"/>
        <v>722</v>
      </c>
      <c r="E1885" s="26"/>
      <c r="F1885" s="26"/>
      <c r="H1885" s="27"/>
      <c r="I1885" s="27"/>
      <c r="J1885" s="27"/>
      <c r="K1885" s="27"/>
      <c r="L1885" s="27"/>
      <c r="M1885" s="27"/>
      <c r="N1885" s="40"/>
      <c r="O1885" s="27"/>
      <c r="P1885" s="27"/>
      <c r="Q1885" s="41"/>
      <c r="R1885" s="40"/>
    </row>
    <row r="1886" spans="1:18" ht="30" customHeight="1" x14ac:dyDescent="0.3">
      <c r="A1886" s="26" t="str">
        <f t="shared" si="58"/>
        <v/>
      </c>
      <c r="B1886" s="26">
        <f>COUNTIFS($A$4:A1886,A1886)</f>
        <v>723</v>
      </c>
      <c r="C1886" s="26" t="str">
        <f t="shared" si="59"/>
        <v>723</v>
      </c>
      <c r="E1886" s="26"/>
      <c r="F1886" s="26"/>
      <c r="H1886" s="27"/>
      <c r="I1886" s="27"/>
      <c r="J1886" s="27"/>
      <c r="K1886" s="27"/>
      <c r="L1886" s="27"/>
      <c r="M1886" s="27"/>
      <c r="N1886" s="40"/>
      <c r="O1886" s="27"/>
      <c r="P1886" s="27"/>
      <c r="Q1886" s="41"/>
      <c r="R1886" s="40"/>
    </row>
    <row r="1887" spans="1:18" ht="30" customHeight="1" x14ac:dyDescent="0.3">
      <c r="A1887" s="26" t="str">
        <f t="shared" si="58"/>
        <v/>
      </c>
      <c r="B1887" s="26">
        <f>COUNTIFS($A$4:A1887,A1887)</f>
        <v>724</v>
      </c>
      <c r="C1887" s="26" t="str">
        <f t="shared" si="59"/>
        <v>724</v>
      </c>
      <c r="E1887" s="26"/>
      <c r="F1887" s="26"/>
      <c r="H1887" s="27"/>
      <c r="I1887" s="27"/>
      <c r="J1887" s="27"/>
      <c r="K1887" s="27"/>
      <c r="L1887" s="27"/>
      <c r="M1887" s="27"/>
      <c r="N1887" s="40"/>
      <c r="O1887" s="27"/>
      <c r="P1887" s="27"/>
      <c r="Q1887" s="41"/>
      <c r="R1887" s="40"/>
    </row>
    <row r="1888" spans="1:18" ht="30" customHeight="1" x14ac:dyDescent="0.3">
      <c r="A1888" s="26" t="str">
        <f t="shared" si="58"/>
        <v/>
      </c>
      <c r="B1888" s="26">
        <f>COUNTIFS($A$4:A1888,A1888)</f>
        <v>725</v>
      </c>
      <c r="C1888" s="26" t="str">
        <f t="shared" si="59"/>
        <v>725</v>
      </c>
      <c r="E1888" s="26"/>
      <c r="F1888" s="26"/>
      <c r="H1888" s="27"/>
      <c r="I1888" s="27"/>
      <c r="J1888" s="27"/>
      <c r="K1888" s="27"/>
      <c r="L1888" s="27"/>
      <c r="M1888" s="27"/>
      <c r="N1888" s="40"/>
      <c r="O1888" s="27"/>
      <c r="P1888" s="27"/>
      <c r="Q1888" s="41"/>
      <c r="R1888" s="40"/>
    </row>
    <row r="1889" spans="1:18" ht="30" customHeight="1" x14ac:dyDescent="0.3">
      <c r="A1889" s="26" t="str">
        <f t="shared" si="58"/>
        <v/>
      </c>
      <c r="B1889" s="26">
        <f>COUNTIFS($A$4:A1889,A1889)</f>
        <v>726</v>
      </c>
      <c r="C1889" s="26" t="str">
        <f t="shared" si="59"/>
        <v>726</v>
      </c>
      <c r="E1889" s="26"/>
      <c r="F1889" s="26"/>
      <c r="H1889" s="27"/>
      <c r="I1889" s="27"/>
      <c r="J1889" s="27"/>
      <c r="K1889" s="27"/>
      <c r="L1889" s="27"/>
      <c r="M1889" s="27"/>
      <c r="N1889" s="40"/>
      <c r="O1889" s="27"/>
      <c r="P1889" s="27"/>
      <c r="Q1889" s="41"/>
      <c r="R1889" s="40"/>
    </row>
    <row r="1890" spans="1:18" ht="30" customHeight="1" x14ac:dyDescent="0.3">
      <c r="A1890" s="26" t="str">
        <f t="shared" si="58"/>
        <v/>
      </c>
      <c r="B1890" s="26">
        <f>COUNTIFS($A$4:A1890,A1890)</f>
        <v>727</v>
      </c>
      <c r="C1890" s="26" t="str">
        <f t="shared" si="59"/>
        <v>727</v>
      </c>
      <c r="E1890" s="26"/>
      <c r="F1890" s="26"/>
      <c r="H1890" s="27"/>
      <c r="I1890" s="27"/>
      <c r="J1890" s="27"/>
      <c r="K1890" s="27"/>
      <c r="L1890" s="27"/>
      <c r="M1890" s="27"/>
      <c r="N1890" s="40"/>
      <c r="O1890" s="27"/>
      <c r="P1890" s="27"/>
      <c r="Q1890" s="41"/>
      <c r="R1890" s="40"/>
    </row>
    <row r="1891" spans="1:18" ht="30" customHeight="1" x14ac:dyDescent="0.3">
      <c r="A1891" s="26" t="str">
        <f t="shared" si="58"/>
        <v/>
      </c>
      <c r="B1891" s="26">
        <f>COUNTIFS($A$4:A1891,A1891)</f>
        <v>728</v>
      </c>
      <c r="C1891" s="26" t="str">
        <f t="shared" si="59"/>
        <v>728</v>
      </c>
      <c r="E1891" s="26"/>
      <c r="F1891" s="26"/>
      <c r="H1891" s="27"/>
      <c r="I1891" s="27"/>
      <c r="J1891" s="27"/>
      <c r="K1891" s="27"/>
      <c r="L1891" s="27"/>
      <c r="M1891" s="27"/>
      <c r="N1891" s="40"/>
      <c r="O1891" s="27"/>
      <c r="P1891" s="27"/>
      <c r="Q1891" s="41"/>
      <c r="R1891" s="40"/>
    </row>
    <row r="1892" spans="1:18" ht="30" customHeight="1" x14ac:dyDescent="0.3">
      <c r="A1892" s="26" t="str">
        <f t="shared" si="58"/>
        <v/>
      </c>
      <c r="B1892" s="26">
        <f>COUNTIFS($A$4:A1892,A1892)</f>
        <v>729</v>
      </c>
      <c r="C1892" s="26" t="str">
        <f t="shared" si="59"/>
        <v>729</v>
      </c>
      <c r="E1892" s="26"/>
      <c r="F1892" s="26"/>
      <c r="H1892" s="27"/>
      <c r="I1892" s="27"/>
      <c r="J1892" s="27"/>
      <c r="K1892" s="27"/>
      <c r="L1892" s="27"/>
      <c r="M1892" s="27"/>
      <c r="N1892" s="40"/>
      <c r="O1892" s="27"/>
      <c r="P1892" s="27"/>
      <c r="Q1892" s="41"/>
      <c r="R1892" s="40"/>
    </row>
    <row r="1893" spans="1:18" ht="30" customHeight="1" x14ac:dyDescent="0.3">
      <c r="A1893" s="26" t="str">
        <f t="shared" si="58"/>
        <v/>
      </c>
      <c r="B1893" s="26">
        <f>COUNTIFS($A$4:A1893,A1893)</f>
        <v>730</v>
      </c>
      <c r="C1893" s="26" t="str">
        <f t="shared" si="59"/>
        <v>730</v>
      </c>
      <c r="E1893" s="26"/>
      <c r="F1893" s="26"/>
      <c r="H1893" s="27"/>
      <c r="I1893" s="27"/>
      <c r="J1893" s="27"/>
      <c r="K1893" s="27"/>
      <c r="L1893" s="27"/>
      <c r="M1893" s="27"/>
      <c r="N1893" s="40"/>
      <c r="O1893" s="27"/>
      <c r="P1893" s="27"/>
      <c r="Q1893" s="41"/>
      <c r="R1893" s="40"/>
    </row>
    <row r="1894" spans="1:18" ht="30" customHeight="1" x14ac:dyDescent="0.3">
      <c r="A1894" s="26" t="str">
        <f t="shared" si="58"/>
        <v/>
      </c>
      <c r="B1894" s="26">
        <f>COUNTIFS($A$4:A1894,A1894)</f>
        <v>731</v>
      </c>
      <c r="C1894" s="26" t="str">
        <f t="shared" si="59"/>
        <v>731</v>
      </c>
      <c r="E1894" s="26"/>
      <c r="F1894" s="26"/>
      <c r="H1894" s="27"/>
      <c r="I1894" s="27"/>
      <c r="J1894" s="27"/>
      <c r="K1894" s="27"/>
      <c r="L1894" s="27"/>
      <c r="M1894" s="27"/>
      <c r="N1894" s="40"/>
      <c r="O1894" s="27"/>
      <c r="P1894" s="27"/>
      <c r="Q1894" s="41"/>
      <c r="R1894" s="40"/>
    </row>
    <row r="1895" spans="1:18" ht="30" customHeight="1" x14ac:dyDescent="0.3">
      <c r="A1895" s="26" t="str">
        <f t="shared" si="58"/>
        <v/>
      </c>
      <c r="B1895" s="26">
        <f>COUNTIFS($A$4:A1895,A1895)</f>
        <v>732</v>
      </c>
      <c r="C1895" s="26" t="str">
        <f t="shared" si="59"/>
        <v>732</v>
      </c>
      <c r="E1895" s="26"/>
      <c r="F1895" s="26"/>
      <c r="H1895" s="27"/>
      <c r="I1895" s="27"/>
      <c r="J1895" s="27"/>
      <c r="K1895" s="27"/>
      <c r="L1895" s="27"/>
      <c r="M1895" s="27"/>
      <c r="N1895" s="40"/>
      <c r="O1895" s="27"/>
      <c r="P1895" s="27"/>
      <c r="Q1895" s="41"/>
      <c r="R1895" s="40"/>
    </row>
    <row r="1896" spans="1:18" ht="30" customHeight="1" x14ac:dyDescent="0.3">
      <c r="A1896" s="26" t="str">
        <f t="shared" si="58"/>
        <v/>
      </c>
      <c r="B1896" s="26">
        <f>COUNTIFS($A$4:A1896,A1896)</f>
        <v>733</v>
      </c>
      <c r="C1896" s="26" t="str">
        <f t="shared" si="59"/>
        <v>733</v>
      </c>
      <c r="E1896" s="26"/>
      <c r="F1896" s="26"/>
      <c r="H1896" s="27"/>
      <c r="I1896" s="27"/>
      <c r="J1896" s="27"/>
      <c r="K1896" s="27"/>
      <c r="L1896" s="27"/>
      <c r="M1896" s="27"/>
      <c r="N1896" s="40"/>
      <c r="O1896" s="27"/>
      <c r="P1896" s="27"/>
      <c r="Q1896" s="41"/>
      <c r="R1896" s="40"/>
    </row>
    <row r="1897" spans="1:18" ht="30" customHeight="1" x14ac:dyDescent="0.3">
      <c r="A1897" s="26" t="str">
        <f t="shared" si="58"/>
        <v/>
      </c>
      <c r="B1897" s="26">
        <f>COUNTIFS($A$4:A1897,A1897)</f>
        <v>734</v>
      </c>
      <c r="C1897" s="26" t="str">
        <f t="shared" si="59"/>
        <v>734</v>
      </c>
      <c r="E1897" s="26"/>
      <c r="F1897" s="26"/>
      <c r="H1897" s="27"/>
      <c r="I1897" s="27"/>
      <c r="J1897" s="27"/>
      <c r="K1897" s="27"/>
      <c r="L1897" s="27"/>
      <c r="M1897" s="27"/>
      <c r="N1897" s="40"/>
      <c r="O1897" s="27"/>
      <c r="P1897" s="27"/>
      <c r="Q1897" s="41"/>
      <c r="R1897" s="40"/>
    </row>
    <row r="1898" spans="1:18" ht="30" customHeight="1" x14ac:dyDescent="0.3">
      <c r="A1898" s="26" t="str">
        <f t="shared" si="58"/>
        <v/>
      </c>
      <c r="B1898" s="26">
        <f>COUNTIFS($A$4:A1898,A1898)</f>
        <v>735</v>
      </c>
      <c r="C1898" s="26" t="str">
        <f t="shared" si="59"/>
        <v>735</v>
      </c>
      <c r="E1898" s="26"/>
      <c r="F1898" s="26"/>
      <c r="H1898" s="27"/>
      <c r="I1898" s="27"/>
      <c r="J1898" s="27"/>
      <c r="K1898" s="27"/>
      <c r="L1898" s="27"/>
      <c r="M1898" s="27"/>
      <c r="N1898" s="40"/>
      <c r="O1898" s="27"/>
      <c r="P1898" s="27"/>
      <c r="Q1898" s="41"/>
      <c r="R1898" s="40"/>
    </row>
    <row r="1899" spans="1:18" ht="30" customHeight="1" x14ac:dyDescent="0.3">
      <c r="A1899" s="26" t="str">
        <f t="shared" si="58"/>
        <v/>
      </c>
      <c r="B1899" s="26">
        <f>COUNTIFS($A$4:A1899,A1899)</f>
        <v>736</v>
      </c>
      <c r="C1899" s="26" t="str">
        <f t="shared" si="59"/>
        <v>736</v>
      </c>
      <c r="E1899" s="26"/>
      <c r="F1899" s="26"/>
      <c r="H1899" s="27"/>
      <c r="I1899" s="27"/>
      <c r="J1899" s="27"/>
      <c r="K1899" s="27"/>
      <c r="L1899" s="27"/>
      <c r="M1899" s="27"/>
      <c r="N1899" s="40"/>
      <c r="O1899" s="27"/>
      <c r="P1899" s="27"/>
      <c r="Q1899" s="41"/>
      <c r="R1899" s="40"/>
    </row>
    <row r="1900" spans="1:18" ht="30" customHeight="1" x14ac:dyDescent="0.3">
      <c r="A1900" s="26" t="str">
        <f t="shared" si="58"/>
        <v/>
      </c>
      <c r="B1900" s="26">
        <f>COUNTIFS($A$4:A1900,A1900)</f>
        <v>737</v>
      </c>
      <c r="C1900" s="26" t="str">
        <f t="shared" si="59"/>
        <v>737</v>
      </c>
      <c r="E1900" s="26"/>
      <c r="F1900" s="26"/>
      <c r="H1900" s="27"/>
      <c r="I1900" s="27"/>
      <c r="J1900" s="27"/>
      <c r="K1900" s="27"/>
      <c r="L1900" s="27"/>
      <c r="M1900" s="27"/>
      <c r="N1900" s="40"/>
      <c r="O1900" s="27"/>
      <c r="P1900" s="27"/>
      <c r="Q1900" s="41"/>
      <c r="R1900" s="40"/>
    </row>
    <row r="1901" spans="1:18" ht="30" customHeight="1" x14ac:dyDescent="0.3">
      <c r="A1901" s="26" t="str">
        <f t="shared" si="58"/>
        <v/>
      </c>
      <c r="B1901" s="26">
        <f>COUNTIFS($A$4:A1901,A1901)</f>
        <v>738</v>
      </c>
      <c r="C1901" s="26" t="str">
        <f t="shared" si="59"/>
        <v>738</v>
      </c>
      <c r="E1901" s="26"/>
      <c r="F1901" s="26"/>
      <c r="H1901" s="27"/>
      <c r="I1901" s="27"/>
      <c r="J1901" s="27"/>
      <c r="K1901" s="27"/>
      <c r="L1901" s="27"/>
      <c r="M1901" s="27"/>
      <c r="N1901" s="40"/>
      <c r="O1901" s="27"/>
      <c r="P1901" s="27"/>
      <c r="Q1901" s="41"/>
      <c r="R1901" s="40"/>
    </row>
    <row r="1902" spans="1:18" ht="30" customHeight="1" x14ac:dyDescent="0.3">
      <c r="A1902" s="26" t="str">
        <f t="shared" si="58"/>
        <v/>
      </c>
      <c r="B1902" s="26">
        <f>COUNTIFS($A$4:A1902,A1902)</f>
        <v>739</v>
      </c>
      <c r="C1902" s="26" t="str">
        <f t="shared" si="59"/>
        <v>739</v>
      </c>
      <c r="E1902" s="26"/>
      <c r="F1902" s="26"/>
      <c r="H1902" s="27"/>
      <c r="I1902" s="27"/>
      <c r="J1902" s="27"/>
      <c r="K1902" s="27"/>
      <c r="L1902" s="27"/>
      <c r="M1902" s="27"/>
      <c r="N1902" s="40"/>
      <c r="O1902" s="27"/>
      <c r="P1902" s="27"/>
      <c r="Q1902" s="41"/>
      <c r="R1902" s="40"/>
    </row>
    <row r="1903" spans="1:18" ht="30" customHeight="1" x14ac:dyDescent="0.3">
      <c r="A1903" s="26" t="str">
        <f t="shared" si="58"/>
        <v/>
      </c>
      <c r="B1903" s="26">
        <f>COUNTIFS($A$4:A1903,A1903)</f>
        <v>740</v>
      </c>
      <c r="C1903" s="26" t="str">
        <f t="shared" si="59"/>
        <v>740</v>
      </c>
      <c r="E1903" s="26"/>
      <c r="F1903" s="26"/>
      <c r="H1903" s="27"/>
      <c r="I1903" s="27"/>
      <c r="J1903" s="27"/>
      <c r="K1903" s="27"/>
      <c r="L1903" s="27"/>
      <c r="M1903" s="27"/>
      <c r="N1903" s="40"/>
      <c r="O1903" s="27"/>
      <c r="P1903" s="27"/>
      <c r="Q1903" s="41"/>
      <c r="R1903" s="40"/>
    </row>
    <row r="1904" spans="1:18" ht="30" customHeight="1" x14ac:dyDescent="0.3">
      <c r="A1904" s="26" t="str">
        <f t="shared" si="58"/>
        <v/>
      </c>
      <c r="B1904" s="26">
        <f>COUNTIFS($A$4:A1904,A1904)</f>
        <v>741</v>
      </c>
      <c r="C1904" s="26" t="str">
        <f t="shared" si="59"/>
        <v>741</v>
      </c>
      <c r="E1904" s="26"/>
      <c r="F1904" s="26"/>
      <c r="H1904" s="27"/>
      <c r="I1904" s="27"/>
      <c r="J1904" s="27"/>
      <c r="K1904" s="27"/>
      <c r="L1904" s="27"/>
      <c r="M1904" s="27"/>
      <c r="N1904" s="40"/>
      <c r="O1904" s="27"/>
      <c r="P1904" s="27"/>
      <c r="Q1904" s="41"/>
      <c r="R1904" s="40"/>
    </row>
    <row r="1905" spans="1:18" ht="30" customHeight="1" x14ac:dyDescent="0.3">
      <c r="A1905" s="26" t="str">
        <f t="shared" si="58"/>
        <v/>
      </c>
      <c r="B1905" s="26">
        <f>COUNTIFS($A$4:A1905,A1905)</f>
        <v>742</v>
      </c>
      <c r="C1905" s="26" t="str">
        <f t="shared" si="59"/>
        <v>742</v>
      </c>
      <c r="E1905" s="26"/>
      <c r="F1905" s="26"/>
      <c r="H1905" s="27"/>
      <c r="I1905" s="27"/>
      <c r="J1905" s="27"/>
      <c r="K1905" s="27"/>
      <c r="L1905" s="27"/>
      <c r="M1905" s="27"/>
      <c r="N1905" s="40"/>
      <c r="O1905" s="27"/>
      <c r="P1905" s="27"/>
      <c r="Q1905" s="41"/>
      <c r="R1905" s="40"/>
    </row>
    <row r="1906" spans="1:18" ht="30" customHeight="1" x14ac:dyDescent="0.3">
      <c r="A1906" s="26" t="str">
        <f t="shared" si="58"/>
        <v/>
      </c>
      <c r="B1906" s="26">
        <f>COUNTIFS($A$4:A1906,A1906)</f>
        <v>743</v>
      </c>
      <c r="C1906" s="26" t="str">
        <f t="shared" si="59"/>
        <v>743</v>
      </c>
      <c r="E1906" s="26"/>
      <c r="F1906" s="26"/>
      <c r="H1906" s="27"/>
      <c r="I1906" s="27"/>
      <c r="J1906" s="27"/>
      <c r="K1906" s="27"/>
      <c r="L1906" s="27"/>
      <c r="M1906" s="27"/>
      <c r="N1906" s="40"/>
      <c r="O1906" s="27"/>
      <c r="P1906" s="27"/>
      <c r="Q1906" s="41"/>
      <c r="R1906" s="40"/>
    </row>
    <row r="1907" spans="1:18" ht="30" customHeight="1" x14ac:dyDescent="0.3">
      <c r="A1907" s="26" t="str">
        <f t="shared" si="58"/>
        <v/>
      </c>
      <c r="B1907" s="26">
        <f>COUNTIFS($A$4:A1907,A1907)</f>
        <v>744</v>
      </c>
      <c r="C1907" s="26" t="str">
        <f t="shared" si="59"/>
        <v>744</v>
      </c>
      <c r="E1907" s="26"/>
      <c r="F1907" s="26"/>
      <c r="H1907" s="27"/>
      <c r="I1907" s="27"/>
      <c r="J1907" s="27"/>
      <c r="K1907" s="27"/>
      <c r="L1907" s="27"/>
      <c r="M1907" s="27"/>
      <c r="N1907" s="40"/>
      <c r="O1907" s="27"/>
      <c r="P1907" s="27"/>
      <c r="Q1907" s="41"/>
      <c r="R1907" s="40"/>
    </row>
    <row r="1908" spans="1:18" ht="30" customHeight="1" x14ac:dyDescent="0.3">
      <c r="A1908" s="26" t="str">
        <f t="shared" si="58"/>
        <v/>
      </c>
      <c r="B1908" s="26">
        <f>COUNTIFS($A$4:A1908,A1908)</f>
        <v>745</v>
      </c>
      <c r="C1908" s="26" t="str">
        <f t="shared" si="59"/>
        <v>745</v>
      </c>
      <c r="E1908" s="26"/>
      <c r="F1908" s="26"/>
      <c r="H1908" s="27"/>
      <c r="I1908" s="27"/>
      <c r="J1908" s="27"/>
      <c r="K1908" s="27"/>
      <c r="L1908" s="27"/>
      <c r="M1908" s="27"/>
      <c r="N1908" s="40"/>
      <c r="O1908" s="27"/>
      <c r="P1908" s="27"/>
      <c r="Q1908" s="41"/>
      <c r="R1908" s="40"/>
    </row>
    <row r="1909" spans="1:18" ht="30" customHeight="1" x14ac:dyDescent="0.3">
      <c r="A1909" s="26" t="str">
        <f t="shared" si="58"/>
        <v/>
      </c>
      <c r="B1909" s="26">
        <f>COUNTIFS($A$4:A1909,A1909)</f>
        <v>746</v>
      </c>
      <c r="C1909" s="26" t="str">
        <f t="shared" si="59"/>
        <v>746</v>
      </c>
      <c r="E1909" s="26"/>
      <c r="F1909" s="26"/>
      <c r="H1909" s="27"/>
      <c r="I1909" s="27"/>
      <c r="J1909" s="27"/>
      <c r="K1909" s="27"/>
      <c r="L1909" s="27"/>
      <c r="M1909" s="27"/>
      <c r="N1909" s="40"/>
      <c r="O1909" s="27"/>
      <c r="P1909" s="27"/>
      <c r="Q1909" s="41"/>
      <c r="R1909" s="40"/>
    </row>
    <row r="1910" spans="1:18" ht="30" customHeight="1" x14ac:dyDescent="0.3">
      <c r="A1910" s="26" t="str">
        <f t="shared" si="58"/>
        <v/>
      </c>
      <c r="B1910" s="26">
        <f>COUNTIFS($A$4:A1910,A1910)</f>
        <v>747</v>
      </c>
      <c r="C1910" s="26" t="str">
        <f t="shared" si="59"/>
        <v>747</v>
      </c>
      <c r="E1910" s="26"/>
      <c r="F1910" s="26"/>
      <c r="H1910" s="27"/>
      <c r="I1910" s="27"/>
      <c r="J1910" s="27"/>
      <c r="K1910" s="27"/>
      <c r="L1910" s="27"/>
      <c r="M1910" s="27"/>
      <c r="N1910" s="40"/>
      <c r="O1910" s="27"/>
      <c r="P1910" s="27"/>
      <c r="Q1910" s="41"/>
      <c r="R1910" s="40"/>
    </row>
    <row r="1911" spans="1:18" ht="30" customHeight="1" x14ac:dyDescent="0.3">
      <c r="A1911" s="26" t="str">
        <f t="shared" si="58"/>
        <v/>
      </c>
      <c r="B1911" s="26">
        <f>COUNTIFS($A$4:A1911,A1911)</f>
        <v>748</v>
      </c>
      <c r="C1911" s="26" t="str">
        <f t="shared" si="59"/>
        <v>748</v>
      </c>
      <c r="E1911" s="26"/>
      <c r="F1911" s="26"/>
      <c r="H1911" s="27"/>
      <c r="I1911" s="27"/>
      <c r="J1911" s="27"/>
      <c r="K1911" s="27"/>
      <c r="L1911" s="27"/>
      <c r="M1911" s="27"/>
      <c r="N1911" s="40"/>
      <c r="O1911" s="27"/>
      <c r="P1911" s="27"/>
      <c r="Q1911" s="41"/>
      <c r="R1911" s="40"/>
    </row>
    <row r="1912" spans="1:18" ht="30" customHeight="1" x14ac:dyDescent="0.3">
      <c r="A1912" s="26" t="str">
        <f t="shared" si="58"/>
        <v/>
      </c>
      <c r="B1912" s="26">
        <f>COUNTIFS($A$4:A1912,A1912)</f>
        <v>749</v>
      </c>
      <c r="C1912" s="26" t="str">
        <f t="shared" si="59"/>
        <v>749</v>
      </c>
      <c r="E1912" s="26"/>
      <c r="F1912" s="26"/>
      <c r="H1912" s="27"/>
      <c r="I1912" s="27"/>
      <c r="J1912" s="27"/>
      <c r="K1912" s="27"/>
      <c r="L1912" s="27"/>
      <c r="M1912" s="27"/>
      <c r="N1912" s="40"/>
      <c r="O1912" s="27"/>
      <c r="P1912" s="27"/>
      <c r="Q1912" s="41"/>
      <c r="R1912" s="40"/>
    </row>
    <row r="1913" spans="1:18" ht="30" customHeight="1" x14ac:dyDescent="0.3">
      <c r="A1913" s="26" t="str">
        <f t="shared" si="58"/>
        <v/>
      </c>
      <c r="B1913" s="26">
        <f>COUNTIFS($A$4:A1913,A1913)</f>
        <v>750</v>
      </c>
      <c r="C1913" s="26" t="str">
        <f t="shared" si="59"/>
        <v>750</v>
      </c>
      <c r="E1913" s="26"/>
      <c r="F1913" s="26"/>
      <c r="H1913" s="27"/>
      <c r="I1913" s="27"/>
      <c r="J1913" s="27"/>
      <c r="K1913" s="27"/>
      <c r="L1913" s="27"/>
      <c r="M1913" s="27"/>
      <c r="N1913" s="40"/>
      <c r="O1913" s="27"/>
      <c r="P1913" s="27"/>
      <c r="Q1913" s="41"/>
      <c r="R1913" s="40"/>
    </row>
    <row r="1914" spans="1:18" ht="30" customHeight="1" x14ac:dyDescent="0.3">
      <c r="A1914" s="26" t="str">
        <f t="shared" si="58"/>
        <v/>
      </c>
      <c r="B1914" s="26">
        <f>COUNTIFS($A$4:A1914,A1914)</f>
        <v>751</v>
      </c>
      <c r="C1914" s="26" t="str">
        <f t="shared" si="59"/>
        <v>751</v>
      </c>
      <c r="E1914" s="26"/>
      <c r="F1914" s="26"/>
      <c r="H1914" s="27"/>
      <c r="I1914" s="27"/>
      <c r="J1914" s="27"/>
      <c r="K1914" s="27"/>
      <c r="L1914" s="27"/>
      <c r="M1914" s="27"/>
      <c r="N1914" s="40"/>
      <c r="O1914" s="27"/>
      <c r="P1914" s="27"/>
      <c r="Q1914" s="41"/>
      <c r="R1914" s="40"/>
    </row>
    <row r="1915" spans="1:18" ht="30" customHeight="1" x14ac:dyDescent="0.3">
      <c r="A1915" s="26" t="str">
        <f t="shared" si="58"/>
        <v/>
      </c>
      <c r="B1915" s="26">
        <f>COUNTIFS($A$4:A1915,A1915)</f>
        <v>752</v>
      </c>
      <c r="C1915" s="26" t="str">
        <f t="shared" si="59"/>
        <v>752</v>
      </c>
      <c r="E1915" s="26"/>
      <c r="F1915" s="26"/>
      <c r="H1915" s="27"/>
      <c r="I1915" s="27"/>
      <c r="J1915" s="27"/>
      <c r="K1915" s="27"/>
      <c r="L1915" s="27"/>
      <c r="M1915" s="27"/>
      <c r="N1915" s="40"/>
      <c r="O1915" s="27"/>
      <c r="P1915" s="27"/>
      <c r="Q1915" s="41"/>
      <c r="R1915" s="40"/>
    </row>
    <row r="1916" spans="1:18" ht="30" customHeight="1" x14ac:dyDescent="0.3">
      <c r="A1916" s="26" t="str">
        <f t="shared" si="58"/>
        <v/>
      </c>
      <c r="B1916" s="26">
        <f>COUNTIFS($A$4:A1916,A1916)</f>
        <v>753</v>
      </c>
      <c r="C1916" s="26" t="str">
        <f t="shared" si="59"/>
        <v>753</v>
      </c>
      <c r="E1916" s="26"/>
      <c r="F1916" s="26"/>
      <c r="H1916" s="27"/>
      <c r="I1916" s="27"/>
      <c r="J1916" s="27"/>
      <c r="K1916" s="27"/>
      <c r="L1916" s="27"/>
      <c r="M1916" s="27"/>
      <c r="N1916" s="40"/>
      <c r="O1916" s="27"/>
      <c r="P1916" s="27"/>
      <c r="Q1916" s="41"/>
      <c r="R1916" s="40"/>
    </row>
    <row r="1917" spans="1:18" ht="30" customHeight="1" x14ac:dyDescent="0.3">
      <c r="A1917" s="26" t="str">
        <f t="shared" si="58"/>
        <v/>
      </c>
      <c r="B1917" s="26">
        <f>COUNTIFS($A$4:A1917,A1917)</f>
        <v>754</v>
      </c>
      <c r="C1917" s="26" t="str">
        <f t="shared" si="59"/>
        <v>754</v>
      </c>
      <c r="E1917" s="26"/>
      <c r="F1917" s="26"/>
      <c r="H1917" s="27"/>
      <c r="I1917" s="27"/>
      <c r="J1917" s="27"/>
      <c r="K1917" s="27"/>
      <c r="L1917" s="27"/>
      <c r="M1917" s="27"/>
      <c r="N1917" s="40"/>
      <c r="O1917" s="27"/>
      <c r="P1917" s="27"/>
      <c r="Q1917" s="41"/>
      <c r="R1917" s="40"/>
    </row>
    <row r="1918" spans="1:18" ht="30" customHeight="1" x14ac:dyDescent="0.3">
      <c r="A1918" s="26" t="str">
        <f t="shared" si="58"/>
        <v/>
      </c>
      <c r="B1918" s="26">
        <f>COUNTIFS($A$4:A1918,A1918)</f>
        <v>755</v>
      </c>
      <c r="C1918" s="26" t="str">
        <f t="shared" si="59"/>
        <v>755</v>
      </c>
      <c r="E1918" s="26"/>
      <c r="F1918" s="26"/>
      <c r="H1918" s="27"/>
      <c r="I1918" s="27"/>
      <c r="J1918" s="27"/>
      <c r="K1918" s="27"/>
      <c r="L1918" s="27"/>
      <c r="M1918" s="27"/>
      <c r="N1918" s="40"/>
      <c r="O1918" s="27"/>
      <c r="P1918" s="27"/>
      <c r="Q1918" s="41"/>
      <c r="R1918" s="40"/>
    </row>
    <row r="1919" spans="1:18" ht="30" customHeight="1" x14ac:dyDescent="0.3">
      <c r="A1919" s="26" t="str">
        <f t="shared" si="58"/>
        <v/>
      </c>
      <c r="B1919" s="26">
        <f>COUNTIFS($A$4:A1919,A1919)</f>
        <v>756</v>
      </c>
      <c r="C1919" s="26" t="str">
        <f t="shared" si="59"/>
        <v>756</v>
      </c>
      <c r="E1919" s="26"/>
      <c r="F1919" s="26"/>
      <c r="H1919" s="27"/>
      <c r="I1919" s="27"/>
      <c r="J1919" s="27"/>
      <c r="K1919" s="27"/>
      <c r="L1919" s="27"/>
      <c r="M1919" s="27"/>
      <c r="N1919" s="40"/>
      <c r="O1919" s="27"/>
      <c r="P1919" s="27"/>
      <c r="Q1919" s="41"/>
      <c r="R1919" s="40"/>
    </row>
    <row r="1920" spans="1:18" ht="30" customHeight="1" x14ac:dyDescent="0.3">
      <c r="A1920" s="26" t="str">
        <f t="shared" si="58"/>
        <v/>
      </c>
      <c r="B1920" s="26">
        <f>COUNTIFS($A$4:A1920,A1920)</f>
        <v>757</v>
      </c>
      <c r="C1920" s="26" t="str">
        <f t="shared" si="59"/>
        <v>757</v>
      </c>
      <c r="E1920" s="26"/>
      <c r="F1920" s="26"/>
      <c r="H1920" s="27"/>
      <c r="I1920" s="27"/>
      <c r="J1920" s="27"/>
      <c r="K1920" s="27"/>
      <c r="L1920" s="27"/>
      <c r="M1920" s="27"/>
      <c r="N1920" s="40"/>
      <c r="O1920" s="27"/>
      <c r="P1920" s="27"/>
      <c r="Q1920" s="41"/>
      <c r="R1920" s="40"/>
    </row>
    <row r="1921" spans="1:18" ht="30" customHeight="1" x14ac:dyDescent="0.3">
      <c r="A1921" s="26" t="str">
        <f t="shared" si="58"/>
        <v/>
      </c>
      <c r="B1921" s="26">
        <f>COUNTIFS($A$4:A1921,A1921)</f>
        <v>758</v>
      </c>
      <c r="C1921" s="26" t="str">
        <f t="shared" si="59"/>
        <v>758</v>
      </c>
      <c r="E1921" s="26"/>
      <c r="F1921" s="26"/>
      <c r="H1921" s="27"/>
      <c r="I1921" s="27"/>
      <c r="J1921" s="27"/>
      <c r="K1921" s="27"/>
      <c r="L1921" s="27"/>
      <c r="M1921" s="27"/>
      <c r="N1921" s="40"/>
      <c r="O1921" s="27"/>
      <c r="P1921" s="27"/>
      <c r="Q1921" s="41"/>
      <c r="R1921" s="40"/>
    </row>
    <row r="1922" spans="1:18" ht="30" customHeight="1" x14ac:dyDescent="0.3">
      <c r="A1922" s="26" t="str">
        <f t="shared" si="58"/>
        <v/>
      </c>
      <c r="B1922" s="26">
        <f>COUNTIFS($A$4:A1922,A1922)</f>
        <v>759</v>
      </c>
      <c r="C1922" s="26" t="str">
        <f t="shared" si="59"/>
        <v>759</v>
      </c>
      <c r="E1922" s="26"/>
      <c r="F1922" s="26"/>
      <c r="H1922" s="27"/>
      <c r="I1922" s="27"/>
      <c r="J1922" s="27"/>
      <c r="K1922" s="27"/>
      <c r="L1922" s="27"/>
      <c r="M1922" s="27"/>
      <c r="N1922" s="40"/>
      <c r="O1922" s="27"/>
      <c r="P1922" s="27"/>
      <c r="Q1922" s="41"/>
      <c r="R1922" s="40"/>
    </row>
    <row r="1923" spans="1:18" ht="30" customHeight="1" x14ac:dyDescent="0.3">
      <c r="A1923" s="26" t="str">
        <f t="shared" si="58"/>
        <v/>
      </c>
      <c r="B1923" s="26">
        <f>COUNTIFS($A$4:A1923,A1923)</f>
        <v>760</v>
      </c>
      <c r="C1923" s="26" t="str">
        <f t="shared" si="59"/>
        <v>760</v>
      </c>
      <c r="E1923" s="26"/>
      <c r="F1923" s="26"/>
      <c r="H1923" s="27"/>
      <c r="I1923" s="27"/>
      <c r="J1923" s="27"/>
      <c r="K1923" s="27"/>
      <c r="L1923" s="27"/>
      <c r="M1923" s="27"/>
      <c r="N1923" s="40"/>
      <c r="O1923" s="27"/>
      <c r="P1923" s="27"/>
      <c r="Q1923" s="41"/>
      <c r="R1923" s="40"/>
    </row>
    <row r="1924" spans="1:18" ht="30" customHeight="1" x14ac:dyDescent="0.3">
      <c r="A1924" s="26" t="str">
        <f t="shared" si="58"/>
        <v/>
      </c>
      <c r="B1924" s="26">
        <f>COUNTIFS($A$4:A1924,A1924)</f>
        <v>761</v>
      </c>
      <c r="C1924" s="26" t="str">
        <f t="shared" si="59"/>
        <v>761</v>
      </c>
      <c r="E1924" s="26"/>
      <c r="F1924" s="26"/>
      <c r="H1924" s="27"/>
      <c r="I1924" s="27"/>
      <c r="J1924" s="27"/>
      <c r="K1924" s="27"/>
      <c r="L1924" s="27"/>
      <c r="M1924" s="27"/>
      <c r="N1924" s="40"/>
      <c r="O1924" s="27"/>
      <c r="P1924" s="27"/>
      <c r="Q1924" s="41"/>
      <c r="R1924" s="40"/>
    </row>
    <row r="1925" spans="1:18" ht="30" customHeight="1" x14ac:dyDescent="0.3">
      <c r="A1925" s="26" t="str">
        <f t="shared" si="58"/>
        <v/>
      </c>
      <c r="B1925" s="26">
        <f>COUNTIFS($A$4:A1925,A1925)</f>
        <v>762</v>
      </c>
      <c r="C1925" s="26" t="str">
        <f t="shared" si="59"/>
        <v>762</v>
      </c>
      <c r="E1925" s="26"/>
      <c r="F1925" s="26"/>
      <c r="H1925" s="27"/>
      <c r="I1925" s="27"/>
      <c r="J1925" s="27"/>
      <c r="K1925" s="27"/>
      <c r="L1925" s="27"/>
      <c r="M1925" s="27"/>
      <c r="N1925" s="40"/>
      <c r="O1925" s="27"/>
      <c r="P1925" s="27"/>
      <c r="Q1925" s="41"/>
      <c r="R1925" s="40"/>
    </row>
    <row r="1926" spans="1:18" ht="30" customHeight="1" x14ac:dyDescent="0.3">
      <c r="A1926" s="26" t="str">
        <f t="shared" si="58"/>
        <v/>
      </c>
      <c r="B1926" s="26">
        <f>COUNTIFS($A$4:A1926,A1926)</f>
        <v>763</v>
      </c>
      <c r="C1926" s="26" t="str">
        <f t="shared" si="59"/>
        <v>763</v>
      </c>
      <c r="E1926" s="26"/>
      <c r="F1926" s="26"/>
      <c r="H1926" s="27"/>
      <c r="I1926" s="27"/>
      <c r="J1926" s="27"/>
      <c r="K1926" s="27"/>
      <c r="L1926" s="27"/>
      <c r="M1926" s="27"/>
      <c r="N1926" s="40"/>
      <c r="O1926" s="27"/>
      <c r="P1926" s="27"/>
      <c r="Q1926" s="41"/>
      <c r="R1926" s="40"/>
    </row>
    <row r="1927" spans="1:18" ht="30" customHeight="1" x14ac:dyDescent="0.3">
      <c r="A1927" s="26" t="str">
        <f t="shared" si="58"/>
        <v/>
      </c>
      <c r="B1927" s="26">
        <f>COUNTIFS($A$4:A1927,A1927)</f>
        <v>764</v>
      </c>
      <c r="C1927" s="26" t="str">
        <f t="shared" si="59"/>
        <v>764</v>
      </c>
      <c r="E1927" s="26"/>
      <c r="F1927" s="26"/>
      <c r="H1927" s="27"/>
      <c r="I1927" s="27"/>
      <c r="J1927" s="27"/>
      <c r="K1927" s="27"/>
      <c r="L1927" s="27"/>
      <c r="M1927" s="27"/>
      <c r="N1927" s="40"/>
      <c r="O1927" s="27"/>
      <c r="P1927" s="27"/>
      <c r="Q1927" s="41"/>
      <c r="R1927" s="40"/>
    </row>
    <row r="1928" spans="1:18" ht="30" customHeight="1" x14ac:dyDescent="0.3">
      <c r="A1928" s="26" t="str">
        <f t="shared" si="58"/>
        <v/>
      </c>
      <c r="B1928" s="26">
        <f>COUNTIFS($A$4:A1928,A1928)</f>
        <v>765</v>
      </c>
      <c r="C1928" s="26" t="str">
        <f t="shared" si="59"/>
        <v>765</v>
      </c>
      <c r="E1928" s="26"/>
      <c r="F1928" s="26"/>
      <c r="H1928" s="27"/>
      <c r="I1928" s="27"/>
      <c r="J1928" s="27"/>
      <c r="K1928" s="27"/>
      <c r="L1928" s="27"/>
      <c r="M1928" s="27"/>
      <c r="N1928" s="40"/>
      <c r="O1928" s="27"/>
      <c r="P1928" s="27"/>
      <c r="Q1928" s="41"/>
      <c r="R1928" s="40"/>
    </row>
    <row r="1929" spans="1:18" ht="30" customHeight="1" x14ac:dyDescent="0.3">
      <c r="A1929" s="26" t="str">
        <f t="shared" si="58"/>
        <v/>
      </c>
      <c r="B1929" s="26">
        <f>COUNTIFS($A$4:A1929,A1929)</f>
        <v>766</v>
      </c>
      <c r="C1929" s="26" t="str">
        <f t="shared" si="59"/>
        <v>766</v>
      </c>
      <c r="E1929" s="26"/>
      <c r="F1929" s="26"/>
      <c r="H1929" s="27"/>
      <c r="I1929" s="27"/>
      <c r="J1929" s="27"/>
      <c r="K1929" s="27"/>
      <c r="L1929" s="27"/>
      <c r="M1929" s="27"/>
      <c r="N1929" s="40"/>
      <c r="O1929" s="27"/>
      <c r="P1929" s="27"/>
      <c r="Q1929" s="41"/>
      <c r="R1929" s="40"/>
    </row>
    <row r="1930" spans="1:18" ht="30" customHeight="1" x14ac:dyDescent="0.3">
      <c r="A1930" s="26" t="str">
        <f t="shared" si="58"/>
        <v/>
      </c>
      <c r="B1930" s="26">
        <f>COUNTIFS($A$4:A1930,A1930)</f>
        <v>767</v>
      </c>
      <c r="C1930" s="26" t="str">
        <f t="shared" si="59"/>
        <v>767</v>
      </c>
      <c r="E1930" s="26"/>
      <c r="F1930" s="26"/>
      <c r="H1930" s="27"/>
      <c r="I1930" s="27"/>
      <c r="J1930" s="27"/>
      <c r="K1930" s="27"/>
      <c r="L1930" s="27"/>
      <c r="M1930" s="27"/>
      <c r="N1930" s="40"/>
      <c r="O1930" s="27"/>
      <c r="P1930" s="27"/>
      <c r="Q1930" s="41"/>
      <c r="R1930" s="40"/>
    </row>
    <row r="1931" spans="1:18" ht="30" customHeight="1" x14ac:dyDescent="0.3">
      <c r="A1931" s="26" t="str">
        <f t="shared" si="58"/>
        <v/>
      </c>
      <c r="B1931" s="26">
        <f>COUNTIFS($A$4:A1931,A1931)</f>
        <v>768</v>
      </c>
      <c r="C1931" s="26" t="str">
        <f t="shared" si="59"/>
        <v>768</v>
      </c>
      <c r="E1931" s="26"/>
      <c r="F1931" s="26"/>
      <c r="H1931" s="27"/>
      <c r="I1931" s="27"/>
      <c r="J1931" s="27"/>
      <c r="K1931" s="27"/>
      <c r="L1931" s="27"/>
      <c r="M1931" s="27"/>
      <c r="N1931" s="40"/>
      <c r="O1931" s="27"/>
      <c r="P1931" s="27"/>
      <c r="Q1931" s="41"/>
      <c r="R1931" s="40"/>
    </row>
    <row r="1932" spans="1:18" ht="30" customHeight="1" x14ac:dyDescent="0.3">
      <c r="A1932" s="26" t="str">
        <f t="shared" si="58"/>
        <v/>
      </c>
      <c r="B1932" s="26">
        <f>COUNTIFS($A$4:A1932,A1932)</f>
        <v>769</v>
      </c>
      <c r="C1932" s="26" t="str">
        <f t="shared" si="59"/>
        <v>769</v>
      </c>
      <c r="E1932" s="26"/>
      <c r="F1932" s="26"/>
      <c r="H1932" s="27"/>
      <c r="I1932" s="27"/>
      <c r="J1932" s="27"/>
      <c r="K1932" s="27"/>
      <c r="L1932" s="27"/>
      <c r="M1932" s="27"/>
      <c r="N1932" s="40"/>
      <c r="O1932" s="27"/>
      <c r="P1932" s="27"/>
      <c r="Q1932" s="41"/>
      <c r="R1932" s="40"/>
    </row>
    <row r="1933" spans="1:18" ht="30" customHeight="1" x14ac:dyDescent="0.3">
      <c r="A1933" s="26" t="str">
        <f t="shared" si="58"/>
        <v/>
      </c>
      <c r="B1933" s="26">
        <f>COUNTIFS($A$4:A1933,A1933)</f>
        <v>770</v>
      </c>
      <c r="C1933" s="26" t="str">
        <f t="shared" si="59"/>
        <v>770</v>
      </c>
      <c r="E1933" s="26"/>
      <c r="F1933" s="26"/>
      <c r="H1933" s="27"/>
      <c r="I1933" s="27"/>
      <c r="J1933" s="27"/>
      <c r="K1933" s="27"/>
      <c r="L1933" s="27"/>
      <c r="M1933" s="27"/>
      <c r="N1933" s="40"/>
      <c r="O1933" s="27"/>
      <c r="P1933" s="27"/>
      <c r="Q1933" s="41"/>
      <c r="R1933" s="40"/>
    </row>
    <row r="1934" spans="1:18" ht="30" customHeight="1" x14ac:dyDescent="0.3">
      <c r="A1934" s="26" t="str">
        <f t="shared" si="58"/>
        <v/>
      </c>
      <c r="B1934" s="26">
        <f>COUNTIFS($A$4:A1934,A1934)</f>
        <v>771</v>
      </c>
      <c r="C1934" s="26" t="str">
        <f t="shared" si="59"/>
        <v>771</v>
      </c>
      <c r="E1934" s="26"/>
      <c r="F1934" s="26"/>
      <c r="H1934" s="27"/>
      <c r="I1934" s="27"/>
      <c r="J1934" s="27"/>
      <c r="K1934" s="27"/>
      <c r="L1934" s="27"/>
      <c r="M1934" s="27"/>
      <c r="N1934" s="40"/>
      <c r="O1934" s="27"/>
      <c r="P1934" s="27"/>
      <c r="Q1934" s="41"/>
      <c r="R1934" s="40"/>
    </row>
    <row r="1935" spans="1:18" ht="30" customHeight="1" x14ac:dyDescent="0.3">
      <c r="A1935" s="26" t="str">
        <f t="shared" si="58"/>
        <v/>
      </c>
      <c r="B1935" s="26">
        <f>COUNTIFS($A$4:A1935,A1935)</f>
        <v>772</v>
      </c>
      <c r="C1935" s="26" t="str">
        <f t="shared" si="59"/>
        <v>772</v>
      </c>
      <c r="E1935" s="26"/>
      <c r="F1935" s="26"/>
      <c r="H1935" s="27"/>
      <c r="I1935" s="27"/>
      <c r="J1935" s="27"/>
      <c r="K1935" s="27"/>
      <c r="L1935" s="27"/>
      <c r="M1935" s="27"/>
      <c r="N1935" s="40"/>
      <c r="O1935" s="27"/>
      <c r="P1935" s="27"/>
      <c r="Q1935" s="41"/>
      <c r="R1935" s="40"/>
    </row>
    <row r="1936" spans="1:18" ht="30" customHeight="1" x14ac:dyDescent="0.3">
      <c r="A1936" s="26" t="str">
        <f t="shared" si="58"/>
        <v/>
      </c>
      <c r="B1936" s="26">
        <f>COUNTIFS($A$4:A1936,A1936)</f>
        <v>773</v>
      </c>
      <c r="C1936" s="26" t="str">
        <f t="shared" si="59"/>
        <v>773</v>
      </c>
      <c r="E1936" s="26"/>
      <c r="F1936" s="26"/>
      <c r="H1936" s="27"/>
      <c r="I1936" s="27"/>
      <c r="J1936" s="27"/>
      <c r="K1936" s="27"/>
      <c r="L1936" s="27"/>
      <c r="M1936" s="27"/>
      <c r="N1936" s="40"/>
      <c r="O1936" s="27"/>
      <c r="P1936" s="27"/>
      <c r="Q1936" s="41"/>
      <c r="R1936" s="40"/>
    </row>
    <row r="1937" spans="1:18" ht="30" customHeight="1" x14ac:dyDescent="0.3">
      <c r="A1937" s="26" t="str">
        <f t="shared" ref="A1937:A2000" si="60">I1937&amp;H1937</f>
        <v/>
      </c>
      <c r="B1937" s="26">
        <f>COUNTIFS($A$4:A1937,A1937)</f>
        <v>774</v>
      </c>
      <c r="C1937" s="26" t="str">
        <f t="shared" ref="C1937:C2000" si="61">A1937&amp;B1937</f>
        <v>774</v>
      </c>
      <c r="E1937" s="26"/>
      <c r="F1937" s="26"/>
      <c r="H1937" s="27"/>
      <c r="I1937" s="27"/>
      <c r="J1937" s="27"/>
      <c r="K1937" s="27"/>
      <c r="L1937" s="27"/>
      <c r="M1937" s="27"/>
      <c r="N1937" s="40"/>
      <c r="O1937" s="27"/>
      <c r="P1937" s="27"/>
      <c r="Q1937" s="41"/>
      <c r="R1937" s="40"/>
    </row>
    <row r="1938" spans="1:18" ht="30" customHeight="1" x14ac:dyDescent="0.3">
      <c r="A1938" s="26" t="str">
        <f t="shared" si="60"/>
        <v/>
      </c>
      <c r="B1938" s="26">
        <f>COUNTIFS($A$4:A1938,A1938)</f>
        <v>775</v>
      </c>
      <c r="C1938" s="26" t="str">
        <f t="shared" si="61"/>
        <v>775</v>
      </c>
      <c r="E1938" s="26"/>
      <c r="F1938" s="26"/>
      <c r="H1938" s="27"/>
      <c r="I1938" s="27"/>
      <c r="J1938" s="27"/>
      <c r="K1938" s="27"/>
      <c r="L1938" s="27"/>
      <c r="M1938" s="27"/>
      <c r="N1938" s="40"/>
      <c r="O1938" s="27"/>
      <c r="P1938" s="27"/>
      <c r="Q1938" s="41"/>
      <c r="R1938" s="40"/>
    </row>
    <row r="1939" spans="1:18" ht="30" customHeight="1" x14ac:dyDescent="0.3">
      <c r="A1939" s="26" t="str">
        <f t="shared" si="60"/>
        <v/>
      </c>
      <c r="B1939" s="26">
        <f>COUNTIFS($A$4:A1939,A1939)</f>
        <v>776</v>
      </c>
      <c r="C1939" s="26" t="str">
        <f t="shared" si="61"/>
        <v>776</v>
      </c>
      <c r="E1939" s="26"/>
      <c r="F1939" s="26"/>
      <c r="H1939" s="27"/>
      <c r="I1939" s="27"/>
      <c r="J1939" s="27"/>
      <c r="K1939" s="27"/>
      <c r="L1939" s="27"/>
      <c r="M1939" s="27"/>
      <c r="N1939" s="40"/>
      <c r="O1939" s="27"/>
      <c r="P1939" s="27"/>
      <c r="Q1939" s="41"/>
      <c r="R1939" s="40"/>
    </row>
    <row r="1940" spans="1:18" ht="30" customHeight="1" x14ac:dyDescent="0.3">
      <c r="A1940" s="26" t="str">
        <f t="shared" si="60"/>
        <v/>
      </c>
      <c r="B1940" s="26">
        <f>COUNTIFS($A$4:A1940,A1940)</f>
        <v>777</v>
      </c>
      <c r="C1940" s="26" t="str">
        <f t="shared" si="61"/>
        <v>777</v>
      </c>
      <c r="E1940" s="26"/>
      <c r="F1940" s="26"/>
      <c r="H1940" s="27"/>
      <c r="I1940" s="27"/>
      <c r="J1940" s="27"/>
      <c r="K1940" s="27"/>
      <c r="L1940" s="27"/>
      <c r="M1940" s="27"/>
      <c r="N1940" s="40"/>
      <c r="O1940" s="27"/>
      <c r="P1940" s="27"/>
      <c r="Q1940" s="41"/>
      <c r="R1940" s="40"/>
    </row>
    <row r="1941" spans="1:18" ht="30" customHeight="1" x14ac:dyDescent="0.3">
      <c r="A1941" s="26" t="str">
        <f t="shared" si="60"/>
        <v/>
      </c>
      <c r="B1941" s="26">
        <f>COUNTIFS($A$4:A1941,A1941)</f>
        <v>778</v>
      </c>
      <c r="C1941" s="26" t="str">
        <f t="shared" si="61"/>
        <v>778</v>
      </c>
      <c r="E1941" s="26"/>
      <c r="F1941" s="26"/>
      <c r="H1941" s="27"/>
      <c r="I1941" s="27"/>
      <c r="J1941" s="27"/>
      <c r="K1941" s="27"/>
      <c r="L1941" s="27"/>
      <c r="M1941" s="27"/>
      <c r="N1941" s="40"/>
      <c r="O1941" s="27"/>
      <c r="P1941" s="27"/>
      <c r="Q1941" s="41"/>
      <c r="R1941" s="40"/>
    </row>
    <row r="1942" spans="1:18" ht="30" customHeight="1" x14ac:dyDescent="0.3">
      <c r="A1942" s="26" t="str">
        <f t="shared" si="60"/>
        <v/>
      </c>
      <c r="B1942" s="26">
        <f>COUNTIFS($A$4:A1942,A1942)</f>
        <v>779</v>
      </c>
      <c r="C1942" s="26" t="str">
        <f t="shared" si="61"/>
        <v>779</v>
      </c>
      <c r="E1942" s="26"/>
      <c r="F1942" s="26"/>
      <c r="H1942" s="27"/>
      <c r="I1942" s="27"/>
      <c r="J1942" s="27"/>
      <c r="K1942" s="27"/>
      <c r="L1942" s="27"/>
      <c r="M1942" s="27"/>
      <c r="N1942" s="40"/>
      <c r="O1942" s="27"/>
      <c r="P1942" s="27"/>
      <c r="Q1942" s="41"/>
      <c r="R1942" s="40"/>
    </row>
    <row r="1943" spans="1:18" ht="30" customHeight="1" x14ac:dyDescent="0.3">
      <c r="A1943" s="26" t="str">
        <f t="shared" si="60"/>
        <v/>
      </c>
      <c r="B1943" s="26">
        <f>COUNTIFS($A$4:A1943,A1943)</f>
        <v>780</v>
      </c>
      <c r="C1943" s="26" t="str">
        <f t="shared" si="61"/>
        <v>780</v>
      </c>
      <c r="E1943" s="26"/>
      <c r="F1943" s="26"/>
      <c r="H1943" s="27"/>
      <c r="I1943" s="27"/>
      <c r="J1943" s="27"/>
      <c r="K1943" s="27"/>
      <c r="L1943" s="27"/>
      <c r="M1943" s="27"/>
      <c r="N1943" s="40"/>
      <c r="O1943" s="27"/>
      <c r="P1943" s="27"/>
      <c r="Q1943" s="41"/>
      <c r="R1943" s="40"/>
    </row>
    <row r="1944" spans="1:18" ht="30" customHeight="1" x14ac:dyDescent="0.3">
      <c r="A1944" s="26" t="str">
        <f t="shared" si="60"/>
        <v/>
      </c>
      <c r="B1944" s="26">
        <f>COUNTIFS($A$4:A1944,A1944)</f>
        <v>781</v>
      </c>
      <c r="C1944" s="26" t="str">
        <f t="shared" si="61"/>
        <v>781</v>
      </c>
      <c r="E1944" s="26"/>
      <c r="F1944" s="26"/>
      <c r="H1944" s="27"/>
      <c r="I1944" s="27"/>
      <c r="J1944" s="27"/>
      <c r="K1944" s="27"/>
      <c r="L1944" s="27"/>
      <c r="M1944" s="27"/>
      <c r="N1944" s="40"/>
      <c r="O1944" s="27"/>
      <c r="P1944" s="27"/>
      <c r="Q1944" s="41"/>
      <c r="R1944" s="40"/>
    </row>
    <row r="1945" spans="1:18" ht="30" customHeight="1" x14ac:dyDescent="0.3">
      <c r="A1945" s="26" t="str">
        <f t="shared" si="60"/>
        <v/>
      </c>
      <c r="B1945" s="26">
        <f>COUNTIFS($A$4:A1945,A1945)</f>
        <v>782</v>
      </c>
      <c r="C1945" s="26" t="str">
        <f t="shared" si="61"/>
        <v>782</v>
      </c>
      <c r="E1945" s="26"/>
      <c r="F1945" s="26"/>
      <c r="H1945" s="27"/>
      <c r="I1945" s="27"/>
      <c r="J1945" s="27"/>
      <c r="K1945" s="27"/>
      <c r="L1945" s="27"/>
      <c r="M1945" s="27"/>
      <c r="N1945" s="40"/>
      <c r="O1945" s="27"/>
      <c r="P1945" s="27"/>
      <c r="Q1945" s="41"/>
      <c r="R1945" s="40"/>
    </row>
    <row r="1946" spans="1:18" ht="30" customHeight="1" x14ac:dyDescent="0.3">
      <c r="A1946" s="26" t="str">
        <f t="shared" si="60"/>
        <v/>
      </c>
      <c r="B1946" s="26">
        <f>COUNTIFS($A$4:A1946,A1946)</f>
        <v>783</v>
      </c>
      <c r="C1946" s="26" t="str">
        <f t="shared" si="61"/>
        <v>783</v>
      </c>
      <c r="E1946" s="26"/>
      <c r="F1946" s="26"/>
      <c r="H1946" s="27"/>
      <c r="I1946" s="27"/>
      <c r="J1946" s="27"/>
      <c r="K1946" s="27"/>
      <c r="L1946" s="27"/>
      <c r="M1946" s="27"/>
      <c r="N1946" s="40"/>
      <c r="O1946" s="27"/>
      <c r="P1946" s="27"/>
      <c r="Q1946" s="41"/>
      <c r="R1946" s="40"/>
    </row>
    <row r="1947" spans="1:18" ht="30" customHeight="1" x14ac:dyDescent="0.3">
      <c r="A1947" s="26" t="str">
        <f t="shared" si="60"/>
        <v/>
      </c>
      <c r="B1947" s="26">
        <f>COUNTIFS($A$4:A1947,A1947)</f>
        <v>784</v>
      </c>
      <c r="C1947" s="26" t="str">
        <f t="shared" si="61"/>
        <v>784</v>
      </c>
      <c r="E1947" s="26"/>
      <c r="F1947" s="26"/>
      <c r="H1947" s="27"/>
      <c r="I1947" s="27"/>
      <c r="J1947" s="27"/>
      <c r="K1947" s="27"/>
      <c r="L1947" s="27"/>
      <c r="M1947" s="27"/>
      <c r="N1947" s="40"/>
      <c r="O1947" s="27"/>
      <c r="P1947" s="27"/>
      <c r="Q1947" s="41"/>
      <c r="R1947" s="40"/>
    </row>
    <row r="1948" spans="1:18" ht="30" customHeight="1" x14ac:dyDescent="0.3">
      <c r="A1948" s="26" t="str">
        <f t="shared" si="60"/>
        <v/>
      </c>
      <c r="B1948" s="26">
        <f>COUNTIFS($A$4:A1948,A1948)</f>
        <v>785</v>
      </c>
      <c r="C1948" s="26" t="str">
        <f t="shared" si="61"/>
        <v>785</v>
      </c>
      <c r="E1948" s="26"/>
      <c r="F1948" s="26"/>
      <c r="H1948" s="27"/>
      <c r="I1948" s="27"/>
      <c r="J1948" s="27"/>
      <c r="K1948" s="27"/>
      <c r="L1948" s="27"/>
      <c r="M1948" s="27"/>
      <c r="N1948" s="40"/>
      <c r="O1948" s="27"/>
      <c r="P1948" s="27"/>
      <c r="Q1948" s="41"/>
      <c r="R1948" s="40"/>
    </row>
    <row r="1949" spans="1:18" ht="30" customHeight="1" x14ac:dyDescent="0.3">
      <c r="A1949" s="26" t="str">
        <f t="shared" si="60"/>
        <v/>
      </c>
      <c r="B1949" s="26">
        <f>COUNTIFS($A$4:A1949,A1949)</f>
        <v>786</v>
      </c>
      <c r="C1949" s="26" t="str">
        <f t="shared" si="61"/>
        <v>786</v>
      </c>
      <c r="E1949" s="26"/>
      <c r="F1949" s="26"/>
      <c r="H1949" s="27"/>
      <c r="I1949" s="27"/>
      <c r="J1949" s="27"/>
      <c r="K1949" s="27"/>
      <c r="L1949" s="27"/>
      <c r="M1949" s="27"/>
      <c r="N1949" s="40"/>
      <c r="O1949" s="27"/>
      <c r="P1949" s="27"/>
      <c r="Q1949" s="41"/>
      <c r="R1949" s="40"/>
    </row>
    <row r="1950" spans="1:18" ht="30" customHeight="1" x14ac:dyDescent="0.3">
      <c r="A1950" s="26" t="str">
        <f t="shared" si="60"/>
        <v/>
      </c>
      <c r="B1950" s="26">
        <f>COUNTIFS($A$4:A1950,A1950)</f>
        <v>787</v>
      </c>
      <c r="C1950" s="26" t="str">
        <f t="shared" si="61"/>
        <v>787</v>
      </c>
      <c r="E1950" s="26"/>
      <c r="F1950" s="26"/>
      <c r="H1950" s="27"/>
      <c r="I1950" s="27"/>
      <c r="J1950" s="27"/>
      <c r="K1950" s="27"/>
      <c r="L1950" s="27"/>
      <c r="M1950" s="27"/>
      <c r="N1950" s="40"/>
      <c r="O1950" s="27"/>
      <c r="P1950" s="27"/>
      <c r="Q1950" s="41"/>
      <c r="R1950" s="40"/>
    </row>
    <row r="1951" spans="1:18" ht="30" customHeight="1" x14ac:dyDescent="0.3">
      <c r="A1951" s="26" t="str">
        <f t="shared" si="60"/>
        <v/>
      </c>
      <c r="B1951" s="26">
        <f>COUNTIFS($A$4:A1951,A1951)</f>
        <v>788</v>
      </c>
      <c r="C1951" s="26" t="str">
        <f t="shared" si="61"/>
        <v>788</v>
      </c>
      <c r="E1951" s="26"/>
      <c r="F1951" s="26"/>
      <c r="H1951" s="27"/>
      <c r="I1951" s="27"/>
      <c r="J1951" s="27"/>
      <c r="K1951" s="27"/>
      <c r="L1951" s="27"/>
      <c r="M1951" s="27"/>
      <c r="N1951" s="40"/>
      <c r="O1951" s="27"/>
      <c r="P1951" s="27"/>
      <c r="Q1951" s="41"/>
      <c r="R1951" s="40"/>
    </row>
    <row r="1952" spans="1:18" ht="30" customHeight="1" x14ac:dyDescent="0.3">
      <c r="A1952" s="26" t="str">
        <f t="shared" si="60"/>
        <v/>
      </c>
      <c r="B1952" s="26">
        <f>COUNTIFS($A$4:A1952,A1952)</f>
        <v>789</v>
      </c>
      <c r="C1952" s="26" t="str">
        <f t="shared" si="61"/>
        <v>789</v>
      </c>
      <c r="E1952" s="26"/>
      <c r="F1952" s="26"/>
      <c r="H1952" s="27"/>
      <c r="I1952" s="27"/>
      <c r="J1952" s="27"/>
      <c r="K1952" s="27"/>
      <c r="L1952" s="27"/>
      <c r="M1952" s="27"/>
      <c r="N1952" s="40"/>
      <c r="O1952" s="27"/>
      <c r="P1952" s="27"/>
      <c r="Q1952" s="41"/>
      <c r="R1952" s="40"/>
    </row>
    <row r="1953" spans="1:18" ht="30" customHeight="1" x14ac:dyDescent="0.3">
      <c r="A1953" s="26" t="str">
        <f t="shared" si="60"/>
        <v/>
      </c>
      <c r="B1953" s="26">
        <f>COUNTIFS($A$4:A1953,A1953)</f>
        <v>790</v>
      </c>
      <c r="C1953" s="26" t="str">
        <f t="shared" si="61"/>
        <v>790</v>
      </c>
      <c r="E1953" s="26"/>
      <c r="F1953" s="26"/>
      <c r="H1953" s="27"/>
      <c r="I1953" s="27"/>
      <c r="J1953" s="27"/>
      <c r="K1953" s="27"/>
      <c r="L1953" s="27"/>
      <c r="M1953" s="27"/>
      <c r="N1953" s="40"/>
      <c r="O1953" s="27"/>
      <c r="P1953" s="27"/>
      <c r="Q1953" s="41"/>
      <c r="R1953" s="40"/>
    </row>
    <row r="1954" spans="1:18" ht="30" customHeight="1" x14ac:dyDescent="0.3">
      <c r="A1954" s="26" t="str">
        <f t="shared" si="60"/>
        <v/>
      </c>
      <c r="B1954" s="26">
        <f>COUNTIFS($A$4:A1954,A1954)</f>
        <v>791</v>
      </c>
      <c r="C1954" s="26" t="str">
        <f t="shared" si="61"/>
        <v>791</v>
      </c>
      <c r="E1954" s="26"/>
      <c r="F1954" s="26"/>
      <c r="H1954" s="27"/>
      <c r="I1954" s="27"/>
      <c r="J1954" s="27"/>
      <c r="K1954" s="27"/>
      <c r="L1954" s="27"/>
      <c r="M1954" s="27"/>
      <c r="N1954" s="40"/>
      <c r="O1954" s="27"/>
      <c r="P1954" s="27"/>
      <c r="Q1954" s="41"/>
      <c r="R1954" s="40"/>
    </row>
    <row r="1955" spans="1:18" ht="30" customHeight="1" x14ac:dyDescent="0.3">
      <c r="A1955" s="26" t="str">
        <f t="shared" si="60"/>
        <v/>
      </c>
      <c r="B1955" s="26">
        <f>COUNTIFS($A$4:A1955,A1955)</f>
        <v>792</v>
      </c>
      <c r="C1955" s="26" t="str">
        <f t="shared" si="61"/>
        <v>792</v>
      </c>
      <c r="E1955" s="26"/>
      <c r="F1955" s="26"/>
      <c r="H1955" s="27"/>
      <c r="I1955" s="27"/>
      <c r="J1955" s="27"/>
      <c r="K1955" s="27"/>
      <c r="L1955" s="27"/>
      <c r="M1955" s="27"/>
      <c r="N1955" s="40"/>
      <c r="O1955" s="27"/>
      <c r="P1955" s="27"/>
      <c r="Q1955" s="41"/>
      <c r="R1955" s="40"/>
    </row>
    <row r="1956" spans="1:18" ht="30" customHeight="1" x14ac:dyDescent="0.3">
      <c r="A1956" s="26" t="str">
        <f t="shared" si="60"/>
        <v/>
      </c>
      <c r="B1956" s="26">
        <f>COUNTIFS($A$4:A1956,A1956)</f>
        <v>793</v>
      </c>
      <c r="C1956" s="26" t="str">
        <f t="shared" si="61"/>
        <v>793</v>
      </c>
      <c r="E1956" s="26"/>
      <c r="F1956" s="26"/>
      <c r="H1956" s="27"/>
      <c r="I1956" s="27"/>
      <c r="J1956" s="27"/>
      <c r="K1956" s="27"/>
      <c r="L1956" s="27"/>
      <c r="M1956" s="27"/>
      <c r="N1956" s="40"/>
      <c r="O1956" s="27"/>
      <c r="P1956" s="27"/>
      <c r="Q1956" s="41"/>
      <c r="R1956" s="40"/>
    </row>
    <row r="1957" spans="1:18" ht="30" customHeight="1" x14ac:dyDescent="0.3">
      <c r="A1957" s="26" t="str">
        <f t="shared" si="60"/>
        <v/>
      </c>
      <c r="B1957" s="26">
        <f>COUNTIFS($A$4:A1957,A1957)</f>
        <v>794</v>
      </c>
      <c r="C1957" s="26" t="str">
        <f t="shared" si="61"/>
        <v>794</v>
      </c>
      <c r="E1957" s="26"/>
      <c r="F1957" s="26"/>
      <c r="H1957" s="27"/>
      <c r="I1957" s="27"/>
      <c r="J1957" s="27"/>
      <c r="K1957" s="27"/>
      <c r="L1957" s="27"/>
      <c r="M1957" s="27"/>
      <c r="N1957" s="40"/>
      <c r="O1957" s="27"/>
      <c r="P1957" s="27"/>
      <c r="Q1957" s="41"/>
      <c r="R1957" s="40"/>
    </row>
    <row r="1958" spans="1:18" ht="30" customHeight="1" x14ac:dyDescent="0.3">
      <c r="A1958" s="26" t="str">
        <f t="shared" si="60"/>
        <v/>
      </c>
      <c r="B1958" s="26">
        <f>COUNTIFS($A$4:A1958,A1958)</f>
        <v>795</v>
      </c>
      <c r="C1958" s="26" t="str">
        <f t="shared" si="61"/>
        <v>795</v>
      </c>
      <c r="E1958" s="26"/>
      <c r="F1958" s="26"/>
      <c r="H1958" s="27"/>
      <c r="I1958" s="27"/>
      <c r="J1958" s="27"/>
      <c r="K1958" s="27"/>
      <c r="L1958" s="27"/>
      <c r="M1958" s="27"/>
      <c r="N1958" s="40"/>
      <c r="O1958" s="27"/>
      <c r="P1958" s="27"/>
      <c r="Q1958" s="41"/>
      <c r="R1958" s="40"/>
    </row>
    <row r="1959" spans="1:18" ht="30" customHeight="1" x14ac:dyDescent="0.3">
      <c r="A1959" s="26" t="str">
        <f t="shared" si="60"/>
        <v/>
      </c>
      <c r="B1959" s="26">
        <f>COUNTIFS($A$4:A1959,A1959)</f>
        <v>796</v>
      </c>
      <c r="C1959" s="26" t="str">
        <f t="shared" si="61"/>
        <v>796</v>
      </c>
      <c r="E1959" s="26"/>
      <c r="F1959" s="26"/>
      <c r="H1959" s="27"/>
      <c r="I1959" s="27"/>
      <c r="J1959" s="27"/>
      <c r="K1959" s="27"/>
      <c r="L1959" s="27"/>
      <c r="M1959" s="27"/>
      <c r="N1959" s="40"/>
      <c r="O1959" s="27"/>
      <c r="P1959" s="27"/>
      <c r="Q1959" s="41"/>
      <c r="R1959" s="40"/>
    </row>
    <row r="1960" spans="1:18" ht="30" customHeight="1" x14ac:dyDescent="0.3">
      <c r="A1960" s="26" t="str">
        <f t="shared" si="60"/>
        <v/>
      </c>
      <c r="B1960" s="26">
        <f>COUNTIFS($A$4:A1960,A1960)</f>
        <v>797</v>
      </c>
      <c r="C1960" s="26" t="str">
        <f t="shared" si="61"/>
        <v>797</v>
      </c>
      <c r="E1960" s="26"/>
      <c r="F1960" s="26"/>
      <c r="H1960" s="27"/>
      <c r="I1960" s="27"/>
      <c r="J1960" s="27"/>
      <c r="K1960" s="27"/>
      <c r="L1960" s="27"/>
      <c r="M1960" s="27"/>
      <c r="N1960" s="40"/>
      <c r="O1960" s="27"/>
      <c r="P1960" s="27"/>
      <c r="Q1960" s="41"/>
      <c r="R1960" s="40"/>
    </row>
    <row r="1961" spans="1:18" ht="30" customHeight="1" x14ac:dyDescent="0.3">
      <c r="A1961" s="26" t="str">
        <f t="shared" si="60"/>
        <v/>
      </c>
      <c r="B1961" s="26">
        <f>COUNTIFS($A$4:A1961,A1961)</f>
        <v>798</v>
      </c>
      <c r="C1961" s="26" t="str">
        <f t="shared" si="61"/>
        <v>798</v>
      </c>
      <c r="E1961" s="26"/>
      <c r="F1961" s="26"/>
      <c r="H1961" s="27"/>
      <c r="I1961" s="27"/>
      <c r="J1961" s="27"/>
      <c r="K1961" s="27"/>
      <c r="L1961" s="27"/>
      <c r="M1961" s="27"/>
      <c r="N1961" s="40"/>
      <c r="O1961" s="27"/>
      <c r="P1961" s="27"/>
      <c r="Q1961" s="41"/>
      <c r="R1961" s="40"/>
    </row>
    <row r="1962" spans="1:18" ht="30" customHeight="1" x14ac:dyDescent="0.3">
      <c r="A1962" s="26" t="str">
        <f t="shared" si="60"/>
        <v/>
      </c>
      <c r="B1962" s="26">
        <f>COUNTIFS($A$4:A1962,A1962)</f>
        <v>799</v>
      </c>
      <c r="C1962" s="26" t="str">
        <f t="shared" si="61"/>
        <v>799</v>
      </c>
      <c r="E1962" s="26"/>
      <c r="F1962" s="26"/>
      <c r="H1962" s="27"/>
      <c r="I1962" s="27"/>
      <c r="J1962" s="27"/>
      <c r="K1962" s="27"/>
      <c r="L1962" s="27"/>
      <c r="M1962" s="27"/>
      <c r="N1962" s="40"/>
      <c r="O1962" s="27"/>
      <c r="P1962" s="27"/>
      <c r="Q1962" s="41"/>
      <c r="R1962" s="40"/>
    </row>
    <row r="1963" spans="1:18" ht="30" customHeight="1" x14ac:dyDescent="0.3">
      <c r="A1963" s="26" t="str">
        <f t="shared" si="60"/>
        <v/>
      </c>
      <c r="B1963" s="26">
        <f>COUNTIFS($A$4:A1963,A1963)</f>
        <v>800</v>
      </c>
      <c r="C1963" s="26" t="str">
        <f t="shared" si="61"/>
        <v>800</v>
      </c>
      <c r="E1963" s="26"/>
      <c r="F1963" s="26"/>
      <c r="H1963" s="27"/>
      <c r="I1963" s="27"/>
      <c r="J1963" s="27"/>
      <c r="K1963" s="27"/>
      <c r="L1963" s="27"/>
      <c r="M1963" s="27"/>
      <c r="N1963" s="40"/>
      <c r="O1963" s="27"/>
      <c r="P1963" s="27"/>
      <c r="Q1963" s="41"/>
      <c r="R1963" s="40"/>
    </row>
    <row r="1964" spans="1:18" ht="30" customHeight="1" x14ac:dyDescent="0.3">
      <c r="A1964" s="26" t="str">
        <f t="shared" si="60"/>
        <v/>
      </c>
      <c r="B1964" s="26">
        <f>COUNTIFS($A$4:A1964,A1964)</f>
        <v>801</v>
      </c>
      <c r="C1964" s="26" t="str">
        <f t="shared" si="61"/>
        <v>801</v>
      </c>
      <c r="E1964" s="26"/>
      <c r="F1964" s="26"/>
      <c r="H1964" s="27"/>
      <c r="I1964" s="27"/>
      <c r="J1964" s="27"/>
      <c r="K1964" s="27"/>
      <c r="L1964" s="27"/>
      <c r="M1964" s="27"/>
      <c r="N1964" s="40"/>
      <c r="O1964" s="27"/>
      <c r="P1964" s="27"/>
      <c r="Q1964" s="41"/>
      <c r="R1964" s="40"/>
    </row>
    <row r="1965" spans="1:18" ht="30" customHeight="1" x14ac:dyDescent="0.3">
      <c r="A1965" s="26" t="str">
        <f t="shared" si="60"/>
        <v/>
      </c>
      <c r="B1965" s="26">
        <f>COUNTIFS($A$4:A1965,A1965)</f>
        <v>802</v>
      </c>
      <c r="C1965" s="26" t="str">
        <f t="shared" si="61"/>
        <v>802</v>
      </c>
      <c r="E1965" s="26"/>
      <c r="F1965" s="26"/>
      <c r="H1965" s="27"/>
      <c r="I1965" s="27"/>
      <c r="J1965" s="27"/>
      <c r="K1965" s="27"/>
      <c r="L1965" s="27"/>
      <c r="M1965" s="27"/>
      <c r="N1965" s="40"/>
      <c r="O1965" s="27"/>
      <c r="P1965" s="27"/>
      <c r="Q1965" s="41"/>
      <c r="R1965" s="40"/>
    </row>
    <row r="1966" spans="1:18" ht="30" customHeight="1" x14ac:dyDescent="0.3">
      <c r="A1966" s="26" t="str">
        <f t="shared" si="60"/>
        <v/>
      </c>
      <c r="B1966" s="26">
        <f>COUNTIFS($A$4:A1966,A1966)</f>
        <v>803</v>
      </c>
      <c r="C1966" s="26" t="str">
        <f t="shared" si="61"/>
        <v>803</v>
      </c>
      <c r="E1966" s="26"/>
      <c r="F1966" s="26"/>
      <c r="H1966" s="27"/>
      <c r="I1966" s="27"/>
      <c r="J1966" s="27"/>
      <c r="K1966" s="27"/>
      <c r="L1966" s="27"/>
      <c r="M1966" s="27"/>
      <c r="N1966" s="40"/>
      <c r="O1966" s="27"/>
      <c r="P1966" s="27"/>
      <c r="Q1966" s="41"/>
      <c r="R1966" s="40"/>
    </row>
    <row r="1967" spans="1:18" ht="30" customHeight="1" x14ac:dyDescent="0.3">
      <c r="A1967" s="26" t="str">
        <f t="shared" si="60"/>
        <v/>
      </c>
      <c r="B1967" s="26">
        <f>COUNTIFS($A$4:A1967,A1967)</f>
        <v>804</v>
      </c>
      <c r="C1967" s="26" t="str">
        <f t="shared" si="61"/>
        <v>804</v>
      </c>
      <c r="E1967" s="26"/>
      <c r="F1967" s="26"/>
      <c r="H1967" s="27"/>
      <c r="I1967" s="27"/>
      <c r="J1967" s="27"/>
      <c r="K1967" s="27"/>
      <c r="L1967" s="27"/>
      <c r="M1967" s="27"/>
      <c r="N1967" s="40"/>
      <c r="O1967" s="27"/>
      <c r="P1967" s="27"/>
      <c r="Q1967" s="41"/>
      <c r="R1967" s="40"/>
    </row>
    <row r="1968" spans="1:18" ht="30" customHeight="1" x14ac:dyDescent="0.3">
      <c r="A1968" s="26" t="str">
        <f t="shared" si="60"/>
        <v/>
      </c>
      <c r="B1968" s="26">
        <f>COUNTIFS($A$4:A1968,A1968)</f>
        <v>805</v>
      </c>
      <c r="C1968" s="26" t="str">
        <f t="shared" si="61"/>
        <v>805</v>
      </c>
      <c r="E1968" s="26"/>
      <c r="F1968" s="26"/>
      <c r="H1968" s="27"/>
      <c r="I1968" s="27"/>
      <c r="J1968" s="27"/>
      <c r="K1968" s="27"/>
      <c r="L1968" s="27"/>
      <c r="M1968" s="27"/>
      <c r="N1968" s="40"/>
      <c r="O1968" s="27"/>
      <c r="P1968" s="27"/>
      <c r="Q1968" s="41"/>
      <c r="R1968" s="40"/>
    </row>
    <row r="1969" spans="1:18" ht="30" customHeight="1" x14ac:dyDescent="0.3">
      <c r="A1969" s="26" t="str">
        <f t="shared" si="60"/>
        <v/>
      </c>
      <c r="B1969" s="26">
        <f>COUNTIFS($A$4:A1969,A1969)</f>
        <v>806</v>
      </c>
      <c r="C1969" s="26" t="str">
        <f t="shared" si="61"/>
        <v>806</v>
      </c>
      <c r="E1969" s="26"/>
      <c r="F1969" s="26"/>
      <c r="H1969" s="27"/>
      <c r="I1969" s="27"/>
      <c r="J1969" s="27"/>
      <c r="K1969" s="27"/>
      <c r="L1969" s="27"/>
      <c r="M1969" s="27"/>
      <c r="N1969" s="40"/>
      <c r="O1969" s="27"/>
      <c r="P1969" s="27"/>
      <c r="Q1969" s="41"/>
      <c r="R1969" s="40"/>
    </row>
    <row r="1970" spans="1:18" ht="30" customHeight="1" x14ac:dyDescent="0.3">
      <c r="A1970" s="26" t="str">
        <f t="shared" si="60"/>
        <v/>
      </c>
      <c r="B1970" s="26">
        <f>COUNTIFS($A$4:A1970,A1970)</f>
        <v>807</v>
      </c>
      <c r="C1970" s="26" t="str">
        <f t="shared" si="61"/>
        <v>807</v>
      </c>
      <c r="E1970" s="26"/>
      <c r="F1970" s="26"/>
      <c r="H1970" s="27"/>
      <c r="I1970" s="27"/>
      <c r="J1970" s="27"/>
      <c r="K1970" s="27"/>
      <c r="L1970" s="27"/>
      <c r="M1970" s="27"/>
      <c r="N1970" s="40"/>
      <c r="O1970" s="27"/>
      <c r="P1970" s="27"/>
      <c r="Q1970" s="41"/>
      <c r="R1970" s="40"/>
    </row>
    <row r="1971" spans="1:18" ht="30" customHeight="1" x14ac:dyDescent="0.3">
      <c r="A1971" s="26" t="str">
        <f t="shared" si="60"/>
        <v/>
      </c>
      <c r="B1971" s="26">
        <f>COUNTIFS($A$4:A1971,A1971)</f>
        <v>808</v>
      </c>
      <c r="C1971" s="26" t="str">
        <f t="shared" si="61"/>
        <v>808</v>
      </c>
      <c r="E1971" s="26"/>
      <c r="F1971" s="26"/>
      <c r="H1971" s="27"/>
      <c r="I1971" s="27"/>
      <c r="J1971" s="27"/>
      <c r="K1971" s="27"/>
      <c r="L1971" s="27"/>
      <c r="M1971" s="27"/>
      <c r="N1971" s="40"/>
      <c r="O1971" s="27"/>
      <c r="P1971" s="27"/>
      <c r="Q1971" s="41"/>
      <c r="R1971" s="40"/>
    </row>
    <row r="1972" spans="1:18" ht="30" customHeight="1" x14ac:dyDescent="0.3">
      <c r="A1972" s="26" t="str">
        <f t="shared" si="60"/>
        <v/>
      </c>
      <c r="B1972" s="26">
        <f>COUNTIFS($A$4:A1972,A1972)</f>
        <v>809</v>
      </c>
      <c r="C1972" s="26" t="str">
        <f t="shared" si="61"/>
        <v>809</v>
      </c>
      <c r="E1972" s="26"/>
      <c r="F1972" s="26"/>
      <c r="H1972" s="27"/>
      <c r="I1972" s="27"/>
      <c r="J1972" s="27"/>
      <c r="K1972" s="27"/>
      <c r="L1972" s="27"/>
      <c r="M1972" s="27"/>
      <c r="N1972" s="40"/>
      <c r="O1972" s="27"/>
      <c r="P1972" s="27"/>
      <c r="Q1972" s="41"/>
      <c r="R1972" s="40"/>
    </row>
    <row r="1973" spans="1:18" ht="30" customHeight="1" x14ac:dyDescent="0.3">
      <c r="A1973" s="26" t="str">
        <f t="shared" si="60"/>
        <v/>
      </c>
      <c r="B1973" s="26">
        <f>COUNTIFS($A$4:A1973,A1973)</f>
        <v>810</v>
      </c>
      <c r="C1973" s="26" t="str">
        <f t="shared" si="61"/>
        <v>810</v>
      </c>
      <c r="E1973" s="26"/>
      <c r="F1973" s="26"/>
      <c r="H1973" s="27"/>
      <c r="I1973" s="27"/>
      <c r="J1973" s="27"/>
      <c r="K1973" s="27"/>
      <c r="L1973" s="27"/>
      <c r="M1973" s="27"/>
      <c r="N1973" s="40"/>
      <c r="O1973" s="27"/>
      <c r="P1973" s="27"/>
      <c r="Q1973" s="41"/>
      <c r="R1973" s="40"/>
    </row>
    <row r="1974" spans="1:18" ht="30" customHeight="1" x14ac:dyDescent="0.3">
      <c r="A1974" s="26" t="str">
        <f t="shared" si="60"/>
        <v/>
      </c>
      <c r="B1974" s="26">
        <f>COUNTIFS($A$4:A1974,A1974)</f>
        <v>811</v>
      </c>
      <c r="C1974" s="26" t="str">
        <f t="shared" si="61"/>
        <v>811</v>
      </c>
      <c r="E1974" s="26"/>
      <c r="F1974" s="26"/>
      <c r="H1974" s="27"/>
      <c r="I1974" s="27"/>
      <c r="J1974" s="27"/>
      <c r="K1974" s="27"/>
      <c r="L1974" s="27"/>
      <c r="M1974" s="27"/>
      <c r="N1974" s="40"/>
      <c r="O1974" s="27"/>
      <c r="P1974" s="27"/>
      <c r="Q1974" s="41"/>
      <c r="R1974" s="40"/>
    </row>
    <row r="1975" spans="1:18" ht="30" customHeight="1" x14ac:dyDescent="0.3">
      <c r="A1975" s="26" t="str">
        <f t="shared" si="60"/>
        <v/>
      </c>
      <c r="B1975" s="26">
        <f>COUNTIFS($A$4:A1975,A1975)</f>
        <v>812</v>
      </c>
      <c r="C1975" s="26" t="str">
        <f t="shared" si="61"/>
        <v>812</v>
      </c>
      <c r="E1975" s="26"/>
      <c r="F1975" s="26"/>
      <c r="H1975" s="27"/>
      <c r="I1975" s="27"/>
      <c r="J1975" s="27"/>
      <c r="K1975" s="27"/>
      <c r="L1975" s="27"/>
      <c r="M1975" s="27"/>
      <c r="N1975" s="40"/>
      <c r="O1975" s="27"/>
      <c r="P1975" s="27"/>
      <c r="Q1975" s="41"/>
      <c r="R1975" s="40"/>
    </row>
    <row r="1976" spans="1:18" ht="30" customHeight="1" x14ac:dyDescent="0.3">
      <c r="A1976" s="26" t="str">
        <f t="shared" si="60"/>
        <v/>
      </c>
      <c r="B1976" s="26">
        <f>COUNTIFS($A$4:A1976,A1976)</f>
        <v>813</v>
      </c>
      <c r="C1976" s="26" t="str">
        <f t="shared" si="61"/>
        <v>813</v>
      </c>
      <c r="E1976" s="26"/>
      <c r="F1976" s="26"/>
      <c r="H1976" s="27"/>
      <c r="I1976" s="27"/>
      <c r="J1976" s="27"/>
      <c r="K1976" s="27"/>
      <c r="L1976" s="27"/>
      <c r="M1976" s="27"/>
      <c r="N1976" s="40"/>
      <c r="O1976" s="27"/>
      <c r="P1976" s="27"/>
      <c r="Q1976" s="41"/>
      <c r="R1976" s="40"/>
    </row>
    <row r="1977" spans="1:18" ht="30" customHeight="1" x14ac:dyDescent="0.3">
      <c r="A1977" s="26" t="str">
        <f t="shared" si="60"/>
        <v/>
      </c>
      <c r="B1977" s="26">
        <f>COUNTIFS($A$4:A1977,A1977)</f>
        <v>814</v>
      </c>
      <c r="C1977" s="26" t="str">
        <f t="shared" si="61"/>
        <v>814</v>
      </c>
      <c r="E1977" s="26"/>
      <c r="F1977" s="26"/>
      <c r="H1977" s="27"/>
      <c r="I1977" s="27"/>
      <c r="J1977" s="27"/>
      <c r="K1977" s="27"/>
      <c r="L1977" s="27"/>
      <c r="M1977" s="27"/>
      <c r="N1977" s="40"/>
      <c r="O1977" s="27"/>
      <c r="P1977" s="27"/>
      <c r="Q1977" s="41"/>
      <c r="R1977" s="40"/>
    </row>
    <row r="1978" spans="1:18" ht="30" customHeight="1" x14ac:dyDescent="0.3">
      <c r="A1978" s="26" t="str">
        <f t="shared" si="60"/>
        <v/>
      </c>
      <c r="B1978" s="26">
        <f>COUNTIFS($A$4:A1978,A1978)</f>
        <v>815</v>
      </c>
      <c r="C1978" s="26" t="str">
        <f t="shared" si="61"/>
        <v>815</v>
      </c>
      <c r="E1978" s="26"/>
      <c r="F1978" s="26"/>
      <c r="H1978" s="27"/>
      <c r="I1978" s="27"/>
      <c r="J1978" s="27"/>
      <c r="K1978" s="27"/>
      <c r="L1978" s="27"/>
      <c r="M1978" s="27"/>
      <c r="N1978" s="40"/>
      <c r="O1978" s="27"/>
      <c r="P1978" s="27"/>
      <c r="Q1978" s="41"/>
      <c r="R1978" s="40"/>
    </row>
    <row r="1979" spans="1:18" ht="30" customHeight="1" x14ac:dyDescent="0.3">
      <c r="A1979" s="26" t="str">
        <f t="shared" si="60"/>
        <v/>
      </c>
      <c r="B1979" s="26">
        <f>COUNTIFS($A$4:A1979,A1979)</f>
        <v>816</v>
      </c>
      <c r="C1979" s="26" t="str">
        <f t="shared" si="61"/>
        <v>816</v>
      </c>
      <c r="E1979" s="26"/>
      <c r="F1979" s="26"/>
      <c r="H1979" s="27"/>
      <c r="I1979" s="27"/>
      <c r="J1979" s="27"/>
      <c r="K1979" s="27"/>
      <c r="L1979" s="27"/>
      <c r="M1979" s="27"/>
      <c r="N1979" s="40"/>
      <c r="O1979" s="27"/>
      <c r="P1979" s="27"/>
      <c r="Q1979" s="41"/>
      <c r="R1979" s="40"/>
    </row>
    <row r="1980" spans="1:18" ht="30" customHeight="1" x14ac:dyDescent="0.3">
      <c r="A1980" s="26" t="str">
        <f t="shared" si="60"/>
        <v/>
      </c>
      <c r="B1980" s="26">
        <f>COUNTIFS($A$4:A1980,A1980)</f>
        <v>817</v>
      </c>
      <c r="C1980" s="26" t="str">
        <f t="shared" si="61"/>
        <v>817</v>
      </c>
      <c r="E1980" s="26"/>
      <c r="F1980" s="26"/>
      <c r="H1980" s="27"/>
      <c r="I1980" s="27"/>
      <c r="J1980" s="27"/>
      <c r="K1980" s="27"/>
      <c r="L1980" s="27"/>
      <c r="M1980" s="27"/>
      <c r="N1980" s="40"/>
      <c r="O1980" s="27"/>
      <c r="P1980" s="27"/>
      <c r="Q1980" s="41"/>
      <c r="R1980" s="40"/>
    </row>
    <row r="1981" spans="1:18" ht="30" customHeight="1" x14ac:dyDescent="0.3">
      <c r="A1981" s="26" t="str">
        <f t="shared" si="60"/>
        <v/>
      </c>
      <c r="B1981" s="26">
        <f>COUNTIFS($A$4:A1981,A1981)</f>
        <v>818</v>
      </c>
      <c r="C1981" s="26" t="str">
        <f t="shared" si="61"/>
        <v>818</v>
      </c>
      <c r="E1981" s="26"/>
      <c r="F1981" s="26"/>
      <c r="H1981" s="27"/>
      <c r="I1981" s="27"/>
      <c r="J1981" s="27"/>
      <c r="K1981" s="27"/>
      <c r="L1981" s="27"/>
      <c r="M1981" s="27"/>
      <c r="N1981" s="40"/>
      <c r="O1981" s="27"/>
      <c r="P1981" s="27"/>
      <c r="Q1981" s="41"/>
      <c r="R1981" s="40"/>
    </row>
    <row r="1982" spans="1:18" ht="30" customHeight="1" x14ac:dyDescent="0.3">
      <c r="A1982" s="26" t="str">
        <f t="shared" si="60"/>
        <v/>
      </c>
      <c r="B1982" s="26">
        <f>COUNTIFS($A$4:A1982,A1982)</f>
        <v>819</v>
      </c>
      <c r="C1982" s="26" t="str">
        <f t="shared" si="61"/>
        <v>819</v>
      </c>
      <c r="E1982" s="26"/>
      <c r="F1982" s="26"/>
      <c r="H1982" s="27"/>
      <c r="I1982" s="27"/>
      <c r="J1982" s="27"/>
      <c r="K1982" s="27"/>
      <c r="L1982" s="27"/>
      <c r="M1982" s="27"/>
      <c r="N1982" s="40"/>
      <c r="O1982" s="27"/>
      <c r="P1982" s="27"/>
      <c r="Q1982" s="41"/>
      <c r="R1982" s="40"/>
    </row>
    <row r="1983" spans="1:18" ht="30" customHeight="1" x14ac:dyDescent="0.3">
      <c r="A1983" s="26" t="str">
        <f t="shared" si="60"/>
        <v/>
      </c>
      <c r="B1983" s="26">
        <f>COUNTIFS($A$4:A1983,A1983)</f>
        <v>820</v>
      </c>
      <c r="C1983" s="26" t="str">
        <f t="shared" si="61"/>
        <v>820</v>
      </c>
      <c r="E1983" s="26"/>
      <c r="F1983" s="26"/>
      <c r="H1983" s="27"/>
      <c r="I1983" s="27"/>
      <c r="J1983" s="27"/>
      <c r="K1983" s="27"/>
      <c r="L1983" s="27"/>
      <c r="M1983" s="27"/>
      <c r="N1983" s="40"/>
      <c r="O1983" s="27"/>
      <c r="P1983" s="27"/>
      <c r="Q1983" s="41"/>
      <c r="R1983" s="40"/>
    </row>
    <row r="1984" spans="1:18" ht="30" customHeight="1" x14ac:dyDescent="0.3">
      <c r="A1984" s="26" t="str">
        <f t="shared" si="60"/>
        <v/>
      </c>
      <c r="B1984" s="26">
        <f>COUNTIFS($A$4:A1984,A1984)</f>
        <v>821</v>
      </c>
      <c r="C1984" s="26" t="str">
        <f t="shared" si="61"/>
        <v>821</v>
      </c>
      <c r="E1984" s="26"/>
      <c r="F1984" s="26"/>
      <c r="H1984" s="27"/>
      <c r="I1984" s="27"/>
      <c r="J1984" s="27"/>
      <c r="K1984" s="27"/>
      <c r="L1984" s="27"/>
      <c r="M1984" s="27"/>
      <c r="N1984" s="40"/>
      <c r="O1984" s="27"/>
      <c r="P1984" s="27"/>
      <c r="Q1984" s="41"/>
      <c r="R1984" s="40"/>
    </row>
    <row r="1985" spans="1:18" ht="30" customHeight="1" x14ac:dyDescent="0.3">
      <c r="A1985" s="26" t="str">
        <f t="shared" si="60"/>
        <v/>
      </c>
      <c r="B1985" s="26">
        <f>COUNTIFS($A$4:A1985,A1985)</f>
        <v>822</v>
      </c>
      <c r="C1985" s="26" t="str">
        <f t="shared" si="61"/>
        <v>822</v>
      </c>
      <c r="E1985" s="26"/>
      <c r="F1985" s="26"/>
      <c r="H1985" s="27"/>
      <c r="I1985" s="27"/>
      <c r="J1985" s="27"/>
      <c r="K1985" s="27"/>
      <c r="L1985" s="27"/>
      <c r="M1985" s="27"/>
      <c r="N1985" s="40"/>
      <c r="O1985" s="27"/>
      <c r="P1985" s="27"/>
      <c r="Q1985" s="41"/>
      <c r="R1985" s="40"/>
    </row>
    <row r="1986" spans="1:18" ht="30" customHeight="1" x14ac:dyDescent="0.3">
      <c r="A1986" s="26" t="str">
        <f t="shared" si="60"/>
        <v/>
      </c>
      <c r="B1986" s="26">
        <f>COUNTIFS($A$4:A1986,A1986)</f>
        <v>823</v>
      </c>
      <c r="C1986" s="26" t="str">
        <f t="shared" si="61"/>
        <v>823</v>
      </c>
      <c r="E1986" s="26"/>
      <c r="F1986" s="26"/>
      <c r="H1986" s="27"/>
      <c r="I1986" s="27"/>
      <c r="J1986" s="27"/>
      <c r="K1986" s="27"/>
      <c r="L1986" s="27"/>
      <c r="M1986" s="27"/>
      <c r="N1986" s="40"/>
      <c r="O1986" s="27"/>
      <c r="P1986" s="27"/>
      <c r="Q1986" s="41"/>
      <c r="R1986" s="40"/>
    </row>
    <row r="1987" spans="1:18" ht="30" customHeight="1" x14ac:dyDescent="0.3">
      <c r="A1987" s="26" t="str">
        <f t="shared" si="60"/>
        <v/>
      </c>
      <c r="B1987" s="26">
        <f>COUNTIFS($A$4:A1987,A1987)</f>
        <v>824</v>
      </c>
      <c r="C1987" s="26" t="str">
        <f t="shared" si="61"/>
        <v>824</v>
      </c>
      <c r="E1987" s="26"/>
      <c r="F1987" s="26"/>
      <c r="H1987" s="27"/>
      <c r="I1987" s="27"/>
      <c r="J1987" s="27"/>
      <c r="K1987" s="27"/>
      <c r="L1987" s="27"/>
      <c r="M1987" s="27"/>
      <c r="N1987" s="40"/>
      <c r="O1987" s="27"/>
      <c r="P1987" s="27"/>
      <c r="Q1987" s="41"/>
      <c r="R1987" s="40"/>
    </row>
    <row r="1988" spans="1:18" ht="30" customHeight="1" x14ac:dyDescent="0.3">
      <c r="A1988" s="26" t="str">
        <f t="shared" si="60"/>
        <v/>
      </c>
      <c r="B1988" s="26">
        <f>COUNTIFS($A$4:A1988,A1988)</f>
        <v>825</v>
      </c>
      <c r="C1988" s="26" t="str">
        <f t="shared" si="61"/>
        <v>825</v>
      </c>
      <c r="E1988" s="26"/>
      <c r="F1988" s="26"/>
      <c r="H1988" s="27"/>
      <c r="I1988" s="27"/>
      <c r="J1988" s="27"/>
      <c r="K1988" s="27"/>
      <c r="L1988" s="27"/>
      <c r="M1988" s="27"/>
      <c r="N1988" s="40"/>
      <c r="O1988" s="27"/>
      <c r="P1988" s="27"/>
      <c r="Q1988" s="41"/>
      <c r="R1988" s="40"/>
    </row>
    <row r="1989" spans="1:18" ht="30" customHeight="1" x14ac:dyDescent="0.3">
      <c r="A1989" s="26" t="str">
        <f t="shared" si="60"/>
        <v/>
      </c>
      <c r="B1989" s="26">
        <f>COUNTIFS($A$4:A1989,A1989)</f>
        <v>826</v>
      </c>
      <c r="C1989" s="26" t="str">
        <f t="shared" si="61"/>
        <v>826</v>
      </c>
      <c r="E1989" s="26"/>
      <c r="F1989" s="26"/>
      <c r="H1989" s="27"/>
      <c r="I1989" s="27"/>
      <c r="J1989" s="27"/>
      <c r="K1989" s="27"/>
      <c r="L1989" s="27"/>
      <c r="M1989" s="27"/>
      <c r="N1989" s="40"/>
      <c r="O1989" s="27"/>
      <c r="P1989" s="27"/>
      <c r="Q1989" s="41"/>
      <c r="R1989" s="40"/>
    </row>
    <row r="1990" spans="1:18" ht="30" customHeight="1" x14ac:dyDescent="0.3">
      <c r="A1990" s="26" t="str">
        <f t="shared" si="60"/>
        <v/>
      </c>
      <c r="B1990" s="26">
        <f>COUNTIFS($A$4:A1990,A1990)</f>
        <v>827</v>
      </c>
      <c r="C1990" s="26" t="str">
        <f t="shared" si="61"/>
        <v>827</v>
      </c>
      <c r="E1990" s="26"/>
      <c r="F1990" s="26"/>
      <c r="H1990" s="27"/>
      <c r="I1990" s="27"/>
      <c r="J1990" s="27"/>
      <c r="K1990" s="27"/>
      <c r="L1990" s="27"/>
      <c r="M1990" s="27"/>
      <c r="N1990" s="40"/>
      <c r="O1990" s="27"/>
      <c r="P1990" s="27"/>
      <c r="Q1990" s="41"/>
      <c r="R1990" s="40"/>
    </row>
    <row r="1991" spans="1:18" ht="30" customHeight="1" x14ac:dyDescent="0.3">
      <c r="A1991" s="26" t="str">
        <f t="shared" si="60"/>
        <v/>
      </c>
      <c r="B1991" s="26">
        <f>COUNTIFS($A$4:A1991,A1991)</f>
        <v>828</v>
      </c>
      <c r="C1991" s="26" t="str">
        <f t="shared" si="61"/>
        <v>828</v>
      </c>
      <c r="E1991" s="26"/>
      <c r="F1991" s="26"/>
      <c r="H1991" s="27"/>
      <c r="I1991" s="27"/>
      <c r="J1991" s="27"/>
      <c r="K1991" s="27"/>
      <c r="L1991" s="27"/>
      <c r="M1991" s="27"/>
      <c r="N1991" s="40"/>
      <c r="O1991" s="27"/>
      <c r="P1991" s="27"/>
      <c r="Q1991" s="41"/>
      <c r="R1991" s="40"/>
    </row>
    <row r="1992" spans="1:18" ht="30" customHeight="1" x14ac:dyDescent="0.3">
      <c r="A1992" s="26" t="str">
        <f t="shared" si="60"/>
        <v/>
      </c>
      <c r="B1992" s="26">
        <f>COUNTIFS($A$4:A1992,A1992)</f>
        <v>829</v>
      </c>
      <c r="C1992" s="26" t="str">
        <f t="shared" si="61"/>
        <v>829</v>
      </c>
      <c r="E1992" s="26"/>
      <c r="F1992" s="26"/>
      <c r="H1992" s="27"/>
      <c r="I1992" s="27"/>
      <c r="J1992" s="27"/>
      <c r="K1992" s="27"/>
      <c r="L1992" s="27"/>
      <c r="M1992" s="27"/>
      <c r="N1992" s="40"/>
      <c r="O1992" s="27"/>
      <c r="P1992" s="27"/>
      <c r="Q1992" s="41"/>
      <c r="R1992" s="40"/>
    </row>
    <row r="1993" spans="1:18" ht="30" customHeight="1" x14ac:dyDescent="0.3">
      <c r="A1993" s="26" t="str">
        <f t="shared" si="60"/>
        <v/>
      </c>
      <c r="B1993" s="26">
        <f>COUNTIFS($A$4:A1993,A1993)</f>
        <v>830</v>
      </c>
      <c r="C1993" s="26" t="str">
        <f t="shared" si="61"/>
        <v>830</v>
      </c>
      <c r="E1993" s="26"/>
      <c r="F1993" s="26"/>
      <c r="H1993" s="27"/>
      <c r="I1993" s="27"/>
      <c r="J1993" s="27"/>
      <c r="K1993" s="27"/>
      <c r="L1993" s="27"/>
      <c r="M1993" s="27"/>
      <c r="N1993" s="40"/>
      <c r="O1993" s="27"/>
      <c r="P1993" s="27"/>
      <c r="Q1993" s="41"/>
      <c r="R1993" s="40"/>
    </row>
    <row r="1994" spans="1:18" ht="30" customHeight="1" x14ac:dyDescent="0.3">
      <c r="A1994" s="26" t="str">
        <f t="shared" si="60"/>
        <v/>
      </c>
      <c r="B1994" s="26">
        <f>COUNTIFS($A$4:A1994,A1994)</f>
        <v>831</v>
      </c>
      <c r="C1994" s="26" t="str">
        <f t="shared" si="61"/>
        <v>831</v>
      </c>
      <c r="E1994" s="26"/>
      <c r="F1994" s="26"/>
      <c r="H1994" s="27"/>
      <c r="I1994" s="27"/>
      <c r="J1994" s="27"/>
      <c r="K1994" s="27"/>
      <c r="L1994" s="27"/>
      <c r="M1994" s="27"/>
      <c r="N1994" s="40"/>
      <c r="O1994" s="27"/>
      <c r="P1994" s="27"/>
      <c r="Q1994" s="41"/>
      <c r="R1994" s="40"/>
    </row>
    <row r="1995" spans="1:18" ht="30" customHeight="1" x14ac:dyDescent="0.3">
      <c r="A1995" s="26" t="str">
        <f t="shared" si="60"/>
        <v/>
      </c>
      <c r="B1995" s="26">
        <f>COUNTIFS($A$4:A1995,A1995)</f>
        <v>832</v>
      </c>
      <c r="C1995" s="26" t="str">
        <f t="shared" si="61"/>
        <v>832</v>
      </c>
      <c r="E1995" s="26"/>
      <c r="F1995" s="26"/>
      <c r="H1995" s="27"/>
      <c r="I1995" s="27"/>
      <c r="J1995" s="27"/>
      <c r="K1995" s="27"/>
      <c r="L1995" s="27"/>
      <c r="M1995" s="27"/>
      <c r="N1995" s="40"/>
      <c r="O1995" s="27"/>
      <c r="P1995" s="27"/>
      <c r="Q1995" s="41"/>
      <c r="R1995" s="40"/>
    </row>
    <row r="1996" spans="1:18" ht="30" customHeight="1" x14ac:dyDescent="0.3">
      <c r="A1996" s="26" t="str">
        <f t="shared" si="60"/>
        <v/>
      </c>
      <c r="B1996" s="26">
        <f>COUNTIFS($A$4:A1996,A1996)</f>
        <v>833</v>
      </c>
      <c r="C1996" s="26" t="str">
        <f t="shared" si="61"/>
        <v>833</v>
      </c>
      <c r="E1996" s="26"/>
      <c r="F1996" s="26"/>
      <c r="H1996" s="27"/>
      <c r="I1996" s="27"/>
      <c r="J1996" s="27"/>
      <c r="K1996" s="27"/>
      <c r="L1996" s="27"/>
      <c r="M1996" s="27"/>
      <c r="N1996" s="40"/>
      <c r="O1996" s="27"/>
      <c r="P1996" s="27"/>
      <c r="Q1996" s="41"/>
      <c r="R1996" s="40"/>
    </row>
    <row r="1997" spans="1:18" ht="30" customHeight="1" x14ac:dyDescent="0.3">
      <c r="A1997" s="26" t="str">
        <f t="shared" si="60"/>
        <v/>
      </c>
      <c r="B1997" s="26">
        <f>COUNTIFS($A$4:A1997,A1997)</f>
        <v>834</v>
      </c>
      <c r="C1997" s="26" t="str">
        <f t="shared" si="61"/>
        <v>834</v>
      </c>
      <c r="E1997" s="26"/>
      <c r="F1997" s="26"/>
      <c r="H1997" s="27"/>
      <c r="I1997" s="27"/>
      <c r="J1997" s="27"/>
      <c r="K1997" s="27"/>
      <c r="L1997" s="27"/>
      <c r="M1997" s="27"/>
      <c r="N1997" s="40"/>
      <c r="O1997" s="27"/>
      <c r="P1997" s="27"/>
      <c r="Q1997" s="41"/>
      <c r="R1997" s="40"/>
    </row>
    <row r="1998" spans="1:18" ht="30" customHeight="1" x14ac:dyDescent="0.3">
      <c r="A1998" s="26" t="str">
        <f t="shared" si="60"/>
        <v/>
      </c>
      <c r="B1998" s="26">
        <f>COUNTIFS($A$4:A1998,A1998)</f>
        <v>835</v>
      </c>
      <c r="C1998" s="26" t="str">
        <f t="shared" si="61"/>
        <v>835</v>
      </c>
      <c r="E1998" s="26"/>
      <c r="F1998" s="26"/>
      <c r="H1998" s="27"/>
      <c r="I1998" s="27"/>
      <c r="J1998" s="27"/>
      <c r="K1998" s="27"/>
      <c r="L1998" s="27"/>
      <c r="M1998" s="27"/>
      <c r="N1998" s="40"/>
      <c r="O1998" s="27"/>
      <c r="P1998" s="27"/>
      <c r="Q1998" s="41"/>
      <c r="R1998" s="40"/>
    </row>
    <row r="1999" spans="1:18" ht="30" customHeight="1" x14ac:dyDescent="0.3">
      <c r="A1999" s="26" t="str">
        <f t="shared" si="60"/>
        <v/>
      </c>
      <c r="B1999" s="26">
        <f>COUNTIFS($A$4:A1999,A1999)</f>
        <v>836</v>
      </c>
      <c r="C1999" s="26" t="str">
        <f t="shared" si="61"/>
        <v>836</v>
      </c>
      <c r="E1999" s="26"/>
      <c r="F1999" s="26"/>
      <c r="H1999" s="27"/>
      <c r="I1999" s="27"/>
      <c r="J1999" s="27"/>
      <c r="K1999" s="27"/>
      <c r="L1999" s="27"/>
      <c r="M1999" s="27"/>
      <c r="N1999" s="40"/>
      <c r="O1999" s="27"/>
      <c r="P1999" s="27"/>
      <c r="Q1999" s="41"/>
      <c r="R1999" s="40"/>
    </row>
    <row r="2000" spans="1:18" ht="30" customHeight="1" x14ac:dyDescent="0.3">
      <c r="A2000" s="26" t="str">
        <f t="shared" si="60"/>
        <v/>
      </c>
      <c r="B2000" s="26">
        <f>COUNTIFS($A$4:A2000,A2000)</f>
        <v>837</v>
      </c>
      <c r="C2000" s="26" t="str">
        <f t="shared" si="61"/>
        <v>837</v>
      </c>
      <c r="E2000" s="26"/>
      <c r="F2000" s="26"/>
      <c r="H2000" s="27"/>
      <c r="I2000" s="27"/>
      <c r="J2000" s="27"/>
      <c r="K2000" s="27"/>
      <c r="L2000" s="27"/>
      <c r="M2000" s="27"/>
      <c r="N2000" s="40"/>
      <c r="O2000" s="27"/>
      <c r="P2000" s="27"/>
      <c r="Q2000" s="41"/>
      <c r="R2000" s="40"/>
    </row>
    <row r="2001" spans="1:18" ht="30" customHeight="1" x14ac:dyDescent="0.3">
      <c r="A2001" s="26" t="str">
        <f t="shared" ref="A2001:A2064" si="62">I2001&amp;H2001</f>
        <v/>
      </c>
      <c r="B2001" s="26">
        <f>COUNTIFS($A$4:A2001,A2001)</f>
        <v>838</v>
      </c>
      <c r="C2001" s="26" t="str">
        <f t="shared" ref="C2001:C2064" si="63">A2001&amp;B2001</f>
        <v>838</v>
      </c>
      <c r="E2001" s="26"/>
      <c r="F2001" s="26"/>
      <c r="H2001" s="27"/>
      <c r="I2001" s="27"/>
      <c r="J2001" s="27"/>
      <c r="K2001" s="27"/>
      <c r="L2001" s="27"/>
      <c r="M2001" s="27"/>
      <c r="N2001" s="40"/>
      <c r="O2001" s="27"/>
      <c r="P2001" s="27"/>
      <c r="Q2001" s="41"/>
      <c r="R2001" s="40"/>
    </row>
    <row r="2002" spans="1:18" ht="30" customHeight="1" x14ac:dyDescent="0.3">
      <c r="A2002" s="26" t="str">
        <f t="shared" si="62"/>
        <v/>
      </c>
      <c r="B2002" s="26">
        <f>COUNTIFS($A$4:A2002,A2002)</f>
        <v>839</v>
      </c>
      <c r="C2002" s="26" t="str">
        <f t="shared" si="63"/>
        <v>839</v>
      </c>
      <c r="E2002" s="26"/>
      <c r="F2002" s="26"/>
      <c r="H2002" s="27"/>
      <c r="I2002" s="27"/>
      <c r="J2002" s="27"/>
      <c r="K2002" s="27"/>
      <c r="L2002" s="27"/>
      <c r="M2002" s="27"/>
      <c r="N2002" s="40"/>
      <c r="O2002" s="27"/>
      <c r="P2002" s="27"/>
      <c r="Q2002" s="41"/>
      <c r="R2002" s="40"/>
    </row>
    <row r="2003" spans="1:18" ht="30" customHeight="1" x14ac:dyDescent="0.3">
      <c r="A2003" s="26" t="str">
        <f t="shared" si="62"/>
        <v/>
      </c>
      <c r="B2003" s="26">
        <f>COUNTIFS($A$4:A2003,A2003)</f>
        <v>840</v>
      </c>
      <c r="C2003" s="26" t="str">
        <f t="shared" si="63"/>
        <v>840</v>
      </c>
      <c r="E2003" s="26"/>
      <c r="F2003" s="26"/>
      <c r="H2003" s="27"/>
      <c r="I2003" s="27"/>
      <c r="J2003" s="27"/>
      <c r="K2003" s="27"/>
      <c r="L2003" s="27"/>
      <c r="M2003" s="27"/>
      <c r="N2003" s="40"/>
      <c r="O2003" s="27"/>
      <c r="P2003" s="27"/>
      <c r="Q2003" s="41"/>
      <c r="R2003" s="40"/>
    </row>
    <row r="2004" spans="1:18" ht="30" customHeight="1" x14ac:dyDescent="0.3">
      <c r="A2004" s="26" t="str">
        <f t="shared" si="62"/>
        <v/>
      </c>
      <c r="B2004" s="26">
        <f>COUNTIFS($A$4:A2004,A2004)</f>
        <v>841</v>
      </c>
      <c r="C2004" s="26" t="str">
        <f t="shared" si="63"/>
        <v>841</v>
      </c>
      <c r="E2004" s="26"/>
      <c r="F2004" s="26"/>
      <c r="H2004" s="27"/>
      <c r="I2004" s="27"/>
      <c r="J2004" s="27"/>
      <c r="K2004" s="27"/>
      <c r="L2004" s="27"/>
      <c r="M2004" s="27"/>
      <c r="N2004" s="40"/>
      <c r="O2004" s="27"/>
      <c r="P2004" s="27"/>
      <c r="Q2004" s="41"/>
      <c r="R2004" s="40"/>
    </row>
    <row r="2005" spans="1:18" ht="30" customHeight="1" x14ac:dyDescent="0.3">
      <c r="A2005" s="26" t="str">
        <f t="shared" si="62"/>
        <v/>
      </c>
      <c r="B2005" s="26">
        <f>COUNTIFS($A$4:A2005,A2005)</f>
        <v>842</v>
      </c>
      <c r="C2005" s="26" t="str">
        <f t="shared" si="63"/>
        <v>842</v>
      </c>
      <c r="E2005" s="26"/>
      <c r="F2005" s="26"/>
      <c r="H2005" s="27"/>
      <c r="I2005" s="27"/>
      <c r="J2005" s="27"/>
      <c r="K2005" s="27"/>
      <c r="L2005" s="27"/>
      <c r="M2005" s="27"/>
      <c r="N2005" s="40"/>
      <c r="O2005" s="27"/>
      <c r="P2005" s="27"/>
      <c r="Q2005" s="41"/>
      <c r="R2005" s="40"/>
    </row>
    <row r="2006" spans="1:18" ht="30" customHeight="1" x14ac:dyDescent="0.3">
      <c r="A2006" s="26" t="str">
        <f t="shared" si="62"/>
        <v/>
      </c>
      <c r="B2006" s="26">
        <f>COUNTIFS($A$4:A2006,A2006)</f>
        <v>843</v>
      </c>
      <c r="C2006" s="26" t="str">
        <f t="shared" si="63"/>
        <v>843</v>
      </c>
      <c r="E2006" s="26"/>
      <c r="F2006" s="26"/>
      <c r="H2006" s="27"/>
      <c r="I2006" s="27"/>
      <c r="J2006" s="27"/>
      <c r="K2006" s="27"/>
      <c r="L2006" s="27"/>
      <c r="M2006" s="27"/>
      <c r="N2006" s="40"/>
      <c r="O2006" s="27"/>
      <c r="P2006" s="27"/>
      <c r="Q2006" s="41"/>
      <c r="R2006" s="40"/>
    </row>
    <row r="2007" spans="1:18" ht="30" customHeight="1" x14ac:dyDescent="0.3">
      <c r="A2007" s="26" t="str">
        <f t="shared" si="62"/>
        <v/>
      </c>
      <c r="B2007" s="26">
        <f>COUNTIFS($A$4:A2007,A2007)</f>
        <v>844</v>
      </c>
      <c r="C2007" s="26" t="str">
        <f t="shared" si="63"/>
        <v>844</v>
      </c>
      <c r="E2007" s="26"/>
      <c r="F2007" s="26"/>
      <c r="H2007" s="27"/>
      <c r="I2007" s="27"/>
      <c r="J2007" s="27"/>
      <c r="K2007" s="27"/>
      <c r="L2007" s="27"/>
      <c r="M2007" s="27"/>
      <c r="N2007" s="40"/>
      <c r="O2007" s="27"/>
      <c r="P2007" s="27"/>
      <c r="Q2007" s="41"/>
      <c r="R2007" s="40"/>
    </row>
    <row r="2008" spans="1:18" ht="30" customHeight="1" x14ac:dyDescent="0.3">
      <c r="A2008" s="26" t="str">
        <f t="shared" si="62"/>
        <v/>
      </c>
      <c r="B2008" s="26">
        <f>COUNTIFS($A$4:A2008,A2008)</f>
        <v>845</v>
      </c>
      <c r="C2008" s="26" t="str">
        <f t="shared" si="63"/>
        <v>845</v>
      </c>
      <c r="E2008" s="26"/>
      <c r="F2008" s="26"/>
      <c r="H2008" s="27"/>
      <c r="I2008" s="27"/>
      <c r="J2008" s="27"/>
      <c r="K2008" s="27"/>
      <c r="L2008" s="27"/>
      <c r="M2008" s="27"/>
      <c r="N2008" s="40"/>
      <c r="O2008" s="27"/>
      <c r="P2008" s="27"/>
      <c r="Q2008" s="41"/>
      <c r="R2008" s="40"/>
    </row>
    <row r="2009" spans="1:18" ht="30" customHeight="1" x14ac:dyDescent="0.3">
      <c r="A2009" s="26" t="str">
        <f t="shared" si="62"/>
        <v/>
      </c>
      <c r="B2009" s="26">
        <f>COUNTIFS($A$4:A2009,A2009)</f>
        <v>846</v>
      </c>
      <c r="C2009" s="26" t="str">
        <f t="shared" si="63"/>
        <v>846</v>
      </c>
      <c r="E2009" s="26"/>
      <c r="F2009" s="26"/>
      <c r="H2009" s="27"/>
      <c r="I2009" s="27"/>
      <c r="J2009" s="27"/>
      <c r="K2009" s="27"/>
      <c r="L2009" s="27"/>
      <c r="M2009" s="27"/>
      <c r="N2009" s="40"/>
      <c r="O2009" s="27"/>
      <c r="P2009" s="27"/>
      <c r="Q2009" s="41"/>
      <c r="R2009" s="40"/>
    </row>
    <row r="2010" spans="1:18" ht="30" customHeight="1" x14ac:dyDescent="0.3">
      <c r="A2010" s="26" t="str">
        <f t="shared" si="62"/>
        <v/>
      </c>
      <c r="B2010" s="26">
        <f>COUNTIFS($A$4:A2010,A2010)</f>
        <v>847</v>
      </c>
      <c r="C2010" s="26" t="str">
        <f t="shared" si="63"/>
        <v>847</v>
      </c>
      <c r="E2010" s="26"/>
      <c r="F2010" s="26"/>
      <c r="H2010" s="27"/>
      <c r="I2010" s="27"/>
      <c r="J2010" s="27"/>
      <c r="K2010" s="27"/>
      <c r="L2010" s="27"/>
      <c r="M2010" s="27"/>
      <c r="N2010" s="40"/>
      <c r="O2010" s="27"/>
      <c r="P2010" s="27"/>
      <c r="Q2010" s="41"/>
      <c r="R2010" s="40"/>
    </row>
    <row r="2011" spans="1:18" ht="30" customHeight="1" x14ac:dyDescent="0.3">
      <c r="A2011" s="26" t="str">
        <f t="shared" si="62"/>
        <v/>
      </c>
      <c r="B2011" s="26">
        <f>COUNTIFS($A$4:A2011,A2011)</f>
        <v>848</v>
      </c>
      <c r="C2011" s="26" t="str">
        <f t="shared" si="63"/>
        <v>848</v>
      </c>
      <c r="E2011" s="26"/>
      <c r="F2011" s="26"/>
      <c r="H2011" s="27"/>
      <c r="I2011" s="27"/>
      <c r="J2011" s="27"/>
      <c r="K2011" s="27"/>
      <c r="L2011" s="27"/>
      <c r="M2011" s="27"/>
      <c r="N2011" s="40"/>
      <c r="O2011" s="27"/>
      <c r="P2011" s="27"/>
      <c r="Q2011" s="41"/>
      <c r="R2011" s="40"/>
    </row>
    <row r="2012" spans="1:18" ht="30" customHeight="1" x14ac:dyDescent="0.3">
      <c r="A2012" s="26" t="str">
        <f t="shared" si="62"/>
        <v/>
      </c>
      <c r="B2012" s="26">
        <f>COUNTIFS($A$4:A2012,A2012)</f>
        <v>849</v>
      </c>
      <c r="C2012" s="26" t="str">
        <f t="shared" si="63"/>
        <v>849</v>
      </c>
      <c r="E2012" s="26"/>
      <c r="F2012" s="26"/>
      <c r="H2012" s="27"/>
      <c r="I2012" s="27"/>
      <c r="J2012" s="27"/>
      <c r="K2012" s="27"/>
      <c r="L2012" s="27"/>
      <c r="M2012" s="27"/>
      <c r="N2012" s="40"/>
      <c r="O2012" s="27"/>
      <c r="P2012" s="27"/>
      <c r="Q2012" s="41"/>
      <c r="R2012" s="40"/>
    </row>
    <row r="2013" spans="1:18" ht="30" customHeight="1" x14ac:dyDescent="0.3">
      <c r="A2013" s="26" t="str">
        <f t="shared" si="62"/>
        <v/>
      </c>
      <c r="B2013" s="26">
        <f>COUNTIFS($A$4:A2013,A2013)</f>
        <v>850</v>
      </c>
      <c r="C2013" s="26" t="str">
        <f t="shared" si="63"/>
        <v>850</v>
      </c>
      <c r="E2013" s="26"/>
      <c r="F2013" s="26"/>
      <c r="H2013" s="27"/>
      <c r="I2013" s="27"/>
      <c r="J2013" s="27"/>
      <c r="K2013" s="27"/>
      <c r="L2013" s="27"/>
      <c r="M2013" s="27"/>
      <c r="N2013" s="40"/>
      <c r="O2013" s="27"/>
      <c r="P2013" s="27"/>
      <c r="Q2013" s="41"/>
      <c r="R2013" s="40"/>
    </row>
    <row r="2014" spans="1:18" ht="30" customHeight="1" x14ac:dyDescent="0.3">
      <c r="A2014" s="26" t="str">
        <f t="shared" si="62"/>
        <v/>
      </c>
      <c r="B2014" s="26">
        <f>COUNTIFS($A$4:A2014,A2014)</f>
        <v>851</v>
      </c>
      <c r="C2014" s="26" t="str">
        <f t="shared" si="63"/>
        <v>851</v>
      </c>
      <c r="E2014" s="26"/>
      <c r="F2014" s="26"/>
      <c r="H2014" s="27"/>
      <c r="I2014" s="27"/>
      <c r="J2014" s="27"/>
      <c r="K2014" s="27"/>
      <c r="L2014" s="27"/>
      <c r="M2014" s="27"/>
      <c r="N2014" s="40"/>
      <c r="O2014" s="27"/>
      <c r="P2014" s="27"/>
      <c r="Q2014" s="41"/>
      <c r="R2014" s="40"/>
    </row>
    <row r="2015" spans="1:18" ht="30" customHeight="1" x14ac:dyDescent="0.3">
      <c r="A2015" s="26" t="str">
        <f t="shared" si="62"/>
        <v/>
      </c>
      <c r="B2015" s="26">
        <f>COUNTIFS($A$4:A2015,A2015)</f>
        <v>852</v>
      </c>
      <c r="C2015" s="26" t="str">
        <f t="shared" si="63"/>
        <v>852</v>
      </c>
      <c r="E2015" s="26"/>
      <c r="F2015" s="26"/>
      <c r="H2015" s="27"/>
      <c r="I2015" s="27"/>
      <c r="J2015" s="27"/>
      <c r="K2015" s="27"/>
      <c r="L2015" s="27"/>
      <c r="M2015" s="27"/>
      <c r="N2015" s="40"/>
      <c r="O2015" s="27"/>
      <c r="P2015" s="27"/>
      <c r="Q2015" s="41"/>
      <c r="R2015" s="40"/>
    </row>
    <row r="2016" spans="1:18" ht="30" customHeight="1" x14ac:dyDescent="0.3">
      <c r="A2016" s="26" t="str">
        <f t="shared" si="62"/>
        <v/>
      </c>
      <c r="B2016" s="26">
        <f>COUNTIFS($A$4:A2016,A2016)</f>
        <v>853</v>
      </c>
      <c r="C2016" s="26" t="str">
        <f t="shared" si="63"/>
        <v>853</v>
      </c>
      <c r="E2016" s="26"/>
      <c r="F2016" s="26"/>
      <c r="H2016" s="27"/>
      <c r="I2016" s="27"/>
      <c r="J2016" s="27"/>
      <c r="K2016" s="27"/>
      <c r="L2016" s="27"/>
      <c r="M2016" s="27"/>
      <c r="N2016" s="40"/>
      <c r="O2016" s="27"/>
      <c r="P2016" s="27"/>
      <c r="Q2016" s="41"/>
      <c r="R2016" s="40"/>
    </row>
    <row r="2017" spans="1:18" ht="30" customHeight="1" x14ac:dyDescent="0.3">
      <c r="A2017" s="26" t="str">
        <f t="shared" si="62"/>
        <v/>
      </c>
      <c r="B2017" s="26">
        <f>COUNTIFS($A$4:A2017,A2017)</f>
        <v>854</v>
      </c>
      <c r="C2017" s="26" t="str">
        <f t="shared" si="63"/>
        <v>854</v>
      </c>
      <c r="E2017" s="26"/>
      <c r="F2017" s="26"/>
      <c r="H2017" s="27"/>
      <c r="I2017" s="27"/>
      <c r="J2017" s="27"/>
      <c r="K2017" s="27"/>
      <c r="L2017" s="27"/>
      <c r="M2017" s="27"/>
      <c r="N2017" s="40"/>
      <c r="O2017" s="27"/>
      <c r="P2017" s="27"/>
      <c r="Q2017" s="41"/>
      <c r="R2017" s="40"/>
    </row>
    <row r="2018" spans="1:18" ht="30" customHeight="1" x14ac:dyDescent="0.3">
      <c r="A2018" s="26" t="str">
        <f t="shared" si="62"/>
        <v/>
      </c>
      <c r="B2018" s="26">
        <f>COUNTIFS($A$4:A2018,A2018)</f>
        <v>855</v>
      </c>
      <c r="C2018" s="26" t="str">
        <f t="shared" si="63"/>
        <v>855</v>
      </c>
      <c r="E2018" s="26"/>
      <c r="F2018" s="26"/>
      <c r="H2018" s="27"/>
      <c r="I2018" s="27"/>
      <c r="J2018" s="27"/>
      <c r="K2018" s="27"/>
      <c r="L2018" s="27"/>
      <c r="M2018" s="27"/>
      <c r="N2018" s="40"/>
      <c r="O2018" s="27"/>
      <c r="P2018" s="27"/>
      <c r="Q2018" s="41"/>
      <c r="R2018" s="40"/>
    </row>
    <row r="2019" spans="1:18" ht="30" customHeight="1" x14ac:dyDescent="0.3">
      <c r="A2019" s="26" t="str">
        <f t="shared" si="62"/>
        <v/>
      </c>
      <c r="B2019" s="26">
        <f>COUNTIFS($A$4:A2019,A2019)</f>
        <v>856</v>
      </c>
      <c r="C2019" s="26" t="str">
        <f t="shared" si="63"/>
        <v>856</v>
      </c>
      <c r="E2019" s="26"/>
      <c r="F2019" s="26"/>
      <c r="H2019" s="27"/>
      <c r="I2019" s="27"/>
      <c r="J2019" s="27"/>
      <c r="K2019" s="27"/>
      <c r="L2019" s="27"/>
      <c r="M2019" s="27"/>
      <c r="N2019" s="40"/>
      <c r="O2019" s="27"/>
      <c r="P2019" s="27"/>
      <c r="Q2019" s="41"/>
      <c r="R2019" s="40"/>
    </row>
    <row r="2020" spans="1:18" ht="30" customHeight="1" x14ac:dyDescent="0.3">
      <c r="A2020" s="26" t="str">
        <f t="shared" si="62"/>
        <v/>
      </c>
      <c r="B2020" s="26">
        <f>COUNTIFS($A$4:A2020,A2020)</f>
        <v>857</v>
      </c>
      <c r="C2020" s="26" t="str">
        <f t="shared" si="63"/>
        <v>857</v>
      </c>
      <c r="E2020" s="26"/>
      <c r="F2020" s="26"/>
      <c r="H2020" s="27"/>
      <c r="I2020" s="27"/>
      <c r="J2020" s="27"/>
      <c r="K2020" s="27"/>
      <c r="L2020" s="27"/>
      <c r="M2020" s="27"/>
      <c r="N2020" s="40"/>
      <c r="O2020" s="27"/>
      <c r="P2020" s="27"/>
      <c r="Q2020" s="41"/>
      <c r="R2020" s="40"/>
    </row>
    <row r="2021" spans="1:18" ht="30" customHeight="1" x14ac:dyDescent="0.3">
      <c r="A2021" s="26" t="str">
        <f t="shared" si="62"/>
        <v/>
      </c>
      <c r="B2021" s="26">
        <f>COUNTIFS($A$4:A2021,A2021)</f>
        <v>858</v>
      </c>
      <c r="C2021" s="26" t="str">
        <f t="shared" si="63"/>
        <v>858</v>
      </c>
      <c r="E2021" s="26"/>
      <c r="F2021" s="26"/>
      <c r="H2021" s="27"/>
      <c r="I2021" s="27"/>
      <c r="J2021" s="27"/>
      <c r="K2021" s="27"/>
      <c r="L2021" s="27"/>
      <c r="M2021" s="27"/>
      <c r="N2021" s="40"/>
      <c r="O2021" s="27"/>
      <c r="P2021" s="27"/>
      <c r="Q2021" s="41"/>
      <c r="R2021" s="40"/>
    </row>
    <row r="2022" spans="1:18" ht="30" customHeight="1" x14ac:dyDescent="0.3">
      <c r="A2022" s="26" t="str">
        <f t="shared" si="62"/>
        <v/>
      </c>
      <c r="B2022" s="26">
        <f>COUNTIFS($A$4:A2022,A2022)</f>
        <v>859</v>
      </c>
      <c r="C2022" s="26" t="str">
        <f t="shared" si="63"/>
        <v>859</v>
      </c>
      <c r="E2022" s="26"/>
      <c r="F2022" s="26"/>
      <c r="H2022" s="27"/>
      <c r="I2022" s="27"/>
      <c r="J2022" s="27"/>
      <c r="K2022" s="27"/>
      <c r="L2022" s="27"/>
      <c r="M2022" s="27"/>
      <c r="N2022" s="40"/>
      <c r="O2022" s="27"/>
      <c r="P2022" s="27"/>
      <c r="Q2022" s="41"/>
      <c r="R2022" s="40"/>
    </row>
    <row r="2023" spans="1:18" ht="30" customHeight="1" x14ac:dyDescent="0.3">
      <c r="A2023" s="26" t="str">
        <f t="shared" si="62"/>
        <v/>
      </c>
      <c r="B2023" s="26">
        <f>COUNTIFS($A$4:A2023,A2023)</f>
        <v>860</v>
      </c>
      <c r="C2023" s="26" t="str">
        <f t="shared" si="63"/>
        <v>860</v>
      </c>
      <c r="E2023" s="26"/>
      <c r="F2023" s="26"/>
      <c r="H2023" s="27"/>
      <c r="I2023" s="27"/>
      <c r="J2023" s="27"/>
      <c r="K2023" s="27"/>
      <c r="L2023" s="27"/>
      <c r="M2023" s="27"/>
      <c r="N2023" s="40"/>
      <c r="O2023" s="27"/>
      <c r="P2023" s="27"/>
      <c r="Q2023" s="41"/>
      <c r="R2023" s="40"/>
    </row>
    <row r="2024" spans="1:18" ht="30" customHeight="1" x14ac:dyDescent="0.3">
      <c r="A2024" s="26" t="str">
        <f t="shared" si="62"/>
        <v/>
      </c>
      <c r="B2024" s="26">
        <f>COUNTIFS($A$4:A2024,A2024)</f>
        <v>861</v>
      </c>
      <c r="C2024" s="26" t="str">
        <f t="shared" si="63"/>
        <v>861</v>
      </c>
      <c r="E2024" s="26"/>
      <c r="F2024" s="26"/>
      <c r="H2024" s="27"/>
      <c r="I2024" s="27"/>
      <c r="J2024" s="27"/>
      <c r="K2024" s="27"/>
      <c r="L2024" s="27"/>
      <c r="M2024" s="27"/>
      <c r="N2024" s="40"/>
      <c r="O2024" s="27"/>
      <c r="P2024" s="27"/>
      <c r="Q2024" s="41"/>
      <c r="R2024" s="40"/>
    </row>
    <row r="2025" spans="1:18" ht="30" customHeight="1" x14ac:dyDescent="0.3">
      <c r="A2025" s="26" t="str">
        <f t="shared" si="62"/>
        <v/>
      </c>
      <c r="B2025" s="26">
        <f>COUNTIFS($A$4:A2025,A2025)</f>
        <v>862</v>
      </c>
      <c r="C2025" s="26" t="str">
        <f t="shared" si="63"/>
        <v>862</v>
      </c>
      <c r="E2025" s="26"/>
      <c r="F2025" s="26"/>
      <c r="H2025" s="27"/>
      <c r="I2025" s="27"/>
      <c r="J2025" s="27"/>
      <c r="K2025" s="27"/>
      <c r="L2025" s="27"/>
      <c r="M2025" s="27"/>
      <c r="N2025" s="40"/>
      <c r="O2025" s="27"/>
      <c r="P2025" s="27"/>
      <c r="Q2025" s="41"/>
      <c r="R2025" s="40"/>
    </row>
    <row r="2026" spans="1:18" ht="30" customHeight="1" x14ac:dyDescent="0.3">
      <c r="A2026" s="26" t="str">
        <f t="shared" si="62"/>
        <v/>
      </c>
      <c r="B2026" s="26">
        <f>COUNTIFS($A$4:A2026,A2026)</f>
        <v>863</v>
      </c>
      <c r="C2026" s="26" t="str">
        <f t="shared" si="63"/>
        <v>863</v>
      </c>
      <c r="E2026" s="26"/>
      <c r="F2026" s="26"/>
      <c r="H2026" s="27"/>
      <c r="I2026" s="27"/>
      <c r="J2026" s="27"/>
      <c r="K2026" s="27"/>
      <c r="L2026" s="27"/>
      <c r="M2026" s="27"/>
      <c r="N2026" s="40"/>
      <c r="O2026" s="27"/>
      <c r="P2026" s="27"/>
      <c r="Q2026" s="41"/>
      <c r="R2026" s="40"/>
    </row>
    <row r="2027" spans="1:18" ht="30" customHeight="1" x14ac:dyDescent="0.3">
      <c r="A2027" s="26" t="str">
        <f t="shared" si="62"/>
        <v/>
      </c>
      <c r="B2027" s="26">
        <f>COUNTIFS($A$4:A2027,A2027)</f>
        <v>864</v>
      </c>
      <c r="C2027" s="26" t="str">
        <f t="shared" si="63"/>
        <v>864</v>
      </c>
      <c r="E2027" s="26"/>
      <c r="F2027" s="26"/>
      <c r="H2027" s="27"/>
      <c r="I2027" s="27"/>
      <c r="J2027" s="27"/>
      <c r="K2027" s="27"/>
      <c r="L2027" s="27"/>
      <c r="M2027" s="27"/>
      <c r="N2027" s="40"/>
      <c r="O2027" s="27"/>
      <c r="P2027" s="27"/>
      <c r="Q2027" s="41"/>
      <c r="R2027" s="40"/>
    </row>
    <row r="2028" spans="1:18" ht="30" customHeight="1" x14ac:dyDescent="0.3">
      <c r="A2028" s="26" t="str">
        <f t="shared" si="62"/>
        <v/>
      </c>
      <c r="B2028" s="26">
        <f>COUNTIFS($A$4:A2028,A2028)</f>
        <v>865</v>
      </c>
      <c r="C2028" s="26" t="str">
        <f t="shared" si="63"/>
        <v>865</v>
      </c>
      <c r="E2028" s="26"/>
      <c r="F2028" s="26"/>
      <c r="H2028" s="27"/>
      <c r="I2028" s="27"/>
      <c r="J2028" s="27"/>
      <c r="K2028" s="27"/>
      <c r="L2028" s="27"/>
      <c r="M2028" s="27"/>
      <c r="N2028" s="40"/>
      <c r="O2028" s="27"/>
      <c r="P2028" s="27"/>
      <c r="Q2028" s="41"/>
      <c r="R2028" s="40"/>
    </row>
    <row r="2029" spans="1:18" ht="30" customHeight="1" x14ac:dyDescent="0.3">
      <c r="A2029" s="26" t="str">
        <f t="shared" si="62"/>
        <v/>
      </c>
      <c r="B2029" s="26">
        <f>COUNTIFS($A$4:A2029,A2029)</f>
        <v>866</v>
      </c>
      <c r="C2029" s="26" t="str">
        <f t="shared" si="63"/>
        <v>866</v>
      </c>
      <c r="E2029" s="26"/>
      <c r="F2029" s="26"/>
      <c r="H2029" s="27"/>
      <c r="I2029" s="27"/>
      <c r="J2029" s="27"/>
      <c r="K2029" s="27"/>
      <c r="L2029" s="27"/>
      <c r="M2029" s="27"/>
      <c r="N2029" s="40"/>
      <c r="O2029" s="27"/>
      <c r="P2029" s="27"/>
      <c r="Q2029" s="41"/>
      <c r="R2029" s="40"/>
    </row>
    <row r="2030" spans="1:18" ht="30" customHeight="1" x14ac:dyDescent="0.3">
      <c r="A2030" s="26" t="str">
        <f t="shared" si="62"/>
        <v/>
      </c>
      <c r="B2030" s="26">
        <f>COUNTIFS($A$4:A2030,A2030)</f>
        <v>867</v>
      </c>
      <c r="C2030" s="26" t="str">
        <f t="shared" si="63"/>
        <v>867</v>
      </c>
      <c r="E2030" s="26"/>
      <c r="F2030" s="26"/>
      <c r="H2030" s="27"/>
      <c r="I2030" s="27"/>
      <c r="J2030" s="27"/>
      <c r="K2030" s="27"/>
      <c r="L2030" s="27"/>
      <c r="M2030" s="27"/>
      <c r="N2030" s="40"/>
      <c r="O2030" s="27"/>
      <c r="P2030" s="27"/>
      <c r="Q2030" s="41"/>
      <c r="R2030" s="40"/>
    </row>
    <row r="2031" spans="1:18" ht="30" customHeight="1" x14ac:dyDescent="0.3">
      <c r="A2031" s="26" t="str">
        <f t="shared" si="62"/>
        <v/>
      </c>
      <c r="B2031" s="26">
        <f>COUNTIFS($A$4:A2031,A2031)</f>
        <v>868</v>
      </c>
      <c r="C2031" s="26" t="str">
        <f t="shared" si="63"/>
        <v>868</v>
      </c>
      <c r="E2031" s="26"/>
      <c r="F2031" s="26"/>
      <c r="H2031" s="27"/>
      <c r="I2031" s="27"/>
      <c r="J2031" s="27"/>
      <c r="K2031" s="27"/>
      <c r="L2031" s="27"/>
      <c r="M2031" s="27"/>
      <c r="N2031" s="40"/>
      <c r="O2031" s="27"/>
      <c r="P2031" s="27"/>
      <c r="Q2031" s="41"/>
      <c r="R2031" s="40"/>
    </row>
    <row r="2032" spans="1:18" ht="30" customHeight="1" x14ac:dyDescent="0.3">
      <c r="A2032" s="26" t="str">
        <f t="shared" si="62"/>
        <v/>
      </c>
      <c r="B2032" s="26">
        <f>COUNTIFS($A$4:A2032,A2032)</f>
        <v>869</v>
      </c>
      <c r="C2032" s="26" t="str">
        <f t="shared" si="63"/>
        <v>869</v>
      </c>
      <c r="E2032" s="26"/>
      <c r="F2032" s="26"/>
      <c r="H2032" s="27"/>
      <c r="I2032" s="27"/>
      <c r="J2032" s="27"/>
      <c r="K2032" s="27"/>
      <c r="L2032" s="27"/>
      <c r="M2032" s="27"/>
      <c r="N2032" s="40"/>
      <c r="O2032" s="27"/>
      <c r="P2032" s="27"/>
      <c r="Q2032" s="41"/>
      <c r="R2032" s="40"/>
    </row>
    <row r="2033" spans="1:18" ht="30" customHeight="1" x14ac:dyDescent="0.3">
      <c r="A2033" s="26" t="str">
        <f t="shared" si="62"/>
        <v/>
      </c>
      <c r="B2033" s="26">
        <f>COUNTIFS($A$4:A2033,A2033)</f>
        <v>870</v>
      </c>
      <c r="C2033" s="26" t="str">
        <f t="shared" si="63"/>
        <v>870</v>
      </c>
      <c r="E2033" s="26"/>
      <c r="F2033" s="26"/>
      <c r="H2033" s="27"/>
      <c r="I2033" s="27"/>
      <c r="J2033" s="27"/>
      <c r="K2033" s="27"/>
      <c r="L2033" s="27"/>
      <c r="M2033" s="27"/>
      <c r="N2033" s="40"/>
      <c r="O2033" s="27"/>
      <c r="P2033" s="27"/>
      <c r="Q2033" s="41"/>
      <c r="R2033" s="40"/>
    </row>
    <row r="2034" spans="1:18" ht="30" customHeight="1" x14ac:dyDescent="0.3">
      <c r="A2034" s="26" t="str">
        <f t="shared" si="62"/>
        <v/>
      </c>
      <c r="B2034" s="26">
        <f>COUNTIFS($A$4:A2034,A2034)</f>
        <v>871</v>
      </c>
      <c r="C2034" s="26" t="str">
        <f t="shared" si="63"/>
        <v>871</v>
      </c>
      <c r="E2034" s="26"/>
      <c r="F2034" s="26"/>
      <c r="H2034" s="27"/>
      <c r="I2034" s="27"/>
      <c r="J2034" s="27"/>
      <c r="K2034" s="27"/>
      <c r="L2034" s="27"/>
      <c r="M2034" s="27"/>
      <c r="N2034" s="40"/>
      <c r="O2034" s="27"/>
      <c r="P2034" s="27"/>
      <c r="Q2034" s="41"/>
      <c r="R2034" s="40"/>
    </row>
    <row r="2035" spans="1:18" ht="30" customHeight="1" x14ac:dyDescent="0.3">
      <c r="A2035" s="26" t="str">
        <f t="shared" si="62"/>
        <v/>
      </c>
      <c r="B2035" s="26">
        <f>COUNTIFS($A$4:A2035,A2035)</f>
        <v>872</v>
      </c>
      <c r="C2035" s="26" t="str">
        <f t="shared" si="63"/>
        <v>872</v>
      </c>
      <c r="E2035" s="26"/>
      <c r="F2035" s="26"/>
      <c r="H2035" s="27"/>
      <c r="I2035" s="27"/>
      <c r="J2035" s="27"/>
      <c r="K2035" s="27"/>
      <c r="L2035" s="27"/>
      <c r="M2035" s="27"/>
      <c r="N2035" s="40"/>
      <c r="O2035" s="27"/>
      <c r="P2035" s="27"/>
      <c r="Q2035" s="41"/>
      <c r="R2035" s="40"/>
    </row>
    <row r="2036" spans="1:18" ht="30" customHeight="1" x14ac:dyDescent="0.3">
      <c r="A2036" s="26" t="str">
        <f t="shared" si="62"/>
        <v/>
      </c>
      <c r="B2036" s="26">
        <f>COUNTIFS($A$4:A2036,A2036)</f>
        <v>873</v>
      </c>
      <c r="C2036" s="26" t="str">
        <f t="shared" si="63"/>
        <v>873</v>
      </c>
      <c r="E2036" s="26"/>
      <c r="F2036" s="26"/>
      <c r="H2036" s="27"/>
      <c r="I2036" s="27"/>
      <c r="J2036" s="27"/>
      <c r="K2036" s="27"/>
      <c r="L2036" s="27"/>
      <c r="M2036" s="27"/>
      <c r="N2036" s="40"/>
      <c r="O2036" s="27"/>
      <c r="P2036" s="27"/>
      <c r="Q2036" s="41"/>
      <c r="R2036" s="40"/>
    </row>
    <row r="2037" spans="1:18" ht="30" customHeight="1" x14ac:dyDescent="0.3">
      <c r="A2037" s="26" t="str">
        <f t="shared" si="62"/>
        <v/>
      </c>
      <c r="B2037" s="26">
        <f>COUNTIFS($A$4:A2037,A2037)</f>
        <v>874</v>
      </c>
      <c r="C2037" s="26" t="str">
        <f t="shared" si="63"/>
        <v>874</v>
      </c>
      <c r="E2037" s="26"/>
      <c r="F2037" s="26"/>
      <c r="H2037" s="27"/>
      <c r="I2037" s="27"/>
      <c r="J2037" s="27"/>
      <c r="K2037" s="27"/>
      <c r="L2037" s="27"/>
      <c r="M2037" s="27"/>
      <c r="N2037" s="40"/>
      <c r="O2037" s="27"/>
      <c r="P2037" s="27"/>
      <c r="Q2037" s="41"/>
      <c r="R2037" s="40"/>
    </row>
    <row r="2038" spans="1:18" ht="30" customHeight="1" x14ac:dyDescent="0.3">
      <c r="A2038" s="26" t="str">
        <f t="shared" si="62"/>
        <v/>
      </c>
      <c r="B2038" s="26">
        <f>COUNTIFS($A$4:A2038,A2038)</f>
        <v>875</v>
      </c>
      <c r="C2038" s="26" t="str">
        <f t="shared" si="63"/>
        <v>875</v>
      </c>
      <c r="E2038" s="26"/>
      <c r="F2038" s="26"/>
      <c r="H2038" s="27"/>
      <c r="I2038" s="27"/>
      <c r="J2038" s="27"/>
      <c r="K2038" s="27"/>
      <c r="L2038" s="27"/>
      <c r="M2038" s="27"/>
      <c r="N2038" s="40"/>
      <c r="O2038" s="27"/>
      <c r="P2038" s="27"/>
      <c r="Q2038" s="41"/>
      <c r="R2038" s="40"/>
    </row>
    <row r="2039" spans="1:18" ht="30" customHeight="1" x14ac:dyDescent="0.3">
      <c r="A2039" s="26" t="str">
        <f t="shared" si="62"/>
        <v/>
      </c>
      <c r="B2039" s="26">
        <f>COUNTIFS($A$4:A2039,A2039)</f>
        <v>876</v>
      </c>
      <c r="C2039" s="26" t="str">
        <f t="shared" si="63"/>
        <v>876</v>
      </c>
      <c r="E2039" s="26"/>
      <c r="F2039" s="26"/>
      <c r="H2039" s="27"/>
      <c r="I2039" s="27"/>
      <c r="J2039" s="27"/>
      <c r="K2039" s="27"/>
      <c r="L2039" s="27"/>
      <c r="M2039" s="27"/>
      <c r="N2039" s="40"/>
      <c r="O2039" s="27"/>
      <c r="P2039" s="27"/>
      <c r="Q2039" s="41"/>
      <c r="R2039" s="40"/>
    </row>
    <row r="2040" spans="1:18" ht="30" customHeight="1" x14ac:dyDescent="0.3">
      <c r="A2040" s="26" t="str">
        <f t="shared" si="62"/>
        <v/>
      </c>
      <c r="B2040" s="26">
        <f>COUNTIFS($A$4:A2040,A2040)</f>
        <v>877</v>
      </c>
      <c r="C2040" s="26" t="str">
        <f t="shared" si="63"/>
        <v>877</v>
      </c>
      <c r="E2040" s="26"/>
      <c r="F2040" s="26"/>
      <c r="H2040" s="27"/>
      <c r="I2040" s="27"/>
      <c r="J2040" s="27"/>
      <c r="K2040" s="27"/>
      <c r="L2040" s="27"/>
      <c r="M2040" s="27"/>
      <c r="N2040" s="40"/>
      <c r="O2040" s="27"/>
      <c r="P2040" s="27"/>
      <c r="Q2040" s="41"/>
      <c r="R2040" s="40"/>
    </row>
    <row r="2041" spans="1:18" ht="30" customHeight="1" x14ac:dyDescent="0.3">
      <c r="A2041" s="26" t="str">
        <f t="shared" si="62"/>
        <v/>
      </c>
      <c r="B2041" s="26">
        <f>COUNTIFS($A$4:A2041,A2041)</f>
        <v>878</v>
      </c>
      <c r="C2041" s="26" t="str">
        <f t="shared" si="63"/>
        <v>878</v>
      </c>
      <c r="E2041" s="26"/>
      <c r="F2041" s="26"/>
      <c r="H2041" s="27"/>
      <c r="I2041" s="27"/>
      <c r="J2041" s="27"/>
      <c r="K2041" s="27"/>
      <c r="L2041" s="27"/>
      <c r="M2041" s="27"/>
      <c r="N2041" s="40"/>
      <c r="O2041" s="27"/>
      <c r="P2041" s="27"/>
      <c r="Q2041" s="41"/>
      <c r="R2041" s="40"/>
    </row>
    <row r="2042" spans="1:18" ht="30" customHeight="1" x14ac:dyDescent="0.3">
      <c r="A2042" s="26" t="str">
        <f t="shared" si="62"/>
        <v/>
      </c>
      <c r="B2042" s="26">
        <f>COUNTIFS($A$4:A2042,A2042)</f>
        <v>879</v>
      </c>
      <c r="C2042" s="26" t="str">
        <f t="shared" si="63"/>
        <v>879</v>
      </c>
      <c r="E2042" s="26"/>
      <c r="F2042" s="26"/>
      <c r="H2042" s="27"/>
      <c r="I2042" s="27"/>
      <c r="J2042" s="27"/>
      <c r="K2042" s="27"/>
      <c r="L2042" s="27"/>
      <c r="M2042" s="27"/>
      <c r="N2042" s="40"/>
      <c r="O2042" s="27"/>
      <c r="P2042" s="27"/>
      <c r="Q2042" s="41"/>
      <c r="R2042" s="40"/>
    </row>
    <row r="2043" spans="1:18" ht="30" customHeight="1" x14ac:dyDescent="0.3">
      <c r="A2043" s="26" t="str">
        <f t="shared" si="62"/>
        <v/>
      </c>
      <c r="B2043" s="26">
        <f>COUNTIFS($A$4:A2043,A2043)</f>
        <v>880</v>
      </c>
      <c r="C2043" s="26" t="str">
        <f t="shared" si="63"/>
        <v>880</v>
      </c>
      <c r="E2043" s="26"/>
      <c r="F2043" s="26"/>
      <c r="H2043" s="27"/>
      <c r="I2043" s="27"/>
      <c r="J2043" s="27"/>
      <c r="K2043" s="27"/>
      <c r="L2043" s="27"/>
      <c r="M2043" s="27"/>
      <c r="N2043" s="40"/>
      <c r="O2043" s="27"/>
      <c r="P2043" s="27"/>
      <c r="Q2043" s="41"/>
      <c r="R2043" s="40"/>
    </row>
    <row r="2044" spans="1:18" ht="30" customHeight="1" x14ac:dyDescent="0.3">
      <c r="A2044" s="26" t="str">
        <f t="shared" si="62"/>
        <v/>
      </c>
      <c r="B2044" s="26">
        <f>COUNTIFS($A$4:A2044,A2044)</f>
        <v>881</v>
      </c>
      <c r="C2044" s="26" t="str">
        <f t="shared" si="63"/>
        <v>881</v>
      </c>
      <c r="E2044" s="26"/>
      <c r="F2044" s="26"/>
      <c r="H2044" s="27"/>
      <c r="I2044" s="27"/>
      <c r="J2044" s="27"/>
      <c r="K2044" s="27"/>
      <c r="L2044" s="27"/>
      <c r="M2044" s="27"/>
      <c r="N2044" s="40"/>
      <c r="O2044" s="27"/>
      <c r="P2044" s="27"/>
      <c r="Q2044" s="41"/>
      <c r="R2044" s="40"/>
    </row>
    <row r="2045" spans="1:18" ht="30" customHeight="1" x14ac:dyDescent="0.3">
      <c r="A2045" s="26" t="str">
        <f t="shared" si="62"/>
        <v/>
      </c>
      <c r="B2045" s="26">
        <f>COUNTIFS($A$4:A2045,A2045)</f>
        <v>882</v>
      </c>
      <c r="C2045" s="26" t="str">
        <f t="shared" si="63"/>
        <v>882</v>
      </c>
      <c r="E2045" s="26"/>
      <c r="F2045" s="26"/>
      <c r="H2045" s="27"/>
      <c r="I2045" s="27"/>
      <c r="J2045" s="27"/>
      <c r="K2045" s="27"/>
      <c r="L2045" s="27"/>
      <c r="M2045" s="27"/>
      <c r="N2045" s="40"/>
      <c r="O2045" s="27"/>
      <c r="P2045" s="27"/>
      <c r="Q2045" s="41"/>
      <c r="R2045" s="40"/>
    </row>
    <row r="2046" spans="1:18" ht="30" customHeight="1" x14ac:dyDescent="0.3">
      <c r="A2046" s="26" t="str">
        <f t="shared" si="62"/>
        <v/>
      </c>
      <c r="B2046" s="26">
        <f>COUNTIFS($A$4:A2046,A2046)</f>
        <v>883</v>
      </c>
      <c r="C2046" s="26" t="str">
        <f t="shared" si="63"/>
        <v>883</v>
      </c>
      <c r="E2046" s="26"/>
      <c r="F2046" s="26"/>
      <c r="H2046" s="27"/>
      <c r="I2046" s="27"/>
      <c r="J2046" s="27"/>
      <c r="K2046" s="27"/>
      <c r="L2046" s="27"/>
      <c r="M2046" s="27"/>
      <c r="N2046" s="40"/>
      <c r="O2046" s="27"/>
      <c r="P2046" s="27"/>
      <c r="Q2046" s="41"/>
      <c r="R2046" s="40"/>
    </row>
    <row r="2047" spans="1:18" ht="30" customHeight="1" x14ac:dyDescent="0.3">
      <c r="A2047" s="26" t="str">
        <f t="shared" si="62"/>
        <v/>
      </c>
      <c r="B2047" s="26">
        <f>COUNTIFS($A$4:A2047,A2047)</f>
        <v>884</v>
      </c>
      <c r="C2047" s="26" t="str">
        <f t="shared" si="63"/>
        <v>884</v>
      </c>
      <c r="E2047" s="26"/>
      <c r="F2047" s="26"/>
      <c r="H2047" s="27"/>
      <c r="I2047" s="27"/>
      <c r="J2047" s="27"/>
      <c r="K2047" s="27"/>
      <c r="L2047" s="27"/>
      <c r="M2047" s="27"/>
      <c r="N2047" s="40"/>
      <c r="O2047" s="27"/>
      <c r="P2047" s="27"/>
      <c r="Q2047" s="41"/>
      <c r="R2047" s="40"/>
    </row>
    <row r="2048" spans="1:18" ht="30" customHeight="1" x14ac:dyDescent="0.3">
      <c r="A2048" s="26" t="str">
        <f t="shared" si="62"/>
        <v/>
      </c>
      <c r="B2048" s="26">
        <f>COUNTIFS($A$4:A2048,A2048)</f>
        <v>885</v>
      </c>
      <c r="C2048" s="26" t="str">
        <f t="shared" si="63"/>
        <v>885</v>
      </c>
      <c r="E2048" s="26"/>
      <c r="F2048" s="26"/>
      <c r="H2048" s="27"/>
      <c r="I2048" s="27"/>
      <c r="J2048" s="27"/>
      <c r="K2048" s="27"/>
      <c r="L2048" s="27"/>
      <c r="M2048" s="27"/>
      <c r="N2048" s="40"/>
      <c r="O2048" s="27"/>
      <c r="P2048" s="27"/>
      <c r="Q2048" s="41"/>
      <c r="R2048" s="40"/>
    </row>
    <row r="2049" spans="1:18" ht="30" customHeight="1" x14ac:dyDescent="0.3">
      <c r="A2049" s="26" t="str">
        <f t="shared" si="62"/>
        <v/>
      </c>
      <c r="B2049" s="26">
        <f>COUNTIFS($A$4:A2049,A2049)</f>
        <v>886</v>
      </c>
      <c r="C2049" s="26" t="str">
        <f t="shared" si="63"/>
        <v>886</v>
      </c>
      <c r="E2049" s="26"/>
      <c r="F2049" s="26"/>
      <c r="H2049" s="27"/>
      <c r="I2049" s="27"/>
      <c r="J2049" s="27"/>
      <c r="K2049" s="27"/>
      <c r="L2049" s="27"/>
      <c r="M2049" s="27"/>
      <c r="N2049" s="40"/>
      <c r="O2049" s="27"/>
      <c r="P2049" s="27"/>
      <c r="Q2049" s="41"/>
      <c r="R2049" s="40"/>
    </row>
    <row r="2050" spans="1:18" ht="30" customHeight="1" x14ac:dyDescent="0.3">
      <c r="A2050" s="26" t="str">
        <f t="shared" si="62"/>
        <v/>
      </c>
      <c r="B2050" s="26">
        <f>COUNTIFS($A$4:A2050,A2050)</f>
        <v>887</v>
      </c>
      <c r="C2050" s="26" t="str">
        <f t="shared" si="63"/>
        <v>887</v>
      </c>
      <c r="E2050" s="26"/>
      <c r="F2050" s="26"/>
      <c r="H2050" s="27"/>
      <c r="I2050" s="27"/>
      <c r="J2050" s="27"/>
      <c r="K2050" s="27"/>
      <c r="L2050" s="27"/>
      <c r="M2050" s="27"/>
      <c r="N2050" s="40"/>
      <c r="O2050" s="27"/>
      <c r="P2050" s="27"/>
      <c r="Q2050" s="41"/>
      <c r="R2050" s="40"/>
    </row>
    <row r="2051" spans="1:18" ht="30" customHeight="1" x14ac:dyDescent="0.3">
      <c r="A2051" s="26" t="str">
        <f t="shared" si="62"/>
        <v/>
      </c>
      <c r="B2051" s="26">
        <f>COUNTIFS($A$4:A2051,A2051)</f>
        <v>888</v>
      </c>
      <c r="C2051" s="26" t="str">
        <f t="shared" si="63"/>
        <v>888</v>
      </c>
      <c r="E2051" s="26"/>
      <c r="F2051" s="26"/>
      <c r="H2051" s="27"/>
      <c r="I2051" s="27"/>
      <c r="J2051" s="27"/>
      <c r="K2051" s="27"/>
      <c r="L2051" s="27"/>
      <c r="M2051" s="27"/>
      <c r="N2051" s="40"/>
      <c r="O2051" s="27"/>
      <c r="P2051" s="27"/>
      <c r="Q2051" s="41"/>
      <c r="R2051" s="40"/>
    </row>
    <row r="2052" spans="1:18" ht="30" customHeight="1" x14ac:dyDescent="0.3">
      <c r="A2052" s="26" t="str">
        <f t="shared" si="62"/>
        <v/>
      </c>
      <c r="B2052" s="26">
        <f>COUNTIFS($A$4:A2052,A2052)</f>
        <v>889</v>
      </c>
      <c r="C2052" s="26" t="str">
        <f t="shared" si="63"/>
        <v>889</v>
      </c>
      <c r="E2052" s="26"/>
      <c r="F2052" s="26"/>
      <c r="H2052" s="27"/>
      <c r="I2052" s="27"/>
      <c r="J2052" s="27"/>
      <c r="K2052" s="27"/>
      <c r="L2052" s="27"/>
      <c r="M2052" s="27"/>
      <c r="N2052" s="40"/>
      <c r="O2052" s="27"/>
      <c r="P2052" s="27"/>
      <c r="Q2052" s="41"/>
      <c r="R2052" s="40"/>
    </row>
    <row r="2053" spans="1:18" ht="30" customHeight="1" x14ac:dyDescent="0.3">
      <c r="A2053" s="26" t="str">
        <f t="shared" si="62"/>
        <v/>
      </c>
      <c r="B2053" s="26">
        <f>COUNTIFS($A$4:A2053,A2053)</f>
        <v>890</v>
      </c>
      <c r="C2053" s="26" t="str">
        <f t="shared" si="63"/>
        <v>890</v>
      </c>
      <c r="E2053" s="26"/>
      <c r="F2053" s="26"/>
      <c r="H2053" s="27"/>
      <c r="I2053" s="27"/>
      <c r="J2053" s="27"/>
      <c r="K2053" s="27"/>
      <c r="L2053" s="27"/>
      <c r="M2053" s="27"/>
      <c r="N2053" s="40"/>
      <c r="O2053" s="27"/>
      <c r="P2053" s="27"/>
      <c r="Q2053" s="41"/>
      <c r="R2053" s="40"/>
    </row>
    <row r="2054" spans="1:18" ht="30" customHeight="1" x14ac:dyDescent="0.3">
      <c r="A2054" s="26" t="str">
        <f t="shared" si="62"/>
        <v/>
      </c>
      <c r="B2054" s="26">
        <f>COUNTIFS($A$4:A2054,A2054)</f>
        <v>891</v>
      </c>
      <c r="C2054" s="26" t="str">
        <f t="shared" si="63"/>
        <v>891</v>
      </c>
      <c r="E2054" s="26"/>
      <c r="F2054" s="26"/>
      <c r="H2054" s="27"/>
      <c r="I2054" s="27"/>
      <c r="J2054" s="27"/>
      <c r="K2054" s="27"/>
      <c r="L2054" s="27"/>
      <c r="M2054" s="27"/>
      <c r="N2054" s="40"/>
      <c r="O2054" s="27"/>
      <c r="P2054" s="27"/>
      <c r="Q2054" s="41"/>
      <c r="R2054" s="40"/>
    </row>
    <row r="2055" spans="1:18" ht="30" customHeight="1" x14ac:dyDescent="0.3">
      <c r="A2055" s="26" t="str">
        <f t="shared" si="62"/>
        <v/>
      </c>
      <c r="B2055" s="26">
        <f>COUNTIFS($A$4:A2055,A2055)</f>
        <v>892</v>
      </c>
      <c r="C2055" s="26" t="str">
        <f t="shared" si="63"/>
        <v>892</v>
      </c>
      <c r="E2055" s="26"/>
      <c r="F2055" s="26"/>
      <c r="H2055" s="27"/>
      <c r="I2055" s="27"/>
      <c r="J2055" s="27"/>
      <c r="K2055" s="27"/>
      <c r="L2055" s="27"/>
      <c r="M2055" s="27"/>
      <c r="N2055" s="40"/>
      <c r="O2055" s="27"/>
      <c r="P2055" s="27"/>
      <c r="Q2055" s="41"/>
      <c r="R2055" s="40"/>
    </row>
    <row r="2056" spans="1:18" ht="30" customHeight="1" x14ac:dyDescent="0.3">
      <c r="A2056" s="26" t="str">
        <f t="shared" si="62"/>
        <v/>
      </c>
      <c r="B2056" s="26">
        <f>COUNTIFS($A$4:A2056,A2056)</f>
        <v>893</v>
      </c>
      <c r="C2056" s="26" t="str">
        <f t="shared" si="63"/>
        <v>893</v>
      </c>
      <c r="E2056" s="26"/>
      <c r="F2056" s="26"/>
      <c r="H2056" s="27"/>
      <c r="I2056" s="27"/>
      <c r="J2056" s="27"/>
      <c r="K2056" s="27"/>
      <c r="L2056" s="27"/>
      <c r="M2056" s="27"/>
      <c r="N2056" s="40"/>
      <c r="O2056" s="27"/>
      <c r="P2056" s="27"/>
      <c r="Q2056" s="41"/>
      <c r="R2056" s="40"/>
    </row>
    <row r="2057" spans="1:18" ht="30" customHeight="1" x14ac:dyDescent="0.3">
      <c r="A2057" s="26" t="str">
        <f t="shared" si="62"/>
        <v/>
      </c>
      <c r="B2057" s="26">
        <f>COUNTIFS($A$4:A2057,A2057)</f>
        <v>894</v>
      </c>
      <c r="C2057" s="26" t="str">
        <f t="shared" si="63"/>
        <v>894</v>
      </c>
      <c r="E2057" s="26"/>
      <c r="F2057" s="26"/>
      <c r="H2057" s="27"/>
      <c r="I2057" s="27"/>
      <c r="J2057" s="27"/>
      <c r="K2057" s="27"/>
      <c r="L2057" s="27"/>
      <c r="M2057" s="27"/>
      <c r="N2057" s="40"/>
      <c r="O2057" s="27"/>
      <c r="P2057" s="27"/>
      <c r="Q2057" s="41"/>
      <c r="R2057" s="40"/>
    </row>
    <row r="2058" spans="1:18" ht="30" customHeight="1" x14ac:dyDescent="0.3">
      <c r="A2058" s="26" t="str">
        <f t="shared" si="62"/>
        <v/>
      </c>
      <c r="B2058" s="26">
        <f>COUNTIFS($A$4:A2058,A2058)</f>
        <v>895</v>
      </c>
      <c r="C2058" s="26" t="str">
        <f t="shared" si="63"/>
        <v>895</v>
      </c>
      <c r="E2058" s="26"/>
      <c r="F2058" s="26"/>
      <c r="H2058" s="27"/>
      <c r="I2058" s="27"/>
      <c r="J2058" s="27"/>
      <c r="K2058" s="27"/>
      <c r="L2058" s="27"/>
      <c r="M2058" s="27"/>
      <c r="N2058" s="40"/>
      <c r="O2058" s="27"/>
      <c r="P2058" s="27"/>
      <c r="Q2058" s="41"/>
      <c r="R2058" s="40"/>
    </row>
    <row r="2059" spans="1:18" ht="30" customHeight="1" x14ac:dyDescent="0.3">
      <c r="A2059" s="26" t="str">
        <f t="shared" si="62"/>
        <v/>
      </c>
      <c r="B2059" s="26">
        <f>COUNTIFS($A$4:A2059,A2059)</f>
        <v>896</v>
      </c>
      <c r="C2059" s="26" t="str">
        <f t="shared" si="63"/>
        <v>896</v>
      </c>
      <c r="E2059" s="26"/>
      <c r="F2059" s="26"/>
      <c r="H2059" s="27"/>
      <c r="I2059" s="27"/>
      <c r="J2059" s="27"/>
      <c r="K2059" s="27"/>
      <c r="L2059" s="27"/>
      <c r="M2059" s="27"/>
      <c r="N2059" s="40"/>
      <c r="O2059" s="27"/>
      <c r="P2059" s="27"/>
      <c r="Q2059" s="41"/>
      <c r="R2059" s="40"/>
    </row>
    <row r="2060" spans="1:18" ht="30" customHeight="1" x14ac:dyDescent="0.3">
      <c r="A2060" s="26" t="str">
        <f t="shared" si="62"/>
        <v/>
      </c>
      <c r="B2060" s="26">
        <f>COUNTIFS($A$4:A2060,A2060)</f>
        <v>897</v>
      </c>
      <c r="C2060" s="26" t="str">
        <f t="shared" si="63"/>
        <v>897</v>
      </c>
      <c r="E2060" s="26"/>
      <c r="F2060" s="26"/>
      <c r="H2060" s="27"/>
      <c r="I2060" s="27"/>
      <c r="J2060" s="27"/>
      <c r="K2060" s="27"/>
      <c r="L2060" s="27"/>
      <c r="M2060" s="27"/>
      <c r="N2060" s="40"/>
      <c r="O2060" s="27"/>
      <c r="P2060" s="27"/>
      <c r="Q2060" s="41"/>
      <c r="R2060" s="40"/>
    </row>
    <row r="2061" spans="1:18" ht="30" customHeight="1" x14ac:dyDescent="0.3">
      <c r="A2061" s="26" t="str">
        <f t="shared" si="62"/>
        <v/>
      </c>
      <c r="B2061" s="26">
        <f>COUNTIFS($A$4:A2061,A2061)</f>
        <v>898</v>
      </c>
      <c r="C2061" s="26" t="str">
        <f t="shared" si="63"/>
        <v>898</v>
      </c>
      <c r="E2061" s="26"/>
      <c r="F2061" s="26"/>
      <c r="H2061" s="27"/>
      <c r="I2061" s="27"/>
      <c r="J2061" s="27"/>
      <c r="K2061" s="27"/>
      <c r="L2061" s="27"/>
      <c r="M2061" s="27"/>
      <c r="N2061" s="40"/>
      <c r="O2061" s="27"/>
      <c r="P2061" s="27"/>
      <c r="Q2061" s="41"/>
      <c r="R2061" s="40"/>
    </row>
    <row r="2062" spans="1:18" ht="30" customHeight="1" x14ac:dyDescent="0.3">
      <c r="A2062" s="26" t="str">
        <f t="shared" si="62"/>
        <v/>
      </c>
      <c r="B2062" s="26">
        <f>COUNTIFS($A$4:A2062,A2062)</f>
        <v>899</v>
      </c>
      <c r="C2062" s="26" t="str">
        <f t="shared" si="63"/>
        <v>899</v>
      </c>
      <c r="E2062" s="26"/>
      <c r="F2062" s="26"/>
      <c r="H2062" s="27"/>
      <c r="I2062" s="27"/>
      <c r="J2062" s="27"/>
      <c r="K2062" s="27"/>
      <c r="L2062" s="27"/>
      <c r="M2062" s="27"/>
      <c r="N2062" s="40"/>
      <c r="O2062" s="27"/>
      <c r="P2062" s="27"/>
      <c r="Q2062" s="41"/>
      <c r="R2062" s="40"/>
    </row>
    <row r="2063" spans="1:18" ht="30" customHeight="1" x14ac:dyDescent="0.3">
      <c r="A2063" s="26" t="str">
        <f t="shared" si="62"/>
        <v/>
      </c>
      <c r="B2063" s="26">
        <f>COUNTIFS($A$4:A2063,A2063)</f>
        <v>900</v>
      </c>
      <c r="C2063" s="26" t="str">
        <f t="shared" si="63"/>
        <v>900</v>
      </c>
      <c r="E2063" s="26"/>
      <c r="F2063" s="26"/>
      <c r="H2063" s="27"/>
      <c r="I2063" s="27"/>
      <c r="J2063" s="27"/>
      <c r="K2063" s="27"/>
      <c r="L2063" s="27"/>
      <c r="M2063" s="27"/>
      <c r="N2063" s="40"/>
      <c r="O2063" s="27"/>
      <c r="P2063" s="27"/>
      <c r="Q2063" s="41"/>
      <c r="R2063" s="40"/>
    </row>
    <row r="2064" spans="1:18" ht="30" customHeight="1" x14ac:dyDescent="0.3">
      <c r="A2064" s="26" t="str">
        <f t="shared" si="62"/>
        <v/>
      </c>
      <c r="B2064" s="26">
        <f>COUNTIFS($A$4:A2064,A2064)</f>
        <v>901</v>
      </c>
      <c r="C2064" s="26" t="str">
        <f t="shared" si="63"/>
        <v>901</v>
      </c>
      <c r="E2064" s="26"/>
      <c r="F2064" s="26"/>
      <c r="H2064" s="27"/>
      <c r="I2064" s="27"/>
      <c r="J2064" s="27"/>
      <c r="K2064" s="27"/>
      <c r="L2064" s="27"/>
      <c r="M2064" s="27"/>
      <c r="N2064" s="40"/>
      <c r="O2064" s="27"/>
      <c r="P2064" s="27"/>
      <c r="Q2064" s="41"/>
      <c r="R2064" s="40"/>
    </row>
    <row r="2065" spans="1:18" ht="30" customHeight="1" x14ac:dyDescent="0.3">
      <c r="A2065" s="26" t="str">
        <f t="shared" ref="A2065:A2128" si="64">I2065&amp;H2065</f>
        <v/>
      </c>
      <c r="B2065" s="26">
        <f>COUNTIFS($A$4:A2065,A2065)</f>
        <v>902</v>
      </c>
      <c r="C2065" s="26" t="str">
        <f t="shared" ref="C2065:C2128" si="65">A2065&amp;B2065</f>
        <v>902</v>
      </c>
      <c r="E2065" s="26"/>
      <c r="F2065" s="26"/>
      <c r="H2065" s="27"/>
      <c r="I2065" s="27"/>
      <c r="J2065" s="27"/>
      <c r="K2065" s="27"/>
      <c r="L2065" s="27"/>
      <c r="M2065" s="27"/>
      <c r="N2065" s="40"/>
      <c r="O2065" s="27"/>
      <c r="P2065" s="27"/>
      <c r="Q2065" s="41"/>
      <c r="R2065" s="40"/>
    </row>
    <row r="2066" spans="1:18" ht="30" customHeight="1" x14ac:dyDescent="0.3">
      <c r="A2066" s="26" t="str">
        <f t="shared" si="64"/>
        <v/>
      </c>
      <c r="B2066" s="26">
        <f>COUNTIFS($A$4:A2066,A2066)</f>
        <v>903</v>
      </c>
      <c r="C2066" s="26" t="str">
        <f t="shared" si="65"/>
        <v>903</v>
      </c>
      <c r="E2066" s="26"/>
      <c r="F2066" s="26"/>
      <c r="H2066" s="27"/>
      <c r="I2066" s="27"/>
      <c r="J2066" s="27"/>
      <c r="K2066" s="27"/>
      <c r="L2066" s="27"/>
      <c r="M2066" s="27"/>
      <c r="N2066" s="40"/>
      <c r="O2066" s="27"/>
      <c r="P2066" s="27"/>
      <c r="Q2066" s="41"/>
      <c r="R2066" s="40"/>
    </row>
    <row r="2067" spans="1:18" ht="30" customHeight="1" x14ac:dyDescent="0.3">
      <c r="A2067" s="26" t="str">
        <f t="shared" si="64"/>
        <v/>
      </c>
      <c r="B2067" s="26">
        <f>COUNTIFS($A$4:A2067,A2067)</f>
        <v>904</v>
      </c>
      <c r="C2067" s="26" t="str">
        <f t="shared" si="65"/>
        <v>904</v>
      </c>
      <c r="E2067" s="26"/>
      <c r="F2067" s="26"/>
      <c r="H2067" s="27"/>
      <c r="I2067" s="27"/>
      <c r="J2067" s="27"/>
      <c r="K2067" s="27"/>
      <c r="L2067" s="27"/>
      <c r="M2067" s="27"/>
      <c r="N2067" s="40"/>
      <c r="O2067" s="27"/>
      <c r="P2067" s="27"/>
      <c r="Q2067" s="41"/>
      <c r="R2067" s="40"/>
    </row>
    <row r="2068" spans="1:18" ht="30" customHeight="1" x14ac:dyDescent="0.3">
      <c r="A2068" s="26" t="str">
        <f t="shared" si="64"/>
        <v/>
      </c>
      <c r="B2068" s="26">
        <f>COUNTIFS($A$4:A2068,A2068)</f>
        <v>905</v>
      </c>
      <c r="C2068" s="26" t="str">
        <f t="shared" si="65"/>
        <v>905</v>
      </c>
      <c r="E2068" s="26"/>
      <c r="F2068" s="26"/>
      <c r="H2068" s="27"/>
      <c r="I2068" s="27"/>
      <c r="J2068" s="27"/>
      <c r="K2068" s="27"/>
      <c r="L2068" s="27"/>
      <c r="M2068" s="27"/>
      <c r="N2068" s="40"/>
      <c r="O2068" s="27"/>
      <c r="P2068" s="27"/>
      <c r="Q2068" s="41"/>
      <c r="R2068" s="40"/>
    </row>
    <row r="2069" spans="1:18" ht="30" customHeight="1" x14ac:dyDescent="0.3">
      <c r="A2069" s="26" t="str">
        <f t="shared" si="64"/>
        <v/>
      </c>
      <c r="B2069" s="26">
        <f>COUNTIFS($A$4:A2069,A2069)</f>
        <v>906</v>
      </c>
      <c r="C2069" s="26" t="str">
        <f t="shared" si="65"/>
        <v>906</v>
      </c>
      <c r="E2069" s="26"/>
      <c r="F2069" s="26"/>
      <c r="H2069" s="27"/>
      <c r="I2069" s="27"/>
      <c r="J2069" s="27"/>
      <c r="K2069" s="27"/>
      <c r="L2069" s="27"/>
      <c r="M2069" s="27"/>
      <c r="N2069" s="40"/>
      <c r="O2069" s="27"/>
      <c r="P2069" s="27"/>
      <c r="Q2069" s="41"/>
      <c r="R2069" s="40"/>
    </row>
    <row r="2070" spans="1:18" ht="30" customHeight="1" x14ac:dyDescent="0.3">
      <c r="A2070" s="26" t="str">
        <f t="shared" si="64"/>
        <v/>
      </c>
      <c r="B2070" s="26">
        <f>COUNTIFS($A$4:A2070,A2070)</f>
        <v>907</v>
      </c>
      <c r="C2070" s="26" t="str">
        <f t="shared" si="65"/>
        <v>907</v>
      </c>
      <c r="E2070" s="26"/>
      <c r="F2070" s="26"/>
      <c r="H2070" s="27"/>
      <c r="I2070" s="27"/>
      <c r="J2070" s="27"/>
      <c r="K2070" s="27"/>
      <c r="L2070" s="27"/>
      <c r="M2070" s="27"/>
      <c r="N2070" s="40"/>
      <c r="O2070" s="27"/>
      <c r="P2070" s="27"/>
      <c r="Q2070" s="41"/>
      <c r="R2070" s="40"/>
    </row>
    <row r="2071" spans="1:18" ht="30" customHeight="1" x14ac:dyDescent="0.3">
      <c r="A2071" s="26" t="str">
        <f t="shared" si="64"/>
        <v/>
      </c>
      <c r="B2071" s="26">
        <f>COUNTIFS($A$4:A2071,A2071)</f>
        <v>908</v>
      </c>
      <c r="C2071" s="26" t="str">
        <f t="shared" si="65"/>
        <v>908</v>
      </c>
      <c r="E2071" s="26"/>
      <c r="F2071" s="26"/>
      <c r="H2071" s="27"/>
      <c r="I2071" s="27"/>
      <c r="J2071" s="27"/>
      <c r="K2071" s="27"/>
      <c r="L2071" s="27"/>
      <c r="M2071" s="27"/>
      <c r="N2071" s="40"/>
      <c r="O2071" s="27"/>
      <c r="P2071" s="27"/>
      <c r="Q2071" s="41"/>
      <c r="R2071" s="40"/>
    </row>
    <row r="2072" spans="1:18" ht="30" customHeight="1" x14ac:dyDescent="0.3">
      <c r="A2072" s="26" t="str">
        <f t="shared" si="64"/>
        <v/>
      </c>
      <c r="B2072" s="26">
        <f>COUNTIFS($A$4:A2072,A2072)</f>
        <v>909</v>
      </c>
      <c r="C2072" s="26" t="str">
        <f t="shared" si="65"/>
        <v>909</v>
      </c>
      <c r="E2072" s="26"/>
      <c r="F2072" s="26"/>
      <c r="H2072" s="27"/>
      <c r="I2072" s="27"/>
      <c r="J2072" s="27"/>
      <c r="K2072" s="27"/>
      <c r="L2072" s="27"/>
      <c r="M2072" s="27"/>
      <c r="N2072" s="40"/>
      <c r="O2072" s="27"/>
      <c r="P2072" s="27"/>
      <c r="Q2072" s="41"/>
      <c r="R2072" s="40"/>
    </row>
    <row r="2073" spans="1:18" ht="30" customHeight="1" x14ac:dyDescent="0.3">
      <c r="A2073" s="26" t="str">
        <f t="shared" si="64"/>
        <v/>
      </c>
      <c r="B2073" s="26">
        <f>COUNTIFS($A$4:A2073,A2073)</f>
        <v>910</v>
      </c>
      <c r="C2073" s="26" t="str">
        <f t="shared" si="65"/>
        <v>910</v>
      </c>
      <c r="E2073" s="26"/>
      <c r="F2073" s="26"/>
      <c r="H2073" s="27"/>
      <c r="I2073" s="27"/>
      <c r="J2073" s="27"/>
      <c r="K2073" s="27"/>
      <c r="L2073" s="27"/>
      <c r="M2073" s="27"/>
      <c r="N2073" s="40"/>
      <c r="O2073" s="27"/>
      <c r="P2073" s="27"/>
      <c r="Q2073" s="41"/>
      <c r="R2073" s="40"/>
    </row>
    <row r="2074" spans="1:18" ht="30" customHeight="1" x14ac:dyDescent="0.3">
      <c r="A2074" s="26" t="str">
        <f t="shared" si="64"/>
        <v/>
      </c>
      <c r="B2074" s="26">
        <f>COUNTIFS($A$4:A2074,A2074)</f>
        <v>911</v>
      </c>
      <c r="C2074" s="26" t="str">
        <f t="shared" si="65"/>
        <v>911</v>
      </c>
      <c r="E2074" s="26"/>
      <c r="F2074" s="26"/>
      <c r="H2074" s="27"/>
      <c r="I2074" s="27"/>
      <c r="J2074" s="27"/>
      <c r="K2074" s="27"/>
      <c r="L2074" s="27"/>
      <c r="M2074" s="27"/>
      <c r="N2074" s="40"/>
      <c r="O2074" s="27"/>
      <c r="P2074" s="27"/>
      <c r="Q2074" s="41"/>
      <c r="R2074" s="40"/>
    </row>
    <row r="2075" spans="1:18" ht="30" customHeight="1" x14ac:dyDescent="0.3">
      <c r="A2075" s="26" t="str">
        <f t="shared" si="64"/>
        <v/>
      </c>
      <c r="B2075" s="26">
        <f>COUNTIFS($A$4:A2075,A2075)</f>
        <v>912</v>
      </c>
      <c r="C2075" s="26" t="str">
        <f t="shared" si="65"/>
        <v>912</v>
      </c>
      <c r="E2075" s="26"/>
      <c r="F2075" s="26"/>
      <c r="H2075" s="27"/>
      <c r="I2075" s="27"/>
      <c r="J2075" s="27"/>
      <c r="K2075" s="27"/>
      <c r="L2075" s="27"/>
      <c r="M2075" s="27"/>
      <c r="N2075" s="40"/>
      <c r="O2075" s="27"/>
      <c r="P2075" s="27"/>
      <c r="Q2075" s="41"/>
      <c r="R2075" s="40"/>
    </row>
    <row r="2076" spans="1:18" ht="30" customHeight="1" x14ac:dyDescent="0.3">
      <c r="A2076" s="26" t="str">
        <f t="shared" si="64"/>
        <v/>
      </c>
      <c r="B2076" s="26">
        <f>COUNTIFS($A$4:A2076,A2076)</f>
        <v>913</v>
      </c>
      <c r="C2076" s="26" t="str">
        <f t="shared" si="65"/>
        <v>913</v>
      </c>
      <c r="E2076" s="26"/>
      <c r="F2076" s="26"/>
      <c r="H2076" s="27"/>
      <c r="I2076" s="27"/>
      <c r="J2076" s="27"/>
      <c r="K2076" s="27"/>
      <c r="L2076" s="27"/>
      <c r="M2076" s="27"/>
      <c r="N2076" s="40"/>
      <c r="O2076" s="27"/>
      <c r="P2076" s="27"/>
      <c r="Q2076" s="41"/>
      <c r="R2076" s="40"/>
    </row>
    <row r="2077" spans="1:18" ht="30" customHeight="1" x14ac:dyDescent="0.3">
      <c r="A2077" s="26" t="str">
        <f t="shared" si="64"/>
        <v/>
      </c>
      <c r="B2077" s="26">
        <f>COUNTIFS($A$4:A2077,A2077)</f>
        <v>914</v>
      </c>
      <c r="C2077" s="26" t="str">
        <f t="shared" si="65"/>
        <v>914</v>
      </c>
      <c r="E2077" s="26"/>
      <c r="F2077" s="26"/>
      <c r="H2077" s="27"/>
      <c r="I2077" s="27"/>
      <c r="J2077" s="27"/>
      <c r="K2077" s="27"/>
      <c r="L2077" s="27"/>
      <c r="M2077" s="27"/>
      <c r="N2077" s="40"/>
      <c r="O2077" s="27"/>
      <c r="P2077" s="27"/>
      <c r="Q2077" s="41"/>
      <c r="R2077" s="40"/>
    </row>
    <row r="2078" spans="1:18" ht="30" customHeight="1" x14ac:dyDescent="0.3">
      <c r="A2078" s="26" t="str">
        <f t="shared" si="64"/>
        <v/>
      </c>
      <c r="B2078" s="26">
        <f>COUNTIFS($A$4:A2078,A2078)</f>
        <v>915</v>
      </c>
      <c r="C2078" s="26" t="str">
        <f t="shared" si="65"/>
        <v>915</v>
      </c>
      <c r="E2078" s="26"/>
      <c r="F2078" s="26"/>
      <c r="H2078" s="27"/>
      <c r="I2078" s="27"/>
      <c r="J2078" s="27"/>
      <c r="K2078" s="27"/>
      <c r="L2078" s="27"/>
      <c r="M2078" s="27"/>
      <c r="N2078" s="40"/>
      <c r="O2078" s="27"/>
      <c r="P2078" s="27"/>
      <c r="Q2078" s="41"/>
      <c r="R2078" s="40"/>
    </row>
    <row r="2079" spans="1:18" ht="30" customHeight="1" x14ac:dyDescent="0.3">
      <c r="A2079" s="26" t="str">
        <f t="shared" si="64"/>
        <v/>
      </c>
      <c r="B2079" s="26">
        <f>COUNTIFS($A$4:A2079,A2079)</f>
        <v>916</v>
      </c>
      <c r="C2079" s="26" t="str">
        <f t="shared" si="65"/>
        <v>916</v>
      </c>
      <c r="E2079" s="26"/>
      <c r="F2079" s="26"/>
      <c r="H2079" s="27"/>
      <c r="I2079" s="27"/>
      <c r="J2079" s="27"/>
      <c r="K2079" s="27"/>
      <c r="L2079" s="27"/>
      <c r="M2079" s="27"/>
      <c r="N2079" s="40"/>
      <c r="O2079" s="27"/>
      <c r="P2079" s="27"/>
      <c r="Q2079" s="41"/>
      <c r="R2079" s="40"/>
    </row>
    <row r="2080" spans="1:18" ht="30" customHeight="1" x14ac:dyDescent="0.3">
      <c r="A2080" s="26" t="str">
        <f t="shared" si="64"/>
        <v/>
      </c>
      <c r="B2080" s="26">
        <f>COUNTIFS($A$4:A2080,A2080)</f>
        <v>917</v>
      </c>
      <c r="C2080" s="26" t="str">
        <f t="shared" si="65"/>
        <v>917</v>
      </c>
      <c r="E2080" s="26"/>
      <c r="F2080" s="26"/>
      <c r="H2080" s="27"/>
      <c r="I2080" s="27"/>
      <c r="J2080" s="27"/>
      <c r="K2080" s="27"/>
      <c r="L2080" s="27"/>
      <c r="M2080" s="27"/>
      <c r="N2080" s="40"/>
      <c r="O2080" s="27"/>
      <c r="P2080" s="27"/>
      <c r="Q2080" s="41"/>
      <c r="R2080" s="40"/>
    </row>
    <row r="2081" spans="1:18" ht="30" customHeight="1" x14ac:dyDescent="0.3">
      <c r="A2081" s="26" t="str">
        <f t="shared" si="64"/>
        <v/>
      </c>
      <c r="B2081" s="26">
        <f>COUNTIFS($A$4:A2081,A2081)</f>
        <v>918</v>
      </c>
      <c r="C2081" s="26" t="str">
        <f t="shared" si="65"/>
        <v>918</v>
      </c>
      <c r="E2081" s="26"/>
      <c r="F2081" s="26"/>
      <c r="H2081" s="27"/>
      <c r="I2081" s="27"/>
      <c r="J2081" s="27"/>
      <c r="K2081" s="27"/>
      <c r="L2081" s="27"/>
      <c r="M2081" s="27"/>
      <c r="N2081" s="40"/>
      <c r="O2081" s="27"/>
      <c r="P2081" s="27"/>
      <c r="Q2081" s="41"/>
      <c r="R2081" s="40"/>
    </row>
    <row r="2082" spans="1:18" ht="30" customHeight="1" x14ac:dyDescent="0.3">
      <c r="A2082" s="26" t="str">
        <f t="shared" si="64"/>
        <v/>
      </c>
      <c r="B2082" s="26">
        <f>COUNTIFS($A$4:A2082,A2082)</f>
        <v>919</v>
      </c>
      <c r="C2082" s="26" t="str">
        <f t="shared" si="65"/>
        <v>919</v>
      </c>
      <c r="E2082" s="26"/>
      <c r="F2082" s="26"/>
      <c r="H2082" s="27"/>
      <c r="I2082" s="27"/>
      <c r="J2082" s="27"/>
      <c r="K2082" s="27"/>
      <c r="L2082" s="27"/>
      <c r="M2082" s="27"/>
      <c r="N2082" s="40"/>
      <c r="O2082" s="27"/>
      <c r="P2082" s="27"/>
      <c r="Q2082" s="41"/>
      <c r="R2082" s="40"/>
    </row>
    <row r="2083" spans="1:18" ht="30" customHeight="1" x14ac:dyDescent="0.3">
      <c r="A2083" s="26" t="str">
        <f t="shared" si="64"/>
        <v/>
      </c>
      <c r="B2083" s="26">
        <f>COUNTIFS($A$4:A2083,A2083)</f>
        <v>920</v>
      </c>
      <c r="C2083" s="26" t="str">
        <f t="shared" si="65"/>
        <v>920</v>
      </c>
      <c r="E2083" s="26"/>
      <c r="F2083" s="26"/>
      <c r="H2083" s="27"/>
      <c r="I2083" s="27"/>
      <c r="J2083" s="27"/>
      <c r="K2083" s="27"/>
      <c r="L2083" s="27"/>
      <c r="M2083" s="27"/>
      <c r="N2083" s="40"/>
      <c r="O2083" s="27"/>
      <c r="P2083" s="27"/>
      <c r="Q2083" s="41"/>
      <c r="R2083" s="40"/>
    </row>
    <row r="2084" spans="1:18" ht="30" customHeight="1" x14ac:dyDescent="0.3">
      <c r="A2084" s="26" t="str">
        <f t="shared" si="64"/>
        <v/>
      </c>
      <c r="B2084" s="26">
        <f>COUNTIFS($A$4:A2084,A2084)</f>
        <v>921</v>
      </c>
      <c r="C2084" s="26" t="str">
        <f t="shared" si="65"/>
        <v>921</v>
      </c>
      <c r="E2084" s="26"/>
      <c r="F2084" s="26"/>
      <c r="H2084" s="27"/>
      <c r="I2084" s="27"/>
      <c r="J2084" s="27"/>
      <c r="K2084" s="27"/>
      <c r="L2084" s="27"/>
      <c r="M2084" s="27"/>
      <c r="N2084" s="40"/>
      <c r="O2084" s="27"/>
      <c r="P2084" s="27"/>
      <c r="Q2084" s="41"/>
      <c r="R2084" s="40"/>
    </row>
    <row r="2085" spans="1:18" ht="30" customHeight="1" x14ac:dyDescent="0.3">
      <c r="A2085" s="26" t="str">
        <f t="shared" si="64"/>
        <v/>
      </c>
      <c r="B2085" s="26">
        <f>COUNTIFS($A$4:A2085,A2085)</f>
        <v>922</v>
      </c>
      <c r="C2085" s="26" t="str">
        <f t="shared" si="65"/>
        <v>922</v>
      </c>
      <c r="E2085" s="26"/>
      <c r="F2085" s="26"/>
      <c r="H2085" s="27"/>
      <c r="I2085" s="27"/>
      <c r="J2085" s="27"/>
      <c r="K2085" s="27"/>
      <c r="L2085" s="27"/>
      <c r="M2085" s="27"/>
      <c r="N2085" s="40"/>
      <c r="O2085" s="27"/>
      <c r="P2085" s="27"/>
      <c r="Q2085" s="41"/>
      <c r="R2085" s="40"/>
    </row>
    <row r="2086" spans="1:18" ht="30" customHeight="1" x14ac:dyDescent="0.3">
      <c r="A2086" s="26" t="str">
        <f t="shared" si="64"/>
        <v/>
      </c>
      <c r="B2086" s="26">
        <f>COUNTIFS($A$4:A2086,A2086)</f>
        <v>923</v>
      </c>
      <c r="C2086" s="26" t="str">
        <f t="shared" si="65"/>
        <v>923</v>
      </c>
      <c r="E2086" s="26"/>
      <c r="F2086" s="26"/>
      <c r="H2086" s="27"/>
      <c r="I2086" s="27"/>
      <c r="J2086" s="27"/>
      <c r="K2086" s="27"/>
      <c r="L2086" s="27"/>
      <c r="M2086" s="27"/>
      <c r="N2086" s="40"/>
      <c r="O2086" s="27"/>
      <c r="P2086" s="27"/>
      <c r="Q2086" s="41"/>
      <c r="R2086" s="40"/>
    </row>
    <row r="2087" spans="1:18" ht="30" customHeight="1" x14ac:dyDescent="0.3">
      <c r="A2087" s="26" t="str">
        <f t="shared" si="64"/>
        <v/>
      </c>
      <c r="B2087" s="26">
        <f>COUNTIFS($A$4:A2087,A2087)</f>
        <v>924</v>
      </c>
      <c r="C2087" s="26" t="str">
        <f t="shared" si="65"/>
        <v>924</v>
      </c>
      <c r="E2087" s="26"/>
      <c r="F2087" s="26"/>
      <c r="H2087" s="27"/>
      <c r="I2087" s="27"/>
      <c r="J2087" s="27"/>
      <c r="K2087" s="27"/>
      <c r="L2087" s="27"/>
      <c r="M2087" s="27"/>
      <c r="N2087" s="40"/>
      <c r="O2087" s="27"/>
      <c r="P2087" s="27"/>
      <c r="Q2087" s="41"/>
      <c r="R2087" s="40"/>
    </row>
    <row r="2088" spans="1:18" ht="30" customHeight="1" x14ac:dyDescent="0.3">
      <c r="A2088" s="26" t="str">
        <f t="shared" si="64"/>
        <v/>
      </c>
      <c r="B2088" s="26">
        <f>COUNTIFS($A$4:A2088,A2088)</f>
        <v>925</v>
      </c>
      <c r="C2088" s="26" t="str">
        <f t="shared" si="65"/>
        <v>925</v>
      </c>
      <c r="E2088" s="26"/>
      <c r="F2088" s="26"/>
      <c r="H2088" s="27"/>
      <c r="I2088" s="27"/>
      <c r="J2088" s="27"/>
      <c r="K2088" s="27"/>
      <c r="L2088" s="27"/>
      <c r="M2088" s="27"/>
      <c r="N2088" s="40"/>
      <c r="O2088" s="27"/>
      <c r="P2088" s="27"/>
      <c r="Q2088" s="41"/>
      <c r="R2088" s="40"/>
    </row>
    <row r="2089" spans="1:18" ht="30" customHeight="1" x14ac:dyDescent="0.3">
      <c r="A2089" s="26" t="str">
        <f t="shared" si="64"/>
        <v/>
      </c>
      <c r="B2089" s="26">
        <f>COUNTIFS($A$4:A2089,A2089)</f>
        <v>926</v>
      </c>
      <c r="C2089" s="26" t="str">
        <f t="shared" si="65"/>
        <v>926</v>
      </c>
      <c r="E2089" s="26"/>
      <c r="F2089" s="26"/>
      <c r="H2089" s="27"/>
      <c r="I2089" s="27"/>
      <c r="J2089" s="27"/>
      <c r="K2089" s="27"/>
      <c r="L2089" s="27"/>
      <c r="M2089" s="27"/>
      <c r="N2089" s="40"/>
      <c r="O2089" s="27"/>
      <c r="P2089" s="27"/>
      <c r="Q2089" s="41"/>
      <c r="R2089" s="40"/>
    </row>
    <row r="2090" spans="1:18" ht="30" customHeight="1" x14ac:dyDescent="0.3">
      <c r="A2090" s="26" t="str">
        <f t="shared" si="64"/>
        <v/>
      </c>
      <c r="B2090" s="26">
        <f>COUNTIFS($A$4:A2090,A2090)</f>
        <v>927</v>
      </c>
      <c r="C2090" s="26" t="str">
        <f t="shared" si="65"/>
        <v>927</v>
      </c>
      <c r="E2090" s="26"/>
      <c r="F2090" s="26"/>
      <c r="H2090" s="27"/>
      <c r="I2090" s="27"/>
      <c r="J2090" s="27"/>
      <c r="K2090" s="27"/>
      <c r="L2090" s="27"/>
      <c r="M2090" s="27"/>
      <c r="N2090" s="40"/>
      <c r="O2090" s="27"/>
      <c r="P2090" s="27"/>
      <c r="Q2090" s="41"/>
      <c r="R2090" s="40"/>
    </row>
    <row r="2091" spans="1:18" ht="30" customHeight="1" x14ac:dyDescent="0.3">
      <c r="A2091" s="26" t="str">
        <f t="shared" si="64"/>
        <v/>
      </c>
      <c r="B2091" s="26">
        <f>COUNTIFS($A$4:A2091,A2091)</f>
        <v>928</v>
      </c>
      <c r="C2091" s="26" t="str">
        <f t="shared" si="65"/>
        <v>928</v>
      </c>
      <c r="E2091" s="26"/>
      <c r="F2091" s="26"/>
      <c r="H2091" s="27"/>
      <c r="I2091" s="27"/>
      <c r="J2091" s="27"/>
      <c r="K2091" s="27"/>
      <c r="L2091" s="27"/>
      <c r="M2091" s="27"/>
      <c r="N2091" s="40"/>
      <c r="O2091" s="27"/>
      <c r="P2091" s="27"/>
      <c r="Q2091" s="41"/>
      <c r="R2091" s="40"/>
    </row>
    <row r="2092" spans="1:18" ht="30" customHeight="1" x14ac:dyDescent="0.3">
      <c r="A2092" s="26" t="str">
        <f t="shared" si="64"/>
        <v/>
      </c>
      <c r="B2092" s="26">
        <f>COUNTIFS($A$4:A2092,A2092)</f>
        <v>929</v>
      </c>
      <c r="C2092" s="26" t="str">
        <f t="shared" si="65"/>
        <v>929</v>
      </c>
      <c r="E2092" s="26"/>
      <c r="F2092" s="26"/>
      <c r="H2092" s="27"/>
      <c r="I2092" s="27"/>
      <c r="J2092" s="27"/>
      <c r="K2092" s="27"/>
      <c r="L2092" s="27"/>
      <c r="M2092" s="27"/>
      <c r="N2092" s="40"/>
      <c r="O2092" s="27"/>
      <c r="P2092" s="27"/>
      <c r="Q2092" s="41"/>
      <c r="R2092" s="40"/>
    </row>
    <row r="2093" spans="1:18" ht="30" customHeight="1" x14ac:dyDescent="0.3">
      <c r="A2093" s="26" t="str">
        <f t="shared" si="64"/>
        <v/>
      </c>
      <c r="B2093" s="26">
        <f>COUNTIFS($A$4:A2093,A2093)</f>
        <v>930</v>
      </c>
      <c r="C2093" s="26" t="str">
        <f t="shared" si="65"/>
        <v>930</v>
      </c>
      <c r="E2093" s="26"/>
      <c r="F2093" s="26"/>
      <c r="H2093" s="27"/>
      <c r="I2093" s="27"/>
      <c r="J2093" s="27"/>
      <c r="K2093" s="27"/>
      <c r="L2093" s="27"/>
      <c r="M2093" s="27"/>
      <c r="N2093" s="40"/>
      <c r="O2093" s="27"/>
      <c r="P2093" s="27"/>
      <c r="Q2093" s="41"/>
      <c r="R2093" s="40"/>
    </row>
    <row r="2094" spans="1:18" ht="30" customHeight="1" x14ac:dyDescent="0.3">
      <c r="A2094" s="26" t="str">
        <f t="shared" si="64"/>
        <v/>
      </c>
      <c r="B2094" s="26">
        <f>COUNTIFS($A$4:A2094,A2094)</f>
        <v>931</v>
      </c>
      <c r="C2094" s="26" t="str">
        <f t="shared" si="65"/>
        <v>931</v>
      </c>
      <c r="E2094" s="26"/>
      <c r="F2094" s="26"/>
      <c r="H2094" s="27"/>
      <c r="I2094" s="27"/>
      <c r="J2094" s="27"/>
      <c r="K2094" s="27"/>
      <c r="L2094" s="27"/>
      <c r="M2094" s="27"/>
      <c r="N2094" s="40"/>
      <c r="O2094" s="27"/>
      <c r="P2094" s="27"/>
      <c r="Q2094" s="41"/>
      <c r="R2094" s="40"/>
    </row>
    <row r="2095" spans="1:18" ht="30" customHeight="1" x14ac:dyDescent="0.3">
      <c r="A2095" s="26" t="str">
        <f t="shared" si="64"/>
        <v/>
      </c>
      <c r="B2095" s="26">
        <f>COUNTIFS($A$4:A2095,A2095)</f>
        <v>932</v>
      </c>
      <c r="C2095" s="26" t="str">
        <f t="shared" si="65"/>
        <v>932</v>
      </c>
      <c r="E2095" s="26"/>
      <c r="F2095" s="26"/>
      <c r="H2095" s="27"/>
      <c r="I2095" s="27"/>
      <c r="J2095" s="27"/>
      <c r="K2095" s="27"/>
      <c r="L2095" s="27"/>
      <c r="M2095" s="27"/>
      <c r="N2095" s="40"/>
      <c r="O2095" s="27"/>
      <c r="P2095" s="27"/>
      <c r="Q2095" s="41"/>
      <c r="R2095" s="40"/>
    </row>
    <row r="2096" spans="1:18" ht="30" customHeight="1" x14ac:dyDescent="0.3">
      <c r="A2096" s="26" t="str">
        <f t="shared" si="64"/>
        <v/>
      </c>
      <c r="B2096" s="26">
        <f>COUNTIFS($A$4:A2096,A2096)</f>
        <v>933</v>
      </c>
      <c r="C2096" s="26" t="str">
        <f t="shared" si="65"/>
        <v>933</v>
      </c>
      <c r="E2096" s="26"/>
      <c r="F2096" s="26"/>
      <c r="H2096" s="27"/>
      <c r="I2096" s="27"/>
      <c r="J2096" s="27"/>
      <c r="K2096" s="27"/>
      <c r="L2096" s="27"/>
      <c r="M2096" s="27"/>
      <c r="N2096" s="40"/>
      <c r="O2096" s="27"/>
      <c r="P2096" s="27"/>
      <c r="Q2096" s="41"/>
      <c r="R2096" s="40"/>
    </row>
    <row r="2097" spans="1:18" ht="30" customHeight="1" x14ac:dyDescent="0.3">
      <c r="A2097" s="26" t="str">
        <f t="shared" si="64"/>
        <v/>
      </c>
      <c r="B2097" s="26">
        <f>COUNTIFS($A$4:A2097,A2097)</f>
        <v>934</v>
      </c>
      <c r="C2097" s="26" t="str">
        <f t="shared" si="65"/>
        <v>934</v>
      </c>
      <c r="E2097" s="26"/>
      <c r="F2097" s="26"/>
      <c r="H2097" s="27"/>
      <c r="I2097" s="27"/>
      <c r="J2097" s="27"/>
      <c r="K2097" s="27"/>
      <c r="L2097" s="27"/>
      <c r="M2097" s="27"/>
      <c r="N2097" s="40"/>
      <c r="O2097" s="27"/>
      <c r="P2097" s="27"/>
      <c r="Q2097" s="41"/>
      <c r="R2097" s="40"/>
    </row>
    <row r="2098" spans="1:18" ht="30" customHeight="1" x14ac:dyDescent="0.3">
      <c r="A2098" s="26" t="str">
        <f t="shared" si="64"/>
        <v/>
      </c>
      <c r="B2098" s="26">
        <f>COUNTIFS($A$4:A2098,A2098)</f>
        <v>935</v>
      </c>
      <c r="C2098" s="26" t="str">
        <f t="shared" si="65"/>
        <v>935</v>
      </c>
      <c r="E2098" s="26"/>
      <c r="F2098" s="26"/>
      <c r="H2098" s="27"/>
      <c r="I2098" s="27"/>
      <c r="J2098" s="27"/>
      <c r="K2098" s="27"/>
      <c r="L2098" s="27"/>
      <c r="M2098" s="27"/>
      <c r="N2098" s="40"/>
      <c r="O2098" s="27"/>
      <c r="P2098" s="27"/>
      <c r="Q2098" s="41"/>
      <c r="R2098" s="40"/>
    </row>
    <row r="2099" spans="1:18" ht="30" customHeight="1" x14ac:dyDescent="0.3">
      <c r="A2099" s="26" t="str">
        <f t="shared" si="64"/>
        <v/>
      </c>
      <c r="B2099" s="26">
        <f>COUNTIFS($A$4:A2099,A2099)</f>
        <v>936</v>
      </c>
      <c r="C2099" s="26" t="str">
        <f t="shared" si="65"/>
        <v>936</v>
      </c>
      <c r="E2099" s="26"/>
      <c r="F2099" s="26"/>
      <c r="H2099" s="27"/>
      <c r="I2099" s="27"/>
      <c r="J2099" s="27"/>
      <c r="K2099" s="27"/>
      <c r="L2099" s="27"/>
      <c r="M2099" s="27"/>
      <c r="N2099" s="40"/>
      <c r="O2099" s="27"/>
      <c r="P2099" s="27"/>
      <c r="Q2099" s="41"/>
      <c r="R2099" s="40"/>
    </row>
    <row r="2100" spans="1:18" ht="30" customHeight="1" x14ac:dyDescent="0.3">
      <c r="A2100" s="26" t="str">
        <f t="shared" si="64"/>
        <v/>
      </c>
      <c r="B2100" s="26">
        <f>COUNTIFS($A$4:A2100,A2100)</f>
        <v>937</v>
      </c>
      <c r="C2100" s="26" t="str">
        <f t="shared" si="65"/>
        <v>937</v>
      </c>
      <c r="E2100" s="26"/>
      <c r="F2100" s="26"/>
      <c r="H2100" s="27"/>
      <c r="I2100" s="27"/>
      <c r="J2100" s="27"/>
      <c r="K2100" s="27"/>
      <c r="L2100" s="27"/>
      <c r="M2100" s="27"/>
      <c r="N2100" s="40"/>
      <c r="O2100" s="27"/>
      <c r="P2100" s="27"/>
      <c r="Q2100" s="41"/>
      <c r="R2100" s="40"/>
    </row>
    <row r="2101" spans="1:18" ht="30" customHeight="1" x14ac:dyDescent="0.3">
      <c r="A2101" s="26" t="str">
        <f t="shared" si="64"/>
        <v/>
      </c>
      <c r="B2101" s="26">
        <f>COUNTIFS($A$4:A2101,A2101)</f>
        <v>938</v>
      </c>
      <c r="C2101" s="26" t="str">
        <f t="shared" si="65"/>
        <v>938</v>
      </c>
      <c r="E2101" s="26"/>
      <c r="F2101" s="26"/>
      <c r="H2101" s="27"/>
      <c r="I2101" s="27"/>
      <c r="J2101" s="27"/>
      <c r="K2101" s="27"/>
      <c r="L2101" s="27"/>
      <c r="M2101" s="27"/>
      <c r="N2101" s="40"/>
      <c r="O2101" s="27"/>
      <c r="P2101" s="27"/>
      <c r="Q2101" s="41"/>
      <c r="R2101" s="40"/>
    </row>
    <row r="2102" spans="1:18" ht="30" customHeight="1" x14ac:dyDescent="0.3">
      <c r="A2102" s="26" t="str">
        <f t="shared" si="64"/>
        <v/>
      </c>
      <c r="B2102" s="26">
        <f>COUNTIFS($A$4:A2102,A2102)</f>
        <v>939</v>
      </c>
      <c r="C2102" s="26" t="str">
        <f t="shared" si="65"/>
        <v>939</v>
      </c>
      <c r="E2102" s="26"/>
      <c r="F2102" s="26"/>
      <c r="H2102" s="27"/>
      <c r="I2102" s="27"/>
      <c r="J2102" s="27"/>
      <c r="K2102" s="27"/>
      <c r="L2102" s="27"/>
      <c r="M2102" s="27"/>
      <c r="N2102" s="40"/>
      <c r="O2102" s="27"/>
      <c r="P2102" s="27"/>
      <c r="Q2102" s="41"/>
      <c r="R2102" s="40"/>
    </row>
    <row r="2103" spans="1:18" ht="30" customHeight="1" x14ac:dyDescent="0.3">
      <c r="A2103" s="26" t="str">
        <f t="shared" si="64"/>
        <v/>
      </c>
      <c r="B2103" s="26">
        <f>COUNTIFS($A$4:A2103,A2103)</f>
        <v>940</v>
      </c>
      <c r="C2103" s="26" t="str">
        <f t="shared" si="65"/>
        <v>940</v>
      </c>
      <c r="E2103" s="26"/>
      <c r="F2103" s="26"/>
      <c r="H2103" s="27"/>
      <c r="I2103" s="27"/>
      <c r="J2103" s="27"/>
      <c r="K2103" s="27"/>
      <c r="L2103" s="27"/>
      <c r="M2103" s="27"/>
      <c r="N2103" s="40"/>
      <c r="O2103" s="27"/>
      <c r="P2103" s="27"/>
      <c r="Q2103" s="41"/>
      <c r="R2103" s="40"/>
    </row>
    <row r="2104" spans="1:18" ht="30" customHeight="1" x14ac:dyDescent="0.3">
      <c r="A2104" s="26" t="str">
        <f t="shared" si="64"/>
        <v/>
      </c>
      <c r="B2104" s="26">
        <f>COUNTIFS($A$4:A2104,A2104)</f>
        <v>941</v>
      </c>
      <c r="C2104" s="26" t="str">
        <f t="shared" si="65"/>
        <v>941</v>
      </c>
      <c r="E2104" s="26"/>
      <c r="F2104" s="26"/>
      <c r="H2104" s="27"/>
      <c r="I2104" s="27"/>
      <c r="J2104" s="27"/>
      <c r="K2104" s="27"/>
      <c r="L2104" s="27"/>
      <c r="M2104" s="27"/>
      <c r="N2104" s="40"/>
      <c r="O2104" s="27"/>
      <c r="P2104" s="27"/>
      <c r="Q2104" s="41"/>
      <c r="R2104" s="40"/>
    </row>
    <row r="2105" spans="1:18" ht="30" customHeight="1" x14ac:dyDescent="0.3">
      <c r="A2105" s="26" t="str">
        <f t="shared" si="64"/>
        <v/>
      </c>
      <c r="B2105" s="26">
        <f>COUNTIFS($A$4:A2105,A2105)</f>
        <v>942</v>
      </c>
      <c r="C2105" s="26" t="str">
        <f t="shared" si="65"/>
        <v>942</v>
      </c>
      <c r="E2105" s="26"/>
      <c r="F2105" s="26"/>
      <c r="H2105" s="27"/>
      <c r="I2105" s="27"/>
      <c r="J2105" s="27"/>
      <c r="K2105" s="27"/>
      <c r="L2105" s="27"/>
      <c r="M2105" s="27"/>
      <c r="N2105" s="40"/>
      <c r="O2105" s="27"/>
      <c r="P2105" s="27"/>
      <c r="Q2105" s="41"/>
      <c r="R2105" s="40"/>
    </row>
    <row r="2106" spans="1:18" ht="30" customHeight="1" x14ac:dyDescent="0.3">
      <c r="A2106" s="26" t="str">
        <f t="shared" si="64"/>
        <v/>
      </c>
      <c r="B2106" s="26">
        <f>COUNTIFS($A$4:A2106,A2106)</f>
        <v>943</v>
      </c>
      <c r="C2106" s="26" t="str">
        <f t="shared" si="65"/>
        <v>943</v>
      </c>
      <c r="E2106" s="26"/>
      <c r="F2106" s="26"/>
      <c r="H2106" s="27"/>
      <c r="I2106" s="27"/>
      <c r="J2106" s="27"/>
      <c r="K2106" s="27"/>
      <c r="L2106" s="27"/>
      <c r="M2106" s="27"/>
      <c r="N2106" s="40"/>
      <c r="O2106" s="27"/>
      <c r="P2106" s="27"/>
      <c r="Q2106" s="41"/>
      <c r="R2106" s="40"/>
    </row>
    <row r="2107" spans="1:18" ht="30" customHeight="1" x14ac:dyDescent="0.3">
      <c r="A2107" s="26" t="str">
        <f t="shared" si="64"/>
        <v/>
      </c>
      <c r="B2107" s="26">
        <f>COUNTIFS($A$4:A2107,A2107)</f>
        <v>944</v>
      </c>
      <c r="C2107" s="26" t="str">
        <f t="shared" si="65"/>
        <v>944</v>
      </c>
      <c r="E2107" s="26"/>
      <c r="F2107" s="26"/>
      <c r="H2107" s="27"/>
      <c r="I2107" s="27"/>
      <c r="J2107" s="27"/>
      <c r="K2107" s="27"/>
      <c r="L2107" s="27"/>
      <c r="M2107" s="27"/>
      <c r="N2107" s="40"/>
      <c r="O2107" s="27"/>
      <c r="P2107" s="27"/>
      <c r="Q2107" s="41"/>
      <c r="R2107" s="40"/>
    </row>
    <row r="2108" spans="1:18" ht="30" customHeight="1" x14ac:dyDescent="0.3">
      <c r="A2108" s="26" t="str">
        <f t="shared" si="64"/>
        <v/>
      </c>
      <c r="B2108" s="26">
        <f>COUNTIFS($A$4:A2108,A2108)</f>
        <v>945</v>
      </c>
      <c r="C2108" s="26" t="str">
        <f t="shared" si="65"/>
        <v>945</v>
      </c>
      <c r="E2108" s="26"/>
      <c r="F2108" s="26"/>
      <c r="H2108" s="27"/>
      <c r="I2108" s="27"/>
      <c r="J2108" s="27"/>
      <c r="K2108" s="27"/>
      <c r="L2108" s="27"/>
      <c r="M2108" s="27"/>
      <c r="N2108" s="40"/>
      <c r="O2108" s="27"/>
      <c r="P2108" s="27"/>
      <c r="Q2108" s="41"/>
      <c r="R2108" s="40"/>
    </row>
    <row r="2109" spans="1:18" ht="30" customHeight="1" x14ac:dyDescent="0.3">
      <c r="A2109" s="26" t="str">
        <f t="shared" si="64"/>
        <v/>
      </c>
      <c r="B2109" s="26">
        <f>COUNTIFS($A$4:A2109,A2109)</f>
        <v>946</v>
      </c>
      <c r="C2109" s="26" t="str">
        <f t="shared" si="65"/>
        <v>946</v>
      </c>
      <c r="E2109" s="26"/>
      <c r="F2109" s="26"/>
      <c r="H2109" s="27"/>
      <c r="I2109" s="27"/>
      <c r="J2109" s="27"/>
      <c r="K2109" s="27"/>
      <c r="L2109" s="27"/>
      <c r="M2109" s="27"/>
      <c r="N2109" s="40"/>
      <c r="O2109" s="27"/>
      <c r="P2109" s="27"/>
      <c r="Q2109" s="41"/>
      <c r="R2109" s="40"/>
    </row>
    <row r="2110" spans="1:18" ht="30" customHeight="1" x14ac:dyDescent="0.3">
      <c r="A2110" s="26" t="str">
        <f t="shared" si="64"/>
        <v/>
      </c>
      <c r="B2110" s="26">
        <f>COUNTIFS($A$4:A2110,A2110)</f>
        <v>947</v>
      </c>
      <c r="C2110" s="26" t="str">
        <f t="shared" si="65"/>
        <v>947</v>
      </c>
      <c r="E2110" s="26"/>
      <c r="F2110" s="26"/>
      <c r="H2110" s="27"/>
      <c r="I2110" s="27"/>
      <c r="J2110" s="27"/>
      <c r="K2110" s="27"/>
      <c r="L2110" s="27"/>
      <c r="M2110" s="27"/>
      <c r="N2110" s="40"/>
      <c r="O2110" s="27"/>
      <c r="P2110" s="27"/>
      <c r="Q2110" s="41"/>
      <c r="R2110" s="40"/>
    </row>
    <row r="2111" spans="1:18" ht="30" customHeight="1" x14ac:dyDescent="0.3">
      <c r="A2111" s="26" t="str">
        <f t="shared" si="64"/>
        <v/>
      </c>
      <c r="B2111" s="26">
        <f>COUNTIFS($A$4:A2111,A2111)</f>
        <v>948</v>
      </c>
      <c r="C2111" s="26" t="str">
        <f t="shared" si="65"/>
        <v>948</v>
      </c>
      <c r="E2111" s="26"/>
      <c r="F2111" s="26"/>
      <c r="H2111" s="27"/>
      <c r="I2111" s="27"/>
      <c r="J2111" s="27"/>
      <c r="K2111" s="27"/>
      <c r="L2111" s="27"/>
      <c r="M2111" s="27"/>
      <c r="N2111" s="40"/>
      <c r="O2111" s="27"/>
      <c r="P2111" s="27"/>
      <c r="Q2111" s="41"/>
      <c r="R2111" s="40"/>
    </row>
    <row r="2112" spans="1:18" ht="30" customHeight="1" x14ac:dyDescent="0.3">
      <c r="A2112" s="26" t="str">
        <f t="shared" si="64"/>
        <v/>
      </c>
      <c r="B2112" s="26">
        <f>COUNTIFS($A$4:A2112,A2112)</f>
        <v>949</v>
      </c>
      <c r="C2112" s="26" t="str">
        <f t="shared" si="65"/>
        <v>949</v>
      </c>
      <c r="E2112" s="26"/>
      <c r="F2112" s="26"/>
      <c r="H2112" s="27"/>
      <c r="I2112" s="27"/>
      <c r="J2112" s="27"/>
      <c r="K2112" s="27"/>
      <c r="L2112" s="27"/>
      <c r="M2112" s="27"/>
      <c r="N2112" s="40"/>
      <c r="O2112" s="27"/>
      <c r="P2112" s="27"/>
      <c r="Q2112" s="41"/>
      <c r="R2112" s="40"/>
    </row>
    <row r="2113" spans="1:18" ht="30" customHeight="1" x14ac:dyDescent="0.3">
      <c r="A2113" s="26" t="str">
        <f t="shared" si="64"/>
        <v/>
      </c>
      <c r="B2113" s="26">
        <f>COUNTIFS($A$4:A2113,A2113)</f>
        <v>950</v>
      </c>
      <c r="C2113" s="26" t="str">
        <f t="shared" si="65"/>
        <v>950</v>
      </c>
      <c r="E2113" s="26"/>
      <c r="F2113" s="26"/>
      <c r="H2113" s="27"/>
      <c r="I2113" s="27"/>
      <c r="J2113" s="27"/>
      <c r="K2113" s="27"/>
      <c r="L2113" s="27"/>
      <c r="M2113" s="27"/>
      <c r="N2113" s="40"/>
      <c r="O2113" s="27"/>
      <c r="P2113" s="27"/>
      <c r="Q2113" s="41"/>
      <c r="R2113" s="40"/>
    </row>
    <row r="2114" spans="1:18" ht="30" customHeight="1" x14ac:dyDescent="0.3">
      <c r="A2114" s="26" t="str">
        <f t="shared" si="64"/>
        <v/>
      </c>
      <c r="B2114" s="26">
        <f>COUNTIFS($A$4:A2114,A2114)</f>
        <v>951</v>
      </c>
      <c r="C2114" s="26" t="str">
        <f t="shared" si="65"/>
        <v>951</v>
      </c>
      <c r="E2114" s="26"/>
      <c r="F2114" s="26"/>
      <c r="H2114" s="27"/>
      <c r="I2114" s="27"/>
      <c r="J2114" s="27"/>
      <c r="K2114" s="27"/>
      <c r="L2114" s="27"/>
      <c r="M2114" s="27"/>
      <c r="N2114" s="40"/>
      <c r="O2114" s="27"/>
      <c r="P2114" s="27"/>
      <c r="Q2114" s="41"/>
      <c r="R2114" s="40"/>
    </row>
    <row r="2115" spans="1:18" ht="30" customHeight="1" x14ac:dyDescent="0.3">
      <c r="A2115" s="26" t="str">
        <f t="shared" si="64"/>
        <v/>
      </c>
      <c r="B2115" s="26">
        <f>COUNTIFS($A$4:A2115,A2115)</f>
        <v>952</v>
      </c>
      <c r="C2115" s="26" t="str">
        <f t="shared" si="65"/>
        <v>952</v>
      </c>
      <c r="E2115" s="26"/>
      <c r="F2115" s="26"/>
      <c r="H2115" s="27"/>
      <c r="I2115" s="27"/>
      <c r="J2115" s="27"/>
      <c r="K2115" s="27"/>
      <c r="L2115" s="27"/>
      <c r="M2115" s="27"/>
      <c r="N2115" s="40"/>
      <c r="O2115" s="27"/>
      <c r="P2115" s="27"/>
      <c r="Q2115" s="41"/>
      <c r="R2115" s="40"/>
    </row>
    <row r="2116" spans="1:18" ht="30" customHeight="1" x14ac:dyDescent="0.3">
      <c r="A2116" s="26" t="str">
        <f t="shared" si="64"/>
        <v/>
      </c>
      <c r="B2116" s="26">
        <f>COUNTIFS($A$4:A2116,A2116)</f>
        <v>953</v>
      </c>
      <c r="C2116" s="26" t="str">
        <f t="shared" si="65"/>
        <v>953</v>
      </c>
      <c r="E2116" s="26"/>
      <c r="F2116" s="26"/>
      <c r="H2116" s="27"/>
      <c r="I2116" s="27"/>
      <c r="J2116" s="27"/>
      <c r="K2116" s="27"/>
      <c r="L2116" s="27"/>
      <c r="M2116" s="27"/>
      <c r="N2116" s="40"/>
      <c r="O2116" s="27"/>
      <c r="P2116" s="27"/>
      <c r="Q2116" s="41"/>
      <c r="R2116" s="40"/>
    </row>
    <row r="2117" spans="1:18" ht="30" customHeight="1" x14ac:dyDescent="0.3">
      <c r="A2117" s="26" t="str">
        <f t="shared" si="64"/>
        <v/>
      </c>
      <c r="B2117" s="26">
        <f>COUNTIFS($A$4:A2117,A2117)</f>
        <v>954</v>
      </c>
      <c r="C2117" s="26" t="str">
        <f t="shared" si="65"/>
        <v>954</v>
      </c>
      <c r="E2117" s="26"/>
      <c r="F2117" s="26"/>
      <c r="H2117" s="27"/>
      <c r="I2117" s="27"/>
      <c r="J2117" s="27"/>
      <c r="K2117" s="27"/>
      <c r="L2117" s="27"/>
      <c r="M2117" s="27"/>
      <c r="N2117" s="40"/>
      <c r="O2117" s="27"/>
      <c r="P2117" s="27"/>
      <c r="Q2117" s="41"/>
      <c r="R2117" s="40"/>
    </row>
    <row r="2118" spans="1:18" ht="30" customHeight="1" x14ac:dyDescent="0.3">
      <c r="A2118" s="26" t="str">
        <f t="shared" si="64"/>
        <v/>
      </c>
      <c r="B2118" s="26">
        <f>COUNTIFS($A$4:A2118,A2118)</f>
        <v>955</v>
      </c>
      <c r="C2118" s="26" t="str">
        <f t="shared" si="65"/>
        <v>955</v>
      </c>
      <c r="E2118" s="26"/>
      <c r="F2118" s="26"/>
      <c r="H2118" s="27"/>
      <c r="I2118" s="27"/>
      <c r="J2118" s="27"/>
      <c r="K2118" s="27"/>
      <c r="L2118" s="27"/>
      <c r="M2118" s="27"/>
      <c r="N2118" s="40"/>
      <c r="O2118" s="27"/>
      <c r="P2118" s="27"/>
      <c r="Q2118" s="41"/>
      <c r="R2118" s="40"/>
    </row>
    <row r="2119" spans="1:18" ht="30" customHeight="1" x14ac:dyDescent="0.3">
      <c r="A2119" s="26" t="str">
        <f t="shared" si="64"/>
        <v/>
      </c>
      <c r="B2119" s="26">
        <f>COUNTIFS($A$4:A2119,A2119)</f>
        <v>956</v>
      </c>
      <c r="C2119" s="26" t="str">
        <f t="shared" si="65"/>
        <v>956</v>
      </c>
      <c r="E2119" s="26"/>
      <c r="F2119" s="26"/>
      <c r="H2119" s="27"/>
      <c r="I2119" s="27"/>
      <c r="J2119" s="27"/>
      <c r="K2119" s="27"/>
      <c r="L2119" s="27"/>
      <c r="M2119" s="27"/>
      <c r="N2119" s="40"/>
      <c r="O2119" s="27"/>
      <c r="P2119" s="27"/>
      <c r="Q2119" s="41"/>
      <c r="R2119" s="40"/>
    </row>
    <row r="2120" spans="1:18" ht="30" customHeight="1" x14ac:dyDescent="0.3">
      <c r="A2120" s="26" t="str">
        <f t="shared" si="64"/>
        <v/>
      </c>
      <c r="B2120" s="26">
        <f>COUNTIFS($A$4:A2120,A2120)</f>
        <v>957</v>
      </c>
      <c r="C2120" s="26" t="str">
        <f t="shared" si="65"/>
        <v>957</v>
      </c>
      <c r="E2120" s="26"/>
      <c r="F2120" s="26"/>
      <c r="H2120" s="27"/>
      <c r="I2120" s="27"/>
      <c r="J2120" s="27"/>
      <c r="K2120" s="27"/>
      <c r="L2120" s="27"/>
      <c r="M2120" s="27"/>
      <c r="N2120" s="40"/>
      <c r="O2120" s="27"/>
      <c r="P2120" s="27"/>
      <c r="Q2120" s="41"/>
      <c r="R2120" s="40"/>
    </row>
    <row r="2121" spans="1:18" ht="30" customHeight="1" x14ac:dyDescent="0.3">
      <c r="A2121" s="26" t="str">
        <f t="shared" si="64"/>
        <v/>
      </c>
      <c r="B2121" s="26">
        <f>COUNTIFS($A$4:A2121,A2121)</f>
        <v>958</v>
      </c>
      <c r="C2121" s="26" t="str">
        <f t="shared" si="65"/>
        <v>958</v>
      </c>
      <c r="E2121" s="26"/>
      <c r="F2121" s="26"/>
      <c r="H2121" s="27"/>
      <c r="I2121" s="27"/>
      <c r="J2121" s="27"/>
      <c r="K2121" s="27"/>
      <c r="L2121" s="27"/>
      <c r="M2121" s="27"/>
      <c r="N2121" s="40"/>
      <c r="O2121" s="27"/>
      <c r="P2121" s="27"/>
      <c r="Q2121" s="41"/>
      <c r="R2121" s="40"/>
    </row>
    <row r="2122" spans="1:18" ht="30" customHeight="1" x14ac:dyDescent="0.3">
      <c r="A2122" s="26" t="str">
        <f t="shared" si="64"/>
        <v/>
      </c>
      <c r="B2122" s="26">
        <f>COUNTIFS($A$4:A2122,A2122)</f>
        <v>959</v>
      </c>
      <c r="C2122" s="26" t="str">
        <f t="shared" si="65"/>
        <v>959</v>
      </c>
      <c r="E2122" s="26"/>
      <c r="F2122" s="26"/>
      <c r="H2122" s="27"/>
      <c r="I2122" s="27"/>
      <c r="J2122" s="27"/>
      <c r="K2122" s="27"/>
      <c r="L2122" s="27"/>
      <c r="M2122" s="27"/>
      <c r="N2122" s="40"/>
      <c r="O2122" s="27"/>
      <c r="P2122" s="27"/>
      <c r="Q2122" s="41"/>
      <c r="R2122" s="40"/>
    </row>
    <row r="2123" spans="1:18" ht="30" customHeight="1" x14ac:dyDescent="0.3">
      <c r="A2123" s="26" t="str">
        <f t="shared" si="64"/>
        <v/>
      </c>
      <c r="B2123" s="26">
        <f>COUNTIFS($A$4:A2123,A2123)</f>
        <v>960</v>
      </c>
      <c r="C2123" s="26" t="str">
        <f t="shared" si="65"/>
        <v>960</v>
      </c>
      <c r="E2123" s="26"/>
      <c r="F2123" s="26"/>
      <c r="H2123" s="27"/>
      <c r="I2123" s="27"/>
      <c r="J2123" s="27"/>
      <c r="K2123" s="27"/>
      <c r="L2123" s="27"/>
      <c r="M2123" s="27"/>
      <c r="N2123" s="40"/>
      <c r="O2123" s="27"/>
      <c r="P2123" s="27"/>
      <c r="Q2123" s="41"/>
      <c r="R2123" s="40"/>
    </row>
    <row r="2124" spans="1:18" ht="30" customHeight="1" x14ac:dyDescent="0.3">
      <c r="A2124" s="26" t="str">
        <f t="shared" si="64"/>
        <v/>
      </c>
      <c r="B2124" s="26">
        <f>COUNTIFS($A$4:A2124,A2124)</f>
        <v>961</v>
      </c>
      <c r="C2124" s="26" t="str">
        <f t="shared" si="65"/>
        <v>961</v>
      </c>
      <c r="E2124" s="26"/>
      <c r="F2124" s="26"/>
      <c r="H2124" s="27"/>
      <c r="I2124" s="27"/>
      <c r="J2124" s="27"/>
      <c r="K2124" s="27"/>
      <c r="L2124" s="27"/>
      <c r="M2124" s="27"/>
      <c r="N2124" s="40"/>
      <c r="O2124" s="27"/>
      <c r="P2124" s="27"/>
      <c r="Q2124" s="41"/>
      <c r="R2124" s="40"/>
    </row>
    <row r="2125" spans="1:18" ht="30" customHeight="1" x14ac:dyDescent="0.3">
      <c r="A2125" s="26" t="str">
        <f t="shared" si="64"/>
        <v/>
      </c>
      <c r="B2125" s="26">
        <f>COUNTIFS($A$4:A2125,A2125)</f>
        <v>962</v>
      </c>
      <c r="C2125" s="26" t="str">
        <f t="shared" si="65"/>
        <v>962</v>
      </c>
      <c r="E2125" s="26"/>
      <c r="F2125" s="26"/>
      <c r="H2125" s="27"/>
      <c r="I2125" s="27"/>
      <c r="J2125" s="27"/>
      <c r="K2125" s="27"/>
      <c r="L2125" s="27"/>
      <c r="M2125" s="27"/>
      <c r="N2125" s="40"/>
      <c r="O2125" s="27"/>
      <c r="P2125" s="27"/>
      <c r="Q2125" s="41"/>
      <c r="R2125" s="40"/>
    </row>
    <row r="2126" spans="1:18" ht="30" customHeight="1" x14ac:dyDescent="0.3">
      <c r="A2126" s="26" t="str">
        <f t="shared" si="64"/>
        <v/>
      </c>
      <c r="B2126" s="26">
        <f>COUNTIFS($A$4:A2126,A2126)</f>
        <v>963</v>
      </c>
      <c r="C2126" s="26" t="str">
        <f t="shared" si="65"/>
        <v>963</v>
      </c>
      <c r="E2126" s="26"/>
      <c r="F2126" s="26"/>
      <c r="H2126" s="27"/>
      <c r="I2126" s="27"/>
      <c r="J2126" s="27"/>
      <c r="K2126" s="27"/>
      <c r="L2126" s="27"/>
      <c r="M2126" s="27"/>
      <c r="N2126" s="40"/>
      <c r="O2126" s="27"/>
      <c r="P2126" s="27"/>
      <c r="Q2126" s="41"/>
      <c r="R2126" s="40"/>
    </row>
    <row r="2127" spans="1:18" ht="30" customHeight="1" x14ac:dyDescent="0.3">
      <c r="A2127" s="26" t="str">
        <f t="shared" si="64"/>
        <v/>
      </c>
      <c r="B2127" s="26">
        <f>COUNTIFS($A$4:A2127,A2127)</f>
        <v>964</v>
      </c>
      <c r="C2127" s="26" t="str">
        <f t="shared" si="65"/>
        <v>964</v>
      </c>
      <c r="E2127" s="26"/>
      <c r="F2127" s="26"/>
      <c r="H2127" s="27"/>
      <c r="I2127" s="27"/>
      <c r="J2127" s="27"/>
      <c r="K2127" s="27"/>
      <c r="L2127" s="27"/>
      <c r="M2127" s="27"/>
      <c r="N2127" s="40"/>
      <c r="O2127" s="27"/>
      <c r="P2127" s="27"/>
      <c r="Q2127" s="41"/>
      <c r="R2127" s="40"/>
    </row>
    <row r="2128" spans="1:18" ht="30" customHeight="1" x14ac:dyDescent="0.3">
      <c r="A2128" s="26" t="str">
        <f t="shared" si="64"/>
        <v/>
      </c>
      <c r="B2128" s="26">
        <f>COUNTIFS($A$4:A2128,A2128)</f>
        <v>965</v>
      </c>
      <c r="C2128" s="26" t="str">
        <f t="shared" si="65"/>
        <v>965</v>
      </c>
      <c r="E2128" s="26"/>
      <c r="F2128" s="26"/>
      <c r="H2128" s="27"/>
      <c r="I2128" s="27"/>
      <c r="J2128" s="27"/>
      <c r="K2128" s="27"/>
      <c r="L2128" s="27"/>
      <c r="M2128" s="27"/>
      <c r="N2128" s="40"/>
      <c r="O2128" s="27"/>
      <c r="P2128" s="27"/>
      <c r="Q2128" s="41"/>
      <c r="R2128" s="40"/>
    </row>
    <row r="2129" spans="1:18" ht="30" customHeight="1" x14ac:dyDescent="0.3">
      <c r="A2129" s="26" t="str">
        <f t="shared" ref="A2129:A2192" si="66">I2129&amp;H2129</f>
        <v/>
      </c>
      <c r="B2129" s="26">
        <f>COUNTIFS($A$4:A2129,A2129)</f>
        <v>966</v>
      </c>
      <c r="C2129" s="26" t="str">
        <f t="shared" ref="C2129:C2192" si="67">A2129&amp;B2129</f>
        <v>966</v>
      </c>
      <c r="E2129" s="26"/>
      <c r="F2129" s="26"/>
      <c r="H2129" s="27"/>
      <c r="I2129" s="27"/>
      <c r="J2129" s="27"/>
      <c r="K2129" s="27"/>
      <c r="L2129" s="27"/>
      <c r="M2129" s="27"/>
      <c r="N2129" s="40"/>
      <c r="O2129" s="27"/>
      <c r="P2129" s="27"/>
      <c r="Q2129" s="41"/>
      <c r="R2129" s="40"/>
    </row>
    <row r="2130" spans="1:18" ht="30" customHeight="1" x14ac:dyDescent="0.3">
      <c r="A2130" s="26" t="str">
        <f t="shared" si="66"/>
        <v/>
      </c>
      <c r="B2130" s="26">
        <f>COUNTIFS($A$4:A2130,A2130)</f>
        <v>967</v>
      </c>
      <c r="C2130" s="26" t="str">
        <f t="shared" si="67"/>
        <v>967</v>
      </c>
      <c r="E2130" s="26"/>
      <c r="F2130" s="26"/>
      <c r="H2130" s="27"/>
      <c r="I2130" s="27"/>
      <c r="J2130" s="27"/>
      <c r="K2130" s="27"/>
      <c r="L2130" s="27"/>
      <c r="M2130" s="27"/>
      <c r="N2130" s="40"/>
      <c r="O2130" s="27"/>
      <c r="P2130" s="27"/>
      <c r="Q2130" s="41"/>
      <c r="R2130" s="40"/>
    </row>
    <row r="2131" spans="1:18" ht="30" customHeight="1" x14ac:dyDescent="0.3">
      <c r="A2131" s="26" t="str">
        <f t="shared" si="66"/>
        <v/>
      </c>
      <c r="B2131" s="26">
        <f>COUNTIFS($A$4:A2131,A2131)</f>
        <v>968</v>
      </c>
      <c r="C2131" s="26" t="str">
        <f t="shared" si="67"/>
        <v>968</v>
      </c>
      <c r="E2131" s="26"/>
      <c r="F2131" s="26"/>
      <c r="H2131" s="27"/>
      <c r="I2131" s="27"/>
      <c r="J2131" s="27"/>
      <c r="K2131" s="27"/>
      <c r="L2131" s="27"/>
      <c r="M2131" s="27"/>
      <c r="N2131" s="40"/>
      <c r="O2131" s="27"/>
      <c r="P2131" s="27"/>
      <c r="Q2131" s="41"/>
      <c r="R2131" s="40"/>
    </row>
    <row r="2132" spans="1:18" ht="30" customHeight="1" x14ac:dyDescent="0.3">
      <c r="A2132" s="26" t="str">
        <f t="shared" si="66"/>
        <v/>
      </c>
      <c r="B2132" s="26">
        <f>COUNTIFS($A$4:A2132,A2132)</f>
        <v>969</v>
      </c>
      <c r="C2132" s="26" t="str">
        <f t="shared" si="67"/>
        <v>969</v>
      </c>
      <c r="E2132" s="26"/>
      <c r="F2132" s="26"/>
      <c r="H2132" s="27"/>
      <c r="I2132" s="27"/>
      <c r="J2132" s="27"/>
      <c r="K2132" s="27"/>
      <c r="L2132" s="27"/>
      <c r="M2132" s="27"/>
      <c r="N2132" s="40"/>
      <c r="O2132" s="27"/>
      <c r="P2132" s="27"/>
      <c r="Q2132" s="41"/>
      <c r="R2132" s="40"/>
    </row>
    <row r="2133" spans="1:18" ht="30" customHeight="1" x14ac:dyDescent="0.3">
      <c r="A2133" s="26" t="str">
        <f t="shared" si="66"/>
        <v/>
      </c>
      <c r="B2133" s="26">
        <f>COUNTIFS($A$4:A2133,A2133)</f>
        <v>970</v>
      </c>
      <c r="C2133" s="26" t="str">
        <f t="shared" si="67"/>
        <v>970</v>
      </c>
      <c r="E2133" s="26"/>
      <c r="F2133" s="26"/>
      <c r="H2133" s="27"/>
      <c r="I2133" s="27"/>
      <c r="J2133" s="27"/>
      <c r="K2133" s="27"/>
      <c r="L2133" s="27"/>
      <c r="M2133" s="27"/>
      <c r="N2133" s="40"/>
      <c r="O2133" s="27"/>
      <c r="P2133" s="27"/>
      <c r="Q2133" s="41"/>
      <c r="R2133" s="40"/>
    </row>
    <row r="2134" spans="1:18" ht="30" customHeight="1" x14ac:dyDescent="0.3">
      <c r="A2134" s="26" t="str">
        <f t="shared" si="66"/>
        <v/>
      </c>
      <c r="B2134" s="26">
        <f>COUNTIFS($A$4:A2134,A2134)</f>
        <v>971</v>
      </c>
      <c r="C2134" s="26" t="str">
        <f t="shared" si="67"/>
        <v>971</v>
      </c>
      <c r="E2134" s="26"/>
      <c r="F2134" s="26"/>
      <c r="H2134" s="27"/>
      <c r="I2134" s="27"/>
      <c r="J2134" s="27"/>
      <c r="K2134" s="27"/>
      <c r="L2134" s="27"/>
      <c r="M2134" s="27"/>
      <c r="N2134" s="40"/>
      <c r="O2134" s="27"/>
      <c r="P2134" s="27"/>
      <c r="Q2134" s="41"/>
      <c r="R2134" s="40"/>
    </row>
    <row r="2135" spans="1:18" ht="30" customHeight="1" x14ac:dyDescent="0.3">
      <c r="A2135" s="26" t="str">
        <f t="shared" si="66"/>
        <v/>
      </c>
      <c r="B2135" s="26">
        <f>COUNTIFS($A$4:A2135,A2135)</f>
        <v>972</v>
      </c>
      <c r="C2135" s="26" t="str">
        <f t="shared" si="67"/>
        <v>972</v>
      </c>
      <c r="E2135" s="26"/>
      <c r="F2135" s="26"/>
      <c r="H2135" s="27"/>
      <c r="I2135" s="27"/>
      <c r="J2135" s="27"/>
      <c r="K2135" s="27"/>
      <c r="L2135" s="27"/>
      <c r="M2135" s="27"/>
      <c r="N2135" s="40"/>
      <c r="O2135" s="27"/>
      <c r="P2135" s="27"/>
      <c r="Q2135" s="41"/>
      <c r="R2135" s="40"/>
    </row>
    <row r="2136" spans="1:18" ht="30" customHeight="1" x14ac:dyDescent="0.3">
      <c r="A2136" s="26" t="str">
        <f t="shared" si="66"/>
        <v/>
      </c>
      <c r="B2136" s="26">
        <f>COUNTIFS($A$4:A2136,A2136)</f>
        <v>973</v>
      </c>
      <c r="C2136" s="26" t="str">
        <f t="shared" si="67"/>
        <v>973</v>
      </c>
      <c r="E2136" s="26"/>
      <c r="F2136" s="26"/>
      <c r="H2136" s="27"/>
      <c r="I2136" s="27"/>
      <c r="J2136" s="27"/>
      <c r="K2136" s="27"/>
      <c r="L2136" s="27"/>
      <c r="M2136" s="27"/>
      <c r="N2136" s="40"/>
      <c r="O2136" s="27"/>
      <c r="P2136" s="27"/>
      <c r="Q2136" s="41"/>
      <c r="R2136" s="40"/>
    </row>
    <row r="2137" spans="1:18" ht="30" customHeight="1" x14ac:dyDescent="0.3">
      <c r="A2137" s="26" t="str">
        <f t="shared" si="66"/>
        <v/>
      </c>
      <c r="B2137" s="26">
        <f>COUNTIFS($A$4:A2137,A2137)</f>
        <v>974</v>
      </c>
      <c r="C2137" s="26" t="str">
        <f t="shared" si="67"/>
        <v>974</v>
      </c>
      <c r="E2137" s="26"/>
      <c r="F2137" s="26"/>
      <c r="H2137" s="27"/>
      <c r="I2137" s="27"/>
      <c r="J2137" s="27"/>
      <c r="K2137" s="27"/>
      <c r="L2137" s="27"/>
      <c r="M2137" s="27"/>
      <c r="N2137" s="40"/>
      <c r="O2137" s="27"/>
      <c r="P2137" s="27"/>
      <c r="Q2137" s="41"/>
      <c r="R2137" s="40"/>
    </row>
    <row r="2138" spans="1:18" ht="30" customHeight="1" x14ac:dyDescent="0.3">
      <c r="A2138" s="26" t="str">
        <f t="shared" si="66"/>
        <v/>
      </c>
      <c r="B2138" s="26">
        <f>COUNTIFS($A$4:A2138,A2138)</f>
        <v>975</v>
      </c>
      <c r="C2138" s="26" t="str">
        <f t="shared" si="67"/>
        <v>975</v>
      </c>
      <c r="E2138" s="26"/>
      <c r="F2138" s="26"/>
      <c r="H2138" s="27"/>
      <c r="I2138" s="27"/>
      <c r="J2138" s="27"/>
      <c r="K2138" s="27"/>
      <c r="L2138" s="27"/>
      <c r="M2138" s="27"/>
      <c r="N2138" s="40"/>
      <c r="O2138" s="27"/>
      <c r="P2138" s="27"/>
      <c r="Q2138" s="41"/>
      <c r="R2138" s="40"/>
    </row>
    <row r="2139" spans="1:18" ht="30" customHeight="1" x14ac:dyDescent="0.3">
      <c r="A2139" s="26" t="str">
        <f t="shared" si="66"/>
        <v/>
      </c>
      <c r="B2139" s="26">
        <f>COUNTIFS($A$4:A2139,A2139)</f>
        <v>976</v>
      </c>
      <c r="C2139" s="26" t="str">
        <f t="shared" si="67"/>
        <v>976</v>
      </c>
      <c r="E2139" s="26"/>
      <c r="F2139" s="26"/>
      <c r="H2139" s="27"/>
      <c r="I2139" s="27"/>
      <c r="J2139" s="27"/>
      <c r="K2139" s="27"/>
      <c r="L2139" s="27"/>
      <c r="M2139" s="27"/>
      <c r="N2139" s="40"/>
      <c r="O2139" s="27"/>
      <c r="P2139" s="27"/>
      <c r="Q2139" s="41"/>
      <c r="R2139" s="40"/>
    </row>
    <row r="2140" spans="1:18" ht="30" customHeight="1" x14ac:dyDescent="0.3">
      <c r="A2140" s="26" t="str">
        <f t="shared" si="66"/>
        <v/>
      </c>
      <c r="B2140" s="26">
        <f>COUNTIFS($A$4:A2140,A2140)</f>
        <v>977</v>
      </c>
      <c r="C2140" s="26" t="str">
        <f t="shared" si="67"/>
        <v>977</v>
      </c>
      <c r="E2140" s="26"/>
      <c r="F2140" s="26"/>
      <c r="H2140" s="27"/>
      <c r="I2140" s="27"/>
      <c r="J2140" s="27"/>
      <c r="K2140" s="27"/>
      <c r="L2140" s="27"/>
      <c r="M2140" s="27"/>
      <c r="N2140" s="40"/>
      <c r="O2140" s="27"/>
      <c r="P2140" s="27"/>
      <c r="Q2140" s="41"/>
      <c r="R2140" s="40"/>
    </row>
    <row r="2141" spans="1:18" ht="30" customHeight="1" x14ac:dyDescent="0.3">
      <c r="A2141" s="26" t="str">
        <f t="shared" si="66"/>
        <v/>
      </c>
      <c r="B2141" s="26">
        <f>COUNTIFS($A$4:A2141,A2141)</f>
        <v>978</v>
      </c>
      <c r="C2141" s="26" t="str">
        <f t="shared" si="67"/>
        <v>978</v>
      </c>
      <c r="E2141" s="26"/>
      <c r="F2141" s="26"/>
      <c r="H2141" s="27"/>
      <c r="I2141" s="27"/>
      <c r="J2141" s="27"/>
      <c r="K2141" s="27"/>
      <c r="L2141" s="27"/>
      <c r="M2141" s="27"/>
      <c r="N2141" s="40"/>
      <c r="O2141" s="27"/>
      <c r="P2141" s="27"/>
      <c r="Q2141" s="41"/>
      <c r="R2141" s="40"/>
    </row>
    <row r="2142" spans="1:18" ht="30" customHeight="1" x14ac:dyDescent="0.3">
      <c r="A2142" s="26" t="str">
        <f t="shared" si="66"/>
        <v/>
      </c>
      <c r="B2142" s="26">
        <f>COUNTIFS($A$4:A2142,A2142)</f>
        <v>979</v>
      </c>
      <c r="C2142" s="26" t="str">
        <f t="shared" si="67"/>
        <v>979</v>
      </c>
      <c r="E2142" s="26"/>
      <c r="F2142" s="26"/>
      <c r="H2142" s="27"/>
      <c r="I2142" s="27"/>
      <c r="J2142" s="27"/>
      <c r="K2142" s="27"/>
      <c r="L2142" s="27"/>
      <c r="M2142" s="27"/>
      <c r="N2142" s="40"/>
      <c r="O2142" s="27"/>
      <c r="P2142" s="27"/>
      <c r="Q2142" s="41"/>
      <c r="R2142" s="40"/>
    </row>
    <row r="2143" spans="1:18" ht="30" customHeight="1" x14ac:dyDescent="0.3">
      <c r="A2143" s="26" t="str">
        <f t="shared" si="66"/>
        <v/>
      </c>
      <c r="B2143" s="26">
        <f>COUNTIFS($A$4:A2143,A2143)</f>
        <v>980</v>
      </c>
      <c r="C2143" s="26" t="str">
        <f t="shared" si="67"/>
        <v>980</v>
      </c>
      <c r="E2143" s="26"/>
      <c r="F2143" s="26"/>
      <c r="H2143" s="27"/>
      <c r="I2143" s="27"/>
      <c r="J2143" s="27"/>
      <c r="K2143" s="27"/>
      <c r="L2143" s="27"/>
      <c r="M2143" s="27"/>
      <c r="N2143" s="40"/>
      <c r="O2143" s="27"/>
      <c r="P2143" s="27"/>
      <c r="Q2143" s="41"/>
      <c r="R2143" s="40"/>
    </row>
    <row r="2144" spans="1:18" ht="30" customHeight="1" x14ac:dyDescent="0.3">
      <c r="A2144" s="26" t="str">
        <f t="shared" si="66"/>
        <v/>
      </c>
      <c r="B2144" s="26">
        <f>COUNTIFS($A$4:A2144,A2144)</f>
        <v>981</v>
      </c>
      <c r="C2144" s="26" t="str">
        <f t="shared" si="67"/>
        <v>981</v>
      </c>
      <c r="E2144" s="26"/>
      <c r="F2144" s="26"/>
      <c r="H2144" s="27"/>
      <c r="I2144" s="27"/>
      <c r="J2144" s="27"/>
      <c r="K2144" s="27"/>
      <c r="L2144" s="27"/>
      <c r="M2144" s="27"/>
      <c r="N2144" s="40"/>
      <c r="O2144" s="27"/>
      <c r="P2144" s="27"/>
      <c r="Q2144" s="41"/>
      <c r="R2144" s="40"/>
    </row>
    <row r="2145" spans="1:18" ht="30" customHeight="1" x14ac:dyDescent="0.3">
      <c r="A2145" s="26" t="str">
        <f t="shared" si="66"/>
        <v/>
      </c>
      <c r="B2145" s="26">
        <f>COUNTIFS($A$4:A2145,A2145)</f>
        <v>982</v>
      </c>
      <c r="C2145" s="26" t="str">
        <f t="shared" si="67"/>
        <v>982</v>
      </c>
      <c r="E2145" s="26"/>
      <c r="F2145" s="26"/>
      <c r="H2145" s="27"/>
      <c r="I2145" s="27"/>
      <c r="J2145" s="27"/>
      <c r="K2145" s="27"/>
      <c r="L2145" s="27"/>
      <c r="M2145" s="27"/>
      <c r="N2145" s="40"/>
      <c r="O2145" s="27"/>
      <c r="P2145" s="27"/>
      <c r="Q2145" s="41"/>
      <c r="R2145" s="40"/>
    </row>
    <row r="2146" spans="1:18" ht="30" customHeight="1" x14ac:dyDescent="0.3">
      <c r="A2146" s="26" t="str">
        <f t="shared" si="66"/>
        <v/>
      </c>
      <c r="B2146" s="26">
        <f>COUNTIFS($A$4:A2146,A2146)</f>
        <v>983</v>
      </c>
      <c r="C2146" s="26" t="str">
        <f t="shared" si="67"/>
        <v>983</v>
      </c>
      <c r="E2146" s="26"/>
      <c r="F2146" s="26"/>
      <c r="H2146" s="27"/>
      <c r="I2146" s="27"/>
      <c r="J2146" s="27"/>
      <c r="K2146" s="27"/>
      <c r="L2146" s="27"/>
      <c r="M2146" s="27"/>
      <c r="N2146" s="40"/>
      <c r="O2146" s="27"/>
      <c r="P2146" s="27"/>
      <c r="Q2146" s="41"/>
      <c r="R2146" s="40"/>
    </row>
    <row r="2147" spans="1:18" ht="30" customHeight="1" x14ac:dyDescent="0.3">
      <c r="A2147" s="26" t="str">
        <f t="shared" si="66"/>
        <v/>
      </c>
      <c r="B2147" s="26">
        <f>COUNTIFS($A$4:A2147,A2147)</f>
        <v>984</v>
      </c>
      <c r="C2147" s="26" t="str">
        <f t="shared" si="67"/>
        <v>984</v>
      </c>
      <c r="E2147" s="26"/>
      <c r="F2147" s="26"/>
      <c r="H2147" s="27"/>
      <c r="I2147" s="27"/>
      <c r="J2147" s="27"/>
      <c r="K2147" s="27"/>
      <c r="L2147" s="27"/>
      <c r="M2147" s="27"/>
      <c r="N2147" s="40"/>
      <c r="O2147" s="27"/>
      <c r="P2147" s="27"/>
      <c r="Q2147" s="41"/>
      <c r="R2147" s="40"/>
    </row>
    <row r="2148" spans="1:18" ht="30" customHeight="1" x14ac:dyDescent="0.3">
      <c r="A2148" s="26" t="str">
        <f t="shared" si="66"/>
        <v/>
      </c>
      <c r="B2148" s="26">
        <f>COUNTIFS($A$4:A2148,A2148)</f>
        <v>985</v>
      </c>
      <c r="C2148" s="26" t="str">
        <f t="shared" si="67"/>
        <v>985</v>
      </c>
      <c r="E2148" s="26"/>
      <c r="F2148" s="26"/>
      <c r="H2148" s="27"/>
      <c r="I2148" s="27"/>
      <c r="J2148" s="27"/>
      <c r="K2148" s="27"/>
      <c r="L2148" s="27"/>
      <c r="M2148" s="27"/>
      <c r="N2148" s="40"/>
      <c r="O2148" s="27"/>
      <c r="P2148" s="27"/>
      <c r="Q2148" s="41"/>
      <c r="R2148" s="40"/>
    </row>
    <row r="2149" spans="1:18" ht="30" customHeight="1" x14ac:dyDescent="0.3">
      <c r="A2149" s="26" t="str">
        <f t="shared" si="66"/>
        <v/>
      </c>
      <c r="B2149" s="26">
        <f>COUNTIFS($A$4:A2149,A2149)</f>
        <v>986</v>
      </c>
      <c r="C2149" s="26" t="str">
        <f t="shared" si="67"/>
        <v>986</v>
      </c>
      <c r="E2149" s="26"/>
      <c r="F2149" s="26"/>
      <c r="H2149" s="27"/>
      <c r="I2149" s="27"/>
      <c r="J2149" s="27"/>
      <c r="K2149" s="27"/>
      <c r="L2149" s="27"/>
      <c r="M2149" s="27"/>
      <c r="N2149" s="40"/>
      <c r="O2149" s="27"/>
      <c r="P2149" s="27"/>
      <c r="Q2149" s="41"/>
      <c r="R2149" s="40"/>
    </row>
    <row r="2150" spans="1:18" ht="30" customHeight="1" x14ac:dyDescent="0.3">
      <c r="A2150" s="26" t="str">
        <f t="shared" si="66"/>
        <v/>
      </c>
      <c r="B2150" s="26">
        <f>COUNTIFS($A$4:A2150,A2150)</f>
        <v>987</v>
      </c>
      <c r="C2150" s="26" t="str">
        <f t="shared" si="67"/>
        <v>987</v>
      </c>
      <c r="E2150" s="26"/>
      <c r="F2150" s="26"/>
      <c r="H2150" s="27"/>
      <c r="I2150" s="27"/>
      <c r="J2150" s="27"/>
      <c r="K2150" s="27"/>
      <c r="L2150" s="27"/>
      <c r="M2150" s="27"/>
      <c r="N2150" s="40"/>
      <c r="O2150" s="27"/>
      <c r="P2150" s="27"/>
      <c r="Q2150" s="41"/>
      <c r="R2150" s="40"/>
    </row>
    <row r="2151" spans="1:18" ht="30" customHeight="1" x14ac:dyDescent="0.3">
      <c r="A2151" s="26" t="str">
        <f t="shared" si="66"/>
        <v/>
      </c>
      <c r="B2151" s="26">
        <f>COUNTIFS($A$4:A2151,A2151)</f>
        <v>988</v>
      </c>
      <c r="C2151" s="26" t="str">
        <f t="shared" si="67"/>
        <v>988</v>
      </c>
      <c r="E2151" s="26"/>
      <c r="F2151" s="26"/>
      <c r="H2151" s="27"/>
      <c r="I2151" s="27"/>
      <c r="J2151" s="27"/>
      <c r="K2151" s="27"/>
      <c r="L2151" s="27"/>
      <c r="M2151" s="27"/>
      <c r="N2151" s="40"/>
      <c r="O2151" s="27"/>
      <c r="P2151" s="27"/>
      <c r="Q2151" s="41"/>
      <c r="R2151" s="40"/>
    </row>
    <row r="2152" spans="1:18" ht="30" customHeight="1" x14ac:dyDescent="0.3">
      <c r="A2152" s="26" t="str">
        <f t="shared" si="66"/>
        <v/>
      </c>
      <c r="B2152" s="26">
        <f>COUNTIFS($A$4:A2152,A2152)</f>
        <v>989</v>
      </c>
      <c r="C2152" s="26" t="str">
        <f t="shared" si="67"/>
        <v>989</v>
      </c>
      <c r="E2152" s="26"/>
      <c r="F2152" s="26"/>
      <c r="H2152" s="27"/>
      <c r="I2152" s="27"/>
      <c r="J2152" s="27"/>
      <c r="K2152" s="27"/>
      <c r="L2152" s="27"/>
      <c r="M2152" s="27"/>
      <c r="N2152" s="40"/>
      <c r="O2152" s="27"/>
      <c r="P2152" s="27"/>
      <c r="Q2152" s="41"/>
      <c r="R2152" s="40"/>
    </row>
    <row r="2153" spans="1:18" ht="30" customHeight="1" x14ac:dyDescent="0.3">
      <c r="A2153" s="26" t="str">
        <f t="shared" si="66"/>
        <v/>
      </c>
      <c r="B2153" s="26">
        <f>COUNTIFS($A$4:A2153,A2153)</f>
        <v>990</v>
      </c>
      <c r="C2153" s="26" t="str">
        <f t="shared" si="67"/>
        <v>990</v>
      </c>
      <c r="E2153" s="26"/>
      <c r="F2153" s="26"/>
      <c r="H2153" s="27"/>
      <c r="I2153" s="27"/>
      <c r="J2153" s="27"/>
      <c r="K2153" s="27"/>
      <c r="L2153" s="27"/>
      <c r="M2153" s="27"/>
      <c r="N2153" s="40"/>
      <c r="O2153" s="27"/>
      <c r="P2153" s="27"/>
      <c r="Q2153" s="41"/>
      <c r="R2153" s="40"/>
    </row>
    <row r="2154" spans="1:18" ht="30" customHeight="1" x14ac:dyDescent="0.3">
      <c r="A2154" s="26" t="str">
        <f t="shared" si="66"/>
        <v/>
      </c>
      <c r="B2154" s="26">
        <f>COUNTIFS($A$4:A2154,A2154)</f>
        <v>991</v>
      </c>
      <c r="C2154" s="26" t="str">
        <f t="shared" si="67"/>
        <v>991</v>
      </c>
      <c r="E2154" s="26"/>
      <c r="F2154" s="26"/>
      <c r="H2154" s="27"/>
      <c r="I2154" s="27"/>
      <c r="J2154" s="27"/>
      <c r="K2154" s="27"/>
      <c r="L2154" s="27"/>
      <c r="M2154" s="27"/>
      <c r="N2154" s="40"/>
      <c r="O2154" s="27"/>
      <c r="P2154" s="27"/>
      <c r="Q2154" s="41"/>
      <c r="R2154" s="40"/>
    </row>
    <row r="2155" spans="1:18" ht="30" customHeight="1" x14ac:dyDescent="0.3">
      <c r="A2155" s="26" t="str">
        <f t="shared" si="66"/>
        <v/>
      </c>
      <c r="B2155" s="26">
        <f>COUNTIFS($A$4:A2155,A2155)</f>
        <v>992</v>
      </c>
      <c r="C2155" s="26" t="str">
        <f t="shared" si="67"/>
        <v>992</v>
      </c>
      <c r="E2155" s="26"/>
      <c r="F2155" s="26"/>
      <c r="H2155" s="27"/>
      <c r="I2155" s="27"/>
      <c r="J2155" s="27"/>
      <c r="K2155" s="27"/>
      <c r="L2155" s="27"/>
      <c r="M2155" s="27"/>
      <c r="N2155" s="40"/>
      <c r="O2155" s="27"/>
      <c r="P2155" s="27"/>
      <c r="Q2155" s="41"/>
      <c r="R2155" s="40"/>
    </row>
    <row r="2156" spans="1:18" ht="30" customHeight="1" x14ac:dyDescent="0.3">
      <c r="A2156" s="26" t="str">
        <f t="shared" si="66"/>
        <v/>
      </c>
      <c r="B2156" s="26">
        <f>COUNTIFS($A$4:A2156,A2156)</f>
        <v>993</v>
      </c>
      <c r="C2156" s="26" t="str">
        <f t="shared" si="67"/>
        <v>993</v>
      </c>
      <c r="E2156" s="26"/>
      <c r="F2156" s="26"/>
      <c r="H2156" s="27"/>
      <c r="I2156" s="27"/>
      <c r="J2156" s="27"/>
      <c r="K2156" s="27"/>
      <c r="L2156" s="27"/>
      <c r="M2156" s="27"/>
      <c r="N2156" s="40"/>
      <c r="O2156" s="27"/>
      <c r="P2156" s="27"/>
      <c r="Q2156" s="41"/>
      <c r="R2156" s="40"/>
    </row>
    <row r="2157" spans="1:18" ht="30" customHeight="1" x14ac:dyDescent="0.3">
      <c r="A2157" s="26" t="str">
        <f t="shared" si="66"/>
        <v/>
      </c>
      <c r="B2157" s="26">
        <f>COUNTIFS($A$4:A2157,A2157)</f>
        <v>994</v>
      </c>
      <c r="C2157" s="26" t="str">
        <f t="shared" si="67"/>
        <v>994</v>
      </c>
      <c r="E2157" s="26"/>
      <c r="F2157" s="26"/>
      <c r="H2157" s="27"/>
      <c r="I2157" s="27"/>
      <c r="J2157" s="27"/>
      <c r="K2157" s="27"/>
      <c r="L2157" s="27"/>
      <c r="M2157" s="27"/>
      <c r="N2157" s="40"/>
      <c r="O2157" s="27"/>
      <c r="P2157" s="27"/>
      <c r="Q2157" s="41"/>
      <c r="R2157" s="40"/>
    </row>
    <row r="2158" spans="1:18" ht="30" customHeight="1" x14ac:dyDescent="0.3">
      <c r="A2158" s="26" t="str">
        <f t="shared" si="66"/>
        <v/>
      </c>
      <c r="B2158" s="26">
        <f>COUNTIFS($A$4:A2158,A2158)</f>
        <v>995</v>
      </c>
      <c r="C2158" s="26" t="str">
        <f t="shared" si="67"/>
        <v>995</v>
      </c>
      <c r="E2158" s="26"/>
      <c r="F2158" s="26"/>
      <c r="H2158" s="27"/>
      <c r="I2158" s="27"/>
      <c r="J2158" s="27"/>
      <c r="K2158" s="27"/>
      <c r="L2158" s="27"/>
      <c r="M2158" s="27"/>
      <c r="N2158" s="40"/>
      <c r="O2158" s="27"/>
      <c r="P2158" s="27"/>
      <c r="Q2158" s="41"/>
      <c r="R2158" s="40"/>
    </row>
    <row r="2159" spans="1:18" ht="30" customHeight="1" x14ac:dyDescent="0.3">
      <c r="A2159" s="26" t="str">
        <f t="shared" si="66"/>
        <v/>
      </c>
      <c r="B2159" s="26">
        <f>COUNTIFS($A$4:A2159,A2159)</f>
        <v>996</v>
      </c>
      <c r="C2159" s="26" t="str">
        <f t="shared" si="67"/>
        <v>996</v>
      </c>
      <c r="E2159" s="26"/>
      <c r="F2159" s="26"/>
      <c r="H2159" s="27"/>
      <c r="I2159" s="27"/>
      <c r="J2159" s="27"/>
      <c r="K2159" s="27"/>
      <c r="L2159" s="27"/>
      <c r="M2159" s="27"/>
      <c r="N2159" s="40"/>
      <c r="O2159" s="27"/>
      <c r="P2159" s="27"/>
      <c r="Q2159" s="41"/>
      <c r="R2159" s="40"/>
    </row>
    <row r="2160" spans="1:18" ht="30" customHeight="1" x14ac:dyDescent="0.3">
      <c r="A2160" s="26" t="str">
        <f t="shared" si="66"/>
        <v/>
      </c>
      <c r="B2160" s="26">
        <f>COUNTIFS($A$4:A2160,A2160)</f>
        <v>997</v>
      </c>
      <c r="C2160" s="26" t="str">
        <f t="shared" si="67"/>
        <v>997</v>
      </c>
      <c r="E2160" s="26"/>
      <c r="F2160" s="26"/>
      <c r="H2160" s="27"/>
      <c r="I2160" s="27"/>
      <c r="J2160" s="27"/>
      <c r="K2160" s="27"/>
      <c r="L2160" s="27"/>
      <c r="M2160" s="27"/>
      <c r="N2160" s="40"/>
      <c r="O2160" s="27"/>
      <c r="P2160" s="27"/>
      <c r="Q2160" s="41"/>
      <c r="R2160" s="40"/>
    </row>
    <row r="2161" spans="1:18" ht="30" customHeight="1" x14ac:dyDescent="0.3">
      <c r="A2161" s="26" t="str">
        <f t="shared" si="66"/>
        <v/>
      </c>
      <c r="B2161" s="26">
        <f>COUNTIFS($A$4:A2161,A2161)</f>
        <v>998</v>
      </c>
      <c r="C2161" s="26" t="str">
        <f t="shared" si="67"/>
        <v>998</v>
      </c>
      <c r="E2161" s="26"/>
      <c r="F2161" s="26"/>
      <c r="H2161" s="27"/>
      <c r="I2161" s="27"/>
      <c r="J2161" s="27"/>
      <c r="K2161" s="27"/>
      <c r="L2161" s="27"/>
      <c r="M2161" s="27"/>
      <c r="N2161" s="40"/>
      <c r="O2161" s="27"/>
      <c r="P2161" s="27"/>
      <c r="Q2161" s="41"/>
      <c r="R2161" s="40"/>
    </row>
    <row r="2162" spans="1:18" ht="30" customHeight="1" x14ac:dyDescent="0.3">
      <c r="A2162" s="26" t="str">
        <f t="shared" si="66"/>
        <v/>
      </c>
      <c r="B2162" s="26">
        <f>COUNTIFS($A$4:A2162,A2162)</f>
        <v>999</v>
      </c>
      <c r="C2162" s="26" t="str">
        <f t="shared" si="67"/>
        <v>999</v>
      </c>
      <c r="E2162" s="26"/>
      <c r="F2162" s="26"/>
      <c r="H2162" s="27"/>
      <c r="I2162" s="27"/>
      <c r="J2162" s="27"/>
      <c r="K2162" s="27"/>
      <c r="L2162" s="27"/>
      <c r="M2162" s="27"/>
      <c r="N2162" s="40"/>
      <c r="O2162" s="27"/>
      <c r="P2162" s="27"/>
      <c r="Q2162" s="41"/>
      <c r="R2162" s="40"/>
    </row>
    <row r="2163" spans="1:18" ht="30" customHeight="1" x14ac:dyDescent="0.3">
      <c r="A2163" s="26" t="str">
        <f t="shared" si="66"/>
        <v/>
      </c>
      <c r="B2163" s="26">
        <f>COUNTIFS($A$4:A2163,A2163)</f>
        <v>1000</v>
      </c>
      <c r="C2163" s="26" t="str">
        <f t="shared" si="67"/>
        <v>1000</v>
      </c>
      <c r="E2163" s="26"/>
      <c r="F2163" s="26"/>
      <c r="H2163" s="27"/>
      <c r="I2163" s="27"/>
      <c r="J2163" s="27"/>
      <c r="K2163" s="27"/>
      <c r="L2163" s="27"/>
      <c r="M2163" s="27"/>
      <c r="N2163" s="40"/>
      <c r="O2163" s="27"/>
      <c r="P2163" s="27"/>
      <c r="Q2163" s="41"/>
      <c r="R2163" s="40"/>
    </row>
    <row r="2164" spans="1:18" ht="30" customHeight="1" x14ac:dyDescent="0.3">
      <c r="A2164" s="26" t="str">
        <f t="shared" si="66"/>
        <v/>
      </c>
      <c r="B2164" s="26">
        <f>COUNTIFS($A$4:A2164,A2164)</f>
        <v>1001</v>
      </c>
      <c r="C2164" s="26" t="str">
        <f t="shared" si="67"/>
        <v>1001</v>
      </c>
      <c r="E2164" s="26"/>
      <c r="F2164" s="26"/>
      <c r="H2164" s="27"/>
      <c r="I2164" s="27"/>
      <c r="J2164" s="27"/>
      <c r="K2164" s="27"/>
      <c r="L2164" s="27"/>
      <c r="M2164" s="27"/>
      <c r="N2164" s="40"/>
      <c r="O2164" s="27"/>
      <c r="P2164" s="27"/>
      <c r="Q2164" s="41"/>
      <c r="R2164" s="40"/>
    </row>
    <row r="2165" spans="1:18" ht="30" customHeight="1" x14ac:dyDescent="0.3">
      <c r="A2165" s="26" t="str">
        <f t="shared" si="66"/>
        <v/>
      </c>
      <c r="B2165" s="26">
        <f>COUNTIFS($A$4:A2165,A2165)</f>
        <v>1002</v>
      </c>
      <c r="C2165" s="26" t="str">
        <f t="shared" si="67"/>
        <v>1002</v>
      </c>
      <c r="E2165" s="26"/>
      <c r="F2165" s="26"/>
      <c r="H2165" s="27"/>
      <c r="I2165" s="27"/>
      <c r="J2165" s="27"/>
      <c r="K2165" s="27"/>
      <c r="L2165" s="27"/>
      <c r="M2165" s="27"/>
      <c r="N2165" s="40"/>
      <c r="O2165" s="27"/>
      <c r="P2165" s="27"/>
      <c r="Q2165" s="41"/>
      <c r="R2165" s="40"/>
    </row>
    <row r="2166" spans="1:18" ht="30" customHeight="1" x14ac:dyDescent="0.3">
      <c r="A2166" s="26" t="str">
        <f t="shared" si="66"/>
        <v/>
      </c>
      <c r="B2166" s="26">
        <f>COUNTIFS($A$4:A2166,A2166)</f>
        <v>1003</v>
      </c>
      <c r="C2166" s="26" t="str">
        <f t="shared" si="67"/>
        <v>1003</v>
      </c>
      <c r="E2166" s="26"/>
      <c r="F2166" s="26"/>
      <c r="H2166" s="27"/>
      <c r="I2166" s="27"/>
      <c r="J2166" s="27"/>
      <c r="K2166" s="27"/>
      <c r="L2166" s="27"/>
      <c r="M2166" s="27"/>
      <c r="N2166" s="40"/>
      <c r="O2166" s="27"/>
      <c r="P2166" s="27"/>
      <c r="Q2166" s="41"/>
      <c r="R2166" s="40"/>
    </row>
    <row r="2167" spans="1:18" ht="30" customHeight="1" x14ac:dyDescent="0.3">
      <c r="A2167" s="26" t="str">
        <f t="shared" si="66"/>
        <v/>
      </c>
      <c r="B2167" s="26">
        <f>COUNTIFS($A$4:A2167,A2167)</f>
        <v>1004</v>
      </c>
      <c r="C2167" s="26" t="str">
        <f t="shared" si="67"/>
        <v>1004</v>
      </c>
      <c r="E2167" s="26"/>
      <c r="F2167" s="26"/>
      <c r="H2167" s="27"/>
      <c r="I2167" s="27"/>
      <c r="J2167" s="27"/>
      <c r="K2167" s="27"/>
      <c r="L2167" s="27"/>
      <c r="M2167" s="27"/>
      <c r="N2167" s="40"/>
      <c r="O2167" s="27"/>
      <c r="P2167" s="27"/>
      <c r="Q2167" s="41"/>
      <c r="R2167" s="40"/>
    </row>
    <row r="2168" spans="1:18" ht="30" customHeight="1" x14ac:dyDescent="0.3">
      <c r="A2168" s="26" t="str">
        <f t="shared" si="66"/>
        <v/>
      </c>
      <c r="B2168" s="26">
        <f>COUNTIFS($A$4:A2168,A2168)</f>
        <v>1005</v>
      </c>
      <c r="C2168" s="26" t="str">
        <f t="shared" si="67"/>
        <v>1005</v>
      </c>
      <c r="E2168" s="26"/>
      <c r="F2168" s="26"/>
      <c r="H2168" s="27"/>
      <c r="I2168" s="27"/>
      <c r="J2168" s="27"/>
      <c r="K2168" s="27"/>
      <c r="L2168" s="27"/>
      <c r="M2168" s="27"/>
      <c r="N2168" s="40"/>
      <c r="O2168" s="27"/>
      <c r="P2168" s="27"/>
      <c r="Q2168" s="41"/>
      <c r="R2168" s="40"/>
    </row>
    <row r="2169" spans="1:18" ht="30" customHeight="1" x14ac:dyDescent="0.3">
      <c r="A2169" s="26" t="str">
        <f t="shared" si="66"/>
        <v/>
      </c>
      <c r="B2169" s="26">
        <f>COUNTIFS($A$4:A2169,A2169)</f>
        <v>1006</v>
      </c>
      <c r="C2169" s="26" t="str">
        <f t="shared" si="67"/>
        <v>1006</v>
      </c>
      <c r="E2169" s="26"/>
      <c r="F2169" s="26"/>
      <c r="H2169" s="27"/>
      <c r="I2169" s="27"/>
      <c r="J2169" s="27"/>
      <c r="K2169" s="27"/>
      <c r="L2169" s="27"/>
      <c r="M2169" s="27"/>
      <c r="N2169" s="40"/>
      <c r="O2169" s="27"/>
      <c r="P2169" s="27"/>
      <c r="Q2169" s="41"/>
      <c r="R2169" s="40"/>
    </row>
    <row r="2170" spans="1:18" ht="30" customHeight="1" x14ac:dyDescent="0.3">
      <c r="A2170" s="26" t="str">
        <f t="shared" si="66"/>
        <v/>
      </c>
      <c r="B2170" s="26">
        <f>COUNTIFS($A$4:A2170,A2170)</f>
        <v>1007</v>
      </c>
      <c r="C2170" s="26" t="str">
        <f t="shared" si="67"/>
        <v>1007</v>
      </c>
      <c r="E2170" s="26"/>
      <c r="F2170" s="26"/>
      <c r="H2170" s="27"/>
      <c r="I2170" s="27"/>
      <c r="J2170" s="27"/>
      <c r="K2170" s="27"/>
      <c r="L2170" s="27"/>
      <c r="M2170" s="27"/>
      <c r="N2170" s="40"/>
      <c r="O2170" s="27"/>
      <c r="P2170" s="27"/>
      <c r="Q2170" s="41"/>
      <c r="R2170" s="40"/>
    </row>
    <row r="2171" spans="1:18" ht="30" customHeight="1" x14ac:dyDescent="0.3">
      <c r="A2171" s="26" t="str">
        <f t="shared" si="66"/>
        <v/>
      </c>
      <c r="B2171" s="26">
        <f>COUNTIFS($A$4:A2171,A2171)</f>
        <v>1008</v>
      </c>
      <c r="C2171" s="26" t="str">
        <f t="shared" si="67"/>
        <v>1008</v>
      </c>
      <c r="E2171" s="26"/>
      <c r="F2171" s="26"/>
      <c r="H2171" s="27"/>
      <c r="I2171" s="27"/>
      <c r="J2171" s="27"/>
      <c r="K2171" s="27"/>
      <c r="L2171" s="27"/>
      <c r="M2171" s="27"/>
      <c r="N2171" s="40"/>
      <c r="O2171" s="27"/>
      <c r="P2171" s="27"/>
      <c r="Q2171" s="41"/>
      <c r="R2171" s="40"/>
    </row>
    <row r="2172" spans="1:18" ht="30" customHeight="1" x14ac:dyDescent="0.3">
      <c r="A2172" s="26" t="str">
        <f t="shared" si="66"/>
        <v/>
      </c>
      <c r="B2172" s="26">
        <f>COUNTIFS($A$4:A2172,A2172)</f>
        <v>1009</v>
      </c>
      <c r="C2172" s="26" t="str">
        <f t="shared" si="67"/>
        <v>1009</v>
      </c>
      <c r="E2172" s="26"/>
      <c r="F2172" s="26"/>
      <c r="H2172" s="27"/>
      <c r="I2172" s="27"/>
      <c r="J2172" s="27"/>
      <c r="K2172" s="27"/>
      <c r="L2172" s="27"/>
      <c r="M2172" s="27"/>
      <c r="N2172" s="40"/>
      <c r="O2172" s="27"/>
      <c r="P2172" s="27"/>
      <c r="Q2172" s="41"/>
      <c r="R2172" s="40"/>
    </row>
    <row r="2173" spans="1:18" ht="30" customHeight="1" x14ac:dyDescent="0.3">
      <c r="A2173" s="26" t="str">
        <f t="shared" si="66"/>
        <v/>
      </c>
      <c r="B2173" s="26">
        <f>COUNTIFS($A$4:A2173,A2173)</f>
        <v>1010</v>
      </c>
      <c r="C2173" s="26" t="str">
        <f t="shared" si="67"/>
        <v>1010</v>
      </c>
      <c r="E2173" s="26"/>
      <c r="F2173" s="26"/>
      <c r="H2173" s="27"/>
      <c r="I2173" s="27"/>
      <c r="J2173" s="27"/>
      <c r="K2173" s="27"/>
      <c r="L2173" s="27"/>
      <c r="M2173" s="27"/>
      <c r="N2173" s="40"/>
      <c r="O2173" s="27"/>
      <c r="P2173" s="27"/>
      <c r="Q2173" s="41"/>
      <c r="R2173" s="40"/>
    </row>
    <row r="2174" spans="1:18" ht="30" customHeight="1" x14ac:dyDescent="0.3">
      <c r="A2174" s="26" t="str">
        <f t="shared" si="66"/>
        <v/>
      </c>
      <c r="B2174" s="26">
        <f>COUNTIFS($A$4:A2174,A2174)</f>
        <v>1011</v>
      </c>
      <c r="C2174" s="26" t="str">
        <f t="shared" si="67"/>
        <v>1011</v>
      </c>
      <c r="E2174" s="26"/>
      <c r="F2174" s="26"/>
      <c r="H2174" s="27"/>
      <c r="I2174" s="27"/>
      <c r="J2174" s="27"/>
      <c r="K2174" s="27"/>
      <c r="L2174" s="27"/>
      <c r="M2174" s="27"/>
      <c r="N2174" s="40"/>
      <c r="O2174" s="27"/>
      <c r="P2174" s="27"/>
      <c r="Q2174" s="41"/>
      <c r="R2174" s="40"/>
    </row>
    <row r="2175" spans="1:18" ht="30" customHeight="1" x14ac:dyDescent="0.3">
      <c r="A2175" s="26" t="str">
        <f t="shared" si="66"/>
        <v/>
      </c>
      <c r="B2175" s="26">
        <f>COUNTIFS($A$4:A2175,A2175)</f>
        <v>1012</v>
      </c>
      <c r="C2175" s="26" t="str">
        <f t="shared" si="67"/>
        <v>1012</v>
      </c>
      <c r="E2175" s="26"/>
      <c r="F2175" s="26"/>
      <c r="H2175" s="27"/>
      <c r="I2175" s="27"/>
      <c r="J2175" s="27"/>
      <c r="K2175" s="27"/>
      <c r="L2175" s="27"/>
      <c r="M2175" s="27"/>
      <c r="N2175" s="40"/>
      <c r="O2175" s="27"/>
      <c r="P2175" s="27"/>
      <c r="Q2175" s="41"/>
      <c r="R2175" s="40"/>
    </row>
    <row r="2176" spans="1:18" ht="30" customHeight="1" x14ac:dyDescent="0.3">
      <c r="A2176" s="26" t="str">
        <f t="shared" si="66"/>
        <v/>
      </c>
      <c r="B2176" s="26">
        <f>COUNTIFS($A$4:A2176,A2176)</f>
        <v>1013</v>
      </c>
      <c r="C2176" s="26" t="str">
        <f t="shared" si="67"/>
        <v>1013</v>
      </c>
      <c r="E2176" s="26"/>
      <c r="F2176" s="26"/>
      <c r="H2176" s="27"/>
      <c r="I2176" s="27"/>
      <c r="J2176" s="27"/>
      <c r="K2176" s="27"/>
      <c r="L2176" s="27"/>
      <c r="M2176" s="27"/>
      <c r="N2176" s="40"/>
      <c r="O2176" s="27"/>
      <c r="P2176" s="27"/>
      <c r="Q2176" s="41"/>
      <c r="R2176" s="40"/>
    </row>
    <row r="2177" spans="1:18" ht="30" customHeight="1" x14ac:dyDescent="0.3">
      <c r="A2177" s="26" t="str">
        <f t="shared" si="66"/>
        <v/>
      </c>
      <c r="B2177" s="26">
        <f>COUNTIFS($A$4:A2177,A2177)</f>
        <v>1014</v>
      </c>
      <c r="C2177" s="26" t="str">
        <f t="shared" si="67"/>
        <v>1014</v>
      </c>
      <c r="E2177" s="26"/>
      <c r="F2177" s="26"/>
      <c r="H2177" s="27"/>
      <c r="I2177" s="27"/>
      <c r="J2177" s="27"/>
      <c r="K2177" s="27"/>
      <c r="L2177" s="27"/>
      <c r="M2177" s="27"/>
      <c r="N2177" s="40"/>
      <c r="O2177" s="27"/>
      <c r="P2177" s="27"/>
      <c r="Q2177" s="41"/>
      <c r="R2177" s="40"/>
    </row>
    <row r="2178" spans="1:18" ht="30" customHeight="1" x14ac:dyDescent="0.3">
      <c r="A2178" s="26" t="str">
        <f t="shared" si="66"/>
        <v/>
      </c>
      <c r="B2178" s="26">
        <f>COUNTIFS($A$4:A2178,A2178)</f>
        <v>1015</v>
      </c>
      <c r="C2178" s="26" t="str">
        <f t="shared" si="67"/>
        <v>1015</v>
      </c>
      <c r="E2178" s="26"/>
      <c r="F2178" s="26"/>
      <c r="H2178" s="27"/>
      <c r="I2178" s="27"/>
      <c r="J2178" s="27"/>
      <c r="K2178" s="27"/>
      <c r="L2178" s="27"/>
      <c r="M2178" s="27"/>
      <c r="N2178" s="40"/>
      <c r="O2178" s="27"/>
      <c r="P2178" s="27"/>
      <c r="Q2178" s="41"/>
      <c r="R2178" s="40"/>
    </row>
    <row r="2179" spans="1:18" ht="30" customHeight="1" x14ac:dyDescent="0.3">
      <c r="A2179" s="26" t="str">
        <f t="shared" si="66"/>
        <v/>
      </c>
      <c r="B2179" s="26">
        <f>COUNTIFS($A$4:A2179,A2179)</f>
        <v>1016</v>
      </c>
      <c r="C2179" s="26" t="str">
        <f t="shared" si="67"/>
        <v>1016</v>
      </c>
      <c r="E2179" s="26"/>
      <c r="F2179" s="26"/>
      <c r="H2179" s="27"/>
      <c r="I2179" s="27"/>
      <c r="J2179" s="27"/>
      <c r="K2179" s="27"/>
      <c r="L2179" s="27"/>
      <c r="M2179" s="27"/>
      <c r="N2179" s="40"/>
      <c r="O2179" s="27"/>
      <c r="P2179" s="27"/>
      <c r="Q2179" s="41"/>
      <c r="R2179" s="40"/>
    </row>
    <row r="2180" spans="1:18" ht="30" customHeight="1" x14ac:dyDescent="0.3">
      <c r="A2180" s="26" t="str">
        <f t="shared" si="66"/>
        <v/>
      </c>
      <c r="B2180" s="26">
        <f>COUNTIFS($A$4:A2180,A2180)</f>
        <v>1017</v>
      </c>
      <c r="C2180" s="26" t="str">
        <f t="shared" si="67"/>
        <v>1017</v>
      </c>
      <c r="E2180" s="26"/>
      <c r="F2180" s="26"/>
      <c r="H2180" s="27"/>
      <c r="I2180" s="27"/>
      <c r="J2180" s="27"/>
      <c r="K2180" s="27"/>
      <c r="L2180" s="27"/>
      <c r="M2180" s="27"/>
      <c r="N2180" s="40"/>
      <c r="O2180" s="27"/>
      <c r="P2180" s="27"/>
      <c r="Q2180" s="41"/>
      <c r="R2180" s="40"/>
    </row>
    <row r="2181" spans="1:18" ht="30" customHeight="1" x14ac:dyDescent="0.3">
      <c r="A2181" s="26" t="str">
        <f t="shared" si="66"/>
        <v/>
      </c>
      <c r="B2181" s="26">
        <f>COUNTIFS($A$4:A2181,A2181)</f>
        <v>1018</v>
      </c>
      <c r="C2181" s="26" t="str">
        <f t="shared" si="67"/>
        <v>1018</v>
      </c>
      <c r="E2181" s="26"/>
      <c r="F2181" s="26"/>
      <c r="H2181" s="27"/>
      <c r="I2181" s="27"/>
      <c r="J2181" s="27"/>
      <c r="K2181" s="27"/>
      <c r="L2181" s="27"/>
      <c r="M2181" s="27"/>
      <c r="N2181" s="40"/>
      <c r="O2181" s="27"/>
      <c r="P2181" s="27"/>
      <c r="Q2181" s="41"/>
      <c r="R2181" s="40"/>
    </row>
    <row r="2182" spans="1:18" ht="30" customHeight="1" x14ac:dyDescent="0.3">
      <c r="A2182" s="26" t="str">
        <f t="shared" si="66"/>
        <v/>
      </c>
      <c r="B2182" s="26">
        <f>COUNTIFS($A$4:A2182,A2182)</f>
        <v>1019</v>
      </c>
      <c r="C2182" s="26" t="str">
        <f t="shared" si="67"/>
        <v>1019</v>
      </c>
      <c r="E2182" s="26"/>
      <c r="F2182" s="26"/>
      <c r="H2182" s="27"/>
      <c r="I2182" s="27"/>
      <c r="J2182" s="27"/>
      <c r="K2182" s="27"/>
      <c r="L2182" s="27"/>
      <c r="M2182" s="27"/>
      <c r="N2182" s="40"/>
      <c r="O2182" s="27"/>
      <c r="P2182" s="27"/>
      <c r="Q2182" s="41"/>
      <c r="R2182" s="40"/>
    </row>
    <row r="2183" spans="1:18" ht="30" customHeight="1" x14ac:dyDescent="0.3">
      <c r="A2183" s="26" t="str">
        <f t="shared" si="66"/>
        <v/>
      </c>
      <c r="B2183" s="26">
        <f>COUNTIFS($A$4:A2183,A2183)</f>
        <v>1020</v>
      </c>
      <c r="C2183" s="26" t="str">
        <f t="shared" si="67"/>
        <v>1020</v>
      </c>
      <c r="E2183" s="26"/>
      <c r="F2183" s="26"/>
      <c r="H2183" s="27"/>
      <c r="I2183" s="27"/>
      <c r="J2183" s="27"/>
      <c r="K2183" s="27"/>
      <c r="L2183" s="27"/>
      <c r="M2183" s="27"/>
      <c r="N2183" s="40"/>
      <c r="O2183" s="27"/>
      <c r="P2183" s="27"/>
      <c r="Q2183" s="41"/>
      <c r="R2183" s="40"/>
    </row>
    <row r="2184" spans="1:18" ht="30" customHeight="1" x14ac:dyDescent="0.3">
      <c r="A2184" s="26" t="str">
        <f t="shared" si="66"/>
        <v/>
      </c>
      <c r="B2184" s="26">
        <f>COUNTIFS($A$4:A2184,A2184)</f>
        <v>1021</v>
      </c>
      <c r="C2184" s="26" t="str">
        <f t="shared" si="67"/>
        <v>1021</v>
      </c>
      <c r="E2184" s="26"/>
      <c r="F2184" s="26"/>
      <c r="H2184" s="27"/>
      <c r="I2184" s="27"/>
      <c r="J2184" s="27"/>
      <c r="K2184" s="27"/>
      <c r="L2184" s="27"/>
      <c r="M2184" s="27"/>
      <c r="N2184" s="40"/>
      <c r="O2184" s="27"/>
      <c r="P2184" s="27"/>
      <c r="Q2184" s="41"/>
      <c r="R2184" s="40"/>
    </row>
    <row r="2185" spans="1:18" ht="30" customHeight="1" x14ac:dyDescent="0.3">
      <c r="A2185" s="26" t="str">
        <f t="shared" si="66"/>
        <v/>
      </c>
      <c r="B2185" s="26">
        <f>COUNTIFS($A$4:A2185,A2185)</f>
        <v>1022</v>
      </c>
      <c r="C2185" s="26" t="str">
        <f t="shared" si="67"/>
        <v>1022</v>
      </c>
      <c r="E2185" s="26"/>
      <c r="F2185" s="26"/>
      <c r="H2185" s="27"/>
      <c r="I2185" s="27"/>
      <c r="J2185" s="27"/>
      <c r="K2185" s="27"/>
      <c r="L2185" s="27"/>
      <c r="M2185" s="27"/>
      <c r="N2185" s="40"/>
      <c r="O2185" s="27"/>
      <c r="P2185" s="27"/>
      <c r="Q2185" s="41"/>
      <c r="R2185" s="40"/>
    </row>
    <row r="2186" spans="1:18" ht="30" customHeight="1" x14ac:dyDescent="0.3">
      <c r="A2186" s="26" t="str">
        <f t="shared" si="66"/>
        <v/>
      </c>
      <c r="B2186" s="26">
        <f>COUNTIFS($A$4:A2186,A2186)</f>
        <v>1023</v>
      </c>
      <c r="C2186" s="26" t="str">
        <f t="shared" si="67"/>
        <v>1023</v>
      </c>
      <c r="E2186" s="26"/>
      <c r="F2186" s="26"/>
      <c r="H2186" s="27"/>
      <c r="I2186" s="27"/>
      <c r="J2186" s="27"/>
      <c r="K2186" s="27"/>
      <c r="L2186" s="27"/>
      <c r="M2186" s="27"/>
      <c r="N2186" s="40"/>
      <c r="O2186" s="27"/>
      <c r="P2186" s="27"/>
      <c r="Q2186" s="41"/>
      <c r="R2186" s="40"/>
    </row>
    <row r="2187" spans="1:18" ht="30" customHeight="1" x14ac:dyDescent="0.3">
      <c r="A2187" s="26" t="str">
        <f t="shared" si="66"/>
        <v/>
      </c>
      <c r="B2187" s="26">
        <f>COUNTIFS($A$4:A2187,A2187)</f>
        <v>1024</v>
      </c>
      <c r="C2187" s="26" t="str">
        <f t="shared" si="67"/>
        <v>1024</v>
      </c>
      <c r="E2187" s="26"/>
      <c r="F2187" s="26"/>
      <c r="H2187" s="27"/>
      <c r="I2187" s="27"/>
      <c r="J2187" s="27"/>
      <c r="K2187" s="27"/>
      <c r="L2187" s="27"/>
      <c r="M2187" s="27"/>
      <c r="N2187" s="40"/>
      <c r="O2187" s="27"/>
      <c r="P2187" s="27"/>
      <c r="Q2187" s="41"/>
      <c r="R2187" s="40"/>
    </row>
    <row r="2188" spans="1:18" ht="30" customHeight="1" x14ac:dyDescent="0.3">
      <c r="A2188" s="26" t="str">
        <f t="shared" si="66"/>
        <v/>
      </c>
      <c r="B2188" s="26">
        <f>COUNTIFS($A$4:A2188,A2188)</f>
        <v>1025</v>
      </c>
      <c r="C2188" s="26" t="str">
        <f t="shared" si="67"/>
        <v>1025</v>
      </c>
      <c r="E2188" s="26"/>
      <c r="F2188" s="26"/>
      <c r="H2188" s="27"/>
      <c r="I2188" s="27"/>
      <c r="J2188" s="27"/>
      <c r="K2188" s="27"/>
      <c r="L2188" s="27"/>
      <c r="M2188" s="27"/>
      <c r="N2188" s="40"/>
      <c r="O2188" s="27"/>
      <c r="P2188" s="27"/>
      <c r="Q2188" s="41"/>
      <c r="R2188" s="40"/>
    </row>
    <row r="2189" spans="1:18" ht="30" customHeight="1" x14ac:dyDescent="0.3">
      <c r="A2189" s="26" t="str">
        <f t="shared" si="66"/>
        <v/>
      </c>
      <c r="B2189" s="26">
        <f>COUNTIFS($A$4:A2189,A2189)</f>
        <v>1026</v>
      </c>
      <c r="C2189" s="26" t="str">
        <f t="shared" si="67"/>
        <v>1026</v>
      </c>
      <c r="E2189" s="26"/>
      <c r="F2189" s="26"/>
      <c r="H2189" s="27"/>
      <c r="I2189" s="27"/>
      <c r="J2189" s="27"/>
      <c r="K2189" s="27"/>
      <c r="L2189" s="27"/>
      <c r="M2189" s="27"/>
      <c r="N2189" s="40"/>
      <c r="O2189" s="27"/>
      <c r="P2189" s="27"/>
      <c r="Q2189" s="41"/>
      <c r="R2189" s="40"/>
    </row>
    <row r="2190" spans="1:18" ht="30" customHeight="1" x14ac:dyDescent="0.3">
      <c r="A2190" s="26" t="str">
        <f t="shared" si="66"/>
        <v/>
      </c>
      <c r="B2190" s="26">
        <f>COUNTIFS($A$4:A2190,A2190)</f>
        <v>1027</v>
      </c>
      <c r="C2190" s="26" t="str">
        <f t="shared" si="67"/>
        <v>1027</v>
      </c>
      <c r="E2190" s="26"/>
      <c r="F2190" s="26"/>
      <c r="H2190" s="27"/>
      <c r="I2190" s="27"/>
      <c r="J2190" s="27"/>
      <c r="K2190" s="27"/>
      <c r="L2190" s="27"/>
      <c r="M2190" s="27"/>
      <c r="N2190" s="40"/>
      <c r="O2190" s="27"/>
      <c r="P2190" s="27"/>
      <c r="Q2190" s="41"/>
      <c r="R2190" s="40"/>
    </row>
    <row r="2191" spans="1:18" ht="30" customHeight="1" x14ac:dyDescent="0.3">
      <c r="A2191" s="26" t="str">
        <f t="shared" si="66"/>
        <v/>
      </c>
      <c r="B2191" s="26">
        <f>COUNTIFS($A$4:A2191,A2191)</f>
        <v>1028</v>
      </c>
      <c r="C2191" s="26" t="str">
        <f t="shared" si="67"/>
        <v>1028</v>
      </c>
      <c r="E2191" s="26"/>
      <c r="F2191" s="26"/>
      <c r="H2191" s="27"/>
      <c r="I2191" s="27"/>
      <c r="J2191" s="27"/>
      <c r="K2191" s="27"/>
      <c r="L2191" s="27"/>
      <c r="M2191" s="27"/>
      <c r="N2191" s="40"/>
      <c r="O2191" s="27"/>
      <c r="P2191" s="27"/>
      <c r="Q2191" s="41"/>
      <c r="R2191" s="40"/>
    </row>
    <row r="2192" spans="1:18" ht="30" customHeight="1" x14ac:dyDescent="0.3">
      <c r="A2192" s="26" t="str">
        <f t="shared" si="66"/>
        <v/>
      </c>
      <c r="B2192" s="26">
        <f>COUNTIFS($A$4:A2192,A2192)</f>
        <v>1029</v>
      </c>
      <c r="C2192" s="26" t="str">
        <f t="shared" si="67"/>
        <v>1029</v>
      </c>
      <c r="E2192" s="26"/>
      <c r="F2192" s="26"/>
      <c r="H2192" s="27"/>
      <c r="I2192" s="27"/>
      <c r="J2192" s="27"/>
      <c r="K2192" s="27"/>
      <c r="L2192" s="27"/>
      <c r="M2192" s="27"/>
      <c r="N2192" s="40"/>
      <c r="O2192" s="27"/>
      <c r="P2192" s="27"/>
      <c r="Q2192" s="41"/>
      <c r="R2192" s="40"/>
    </row>
    <row r="2193" spans="1:18" ht="30" customHeight="1" x14ac:dyDescent="0.3">
      <c r="A2193" s="26" t="str">
        <f t="shared" ref="A2193:A2256" si="68">I2193&amp;H2193</f>
        <v/>
      </c>
      <c r="B2193" s="26">
        <f>COUNTIFS($A$4:A2193,A2193)</f>
        <v>1030</v>
      </c>
      <c r="C2193" s="26" t="str">
        <f t="shared" ref="C2193:C2256" si="69">A2193&amp;B2193</f>
        <v>1030</v>
      </c>
      <c r="E2193" s="26"/>
      <c r="F2193" s="26"/>
      <c r="H2193" s="27"/>
      <c r="I2193" s="27"/>
      <c r="J2193" s="27"/>
      <c r="K2193" s="27"/>
      <c r="L2193" s="27"/>
      <c r="M2193" s="27"/>
      <c r="N2193" s="40"/>
      <c r="O2193" s="27"/>
      <c r="P2193" s="27"/>
      <c r="Q2193" s="41"/>
      <c r="R2193" s="40"/>
    </row>
    <row r="2194" spans="1:18" ht="30" customHeight="1" x14ac:dyDescent="0.3">
      <c r="A2194" s="26" t="str">
        <f t="shared" si="68"/>
        <v/>
      </c>
      <c r="B2194" s="26">
        <f>COUNTIFS($A$4:A2194,A2194)</f>
        <v>1031</v>
      </c>
      <c r="C2194" s="26" t="str">
        <f t="shared" si="69"/>
        <v>1031</v>
      </c>
      <c r="E2194" s="26"/>
      <c r="F2194" s="26"/>
      <c r="H2194" s="27"/>
      <c r="I2194" s="27"/>
      <c r="J2194" s="27"/>
      <c r="K2194" s="27"/>
      <c r="L2194" s="27"/>
      <c r="M2194" s="27"/>
      <c r="N2194" s="40"/>
      <c r="O2194" s="27"/>
      <c r="P2194" s="27"/>
      <c r="Q2194" s="41"/>
      <c r="R2194" s="40"/>
    </row>
    <row r="2195" spans="1:18" ht="30" customHeight="1" x14ac:dyDescent="0.3">
      <c r="A2195" s="26" t="str">
        <f t="shared" si="68"/>
        <v/>
      </c>
      <c r="B2195" s="26">
        <f>COUNTIFS($A$4:A2195,A2195)</f>
        <v>1032</v>
      </c>
      <c r="C2195" s="26" t="str">
        <f t="shared" si="69"/>
        <v>1032</v>
      </c>
      <c r="E2195" s="26"/>
      <c r="F2195" s="26"/>
      <c r="H2195" s="27"/>
      <c r="I2195" s="27"/>
      <c r="J2195" s="27"/>
      <c r="K2195" s="27"/>
      <c r="L2195" s="27"/>
      <c r="M2195" s="27"/>
      <c r="N2195" s="40"/>
      <c r="O2195" s="27"/>
      <c r="P2195" s="27"/>
      <c r="Q2195" s="41"/>
      <c r="R2195" s="40"/>
    </row>
    <row r="2196" spans="1:18" ht="30" customHeight="1" x14ac:dyDescent="0.3">
      <c r="A2196" s="26" t="str">
        <f t="shared" si="68"/>
        <v/>
      </c>
      <c r="B2196" s="26">
        <f>COUNTIFS($A$4:A2196,A2196)</f>
        <v>1033</v>
      </c>
      <c r="C2196" s="26" t="str">
        <f t="shared" si="69"/>
        <v>1033</v>
      </c>
      <c r="E2196" s="26"/>
      <c r="F2196" s="26"/>
      <c r="H2196" s="27"/>
      <c r="I2196" s="27"/>
      <c r="J2196" s="27"/>
      <c r="K2196" s="27"/>
      <c r="L2196" s="27"/>
      <c r="M2196" s="27"/>
      <c r="N2196" s="40"/>
      <c r="O2196" s="27"/>
      <c r="P2196" s="27"/>
      <c r="Q2196" s="41"/>
      <c r="R2196" s="40"/>
    </row>
    <row r="2197" spans="1:18" ht="30" customHeight="1" x14ac:dyDescent="0.3">
      <c r="A2197" s="26" t="str">
        <f t="shared" si="68"/>
        <v/>
      </c>
      <c r="B2197" s="26">
        <f>COUNTIFS($A$4:A2197,A2197)</f>
        <v>1034</v>
      </c>
      <c r="C2197" s="26" t="str">
        <f t="shared" si="69"/>
        <v>1034</v>
      </c>
      <c r="E2197" s="26"/>
      <c r="F2197" s="26"/>
      <c r="H2197" s="27"/>
      <c r="I2197" s="27"/>
      <c r="J2197" s="27"/>
      <c r="K2197" s="27"/>
      <c r="L2197" s="27"/>
      <c r="M2197" s="27"/>
      <c r="N2197" s="40"/>
      <c r="O2197" s="27"/>
      <c r="P2197" s="27"/>
      <c r="Q2197" s="41"/>
      <c r="R2197" s="40"/>
    </row>
    <row r="2198" spans="1:18" ht="30" customHeight="1" x14ac:dyDescent="0.3">
      <c r="A2198" s="26" t="str">
        <f t="shared" si="68"/>
        <v/>
      </c>
      <c r="B2198" s="26">
        <f>COUNTIFS($A$4:A2198,A2198)</f>
        <v>1035</v>
      </c>
      <c r="C2198" s="26" t="str">
        <f t="shared" si="69"/>
        <v>1035</v>
      </c>
      <c r="E2198" s="26"/>
      <c r="F2198" s="26"/>
      <c r="H2198" s="27"/>
      <c r="I2198" s="27"/>
      <c r="J2198" s="27"/>
      <c r="K2198" s="27"/>
      <c r="L2198" s="27"/>
      <c r="M2198" s="27"/>
      <c r="N2198" s="40"/>
      <c r="O2198" s="27"/>
      <c r="P2198" s="27"/>
      <c r="Q2198" s="41"/>
      <c r="R2198" s="40"/>
    </row>
    <row r="2199" spans="1:18" ht="30" customHeight="1" x14ac:dyDescent="0.3">
      <c r="A2199" s="26" t="str">
        <f t="shared" si="68"/>
        <v/>
      </c>
      <c r="B2199" s="26">
        <f>COUNTIFS($A$4:A2199,A2199)</f>
        <v>1036</v>
      </c>
      <c r="C2199" s="26" t="str">
        <f t="shared" si="69"/>
        <v>1036</v>
      </c>
      <c r="E2199" s="26"/>
      <c r="F2199" s="26"/>
      <c r="H2199" s="27"/>
      <c r="I2199" s="27"/>
      <c r="J2199" s="27"/>
      <c r="K2199" s="27"/>
      <c r="L2199" s="27"/>
      <c r="M2199" s="27"/>
      <c r="N2199" s="40"/>
      <c r="O2199" s="27"/>
      <c r="P2199" s="27"/>
      <c r="Q2199" s="41"/>
      <c r="R2199" s="40"/>
    </row>
    <row r="2200" spans="1:18" ht="30" customHeight="1" x14ac:dyDescent="0.3">
      <c r="A2200" s="26" t="str">
        <f t="shared" si="68"/>
        <v/>
      </c>
      <c r="B2200" s="26">
        <f>COUNTIFS($A$4:A2200,A2200)</f>
        <v>1037</v>
      </c>
      <c r="C2200" s="26" t="str">
        <f t="shared" si="69"/>
        <v>1037</v>
      </c>
      <c r="E2200" s="26"/>
      <c r="F2200" s="26"/>
      <c r="H2200" s="27"/>
      <c r="I2200" s="27"/>
      <c r="J2200" s="27"/>
      <c r="K2200" s="27"/>
      <c r="L2200" s="27"/>
      <c r="M2200" s="27"/>
      <c r="N2200" s="40"/>
      <c r="O2200" s="27"/>
      <c r="P2200" s="27"/>
      <c r="Q2200" s="41"/>
      <c r="R2200" s="40"/>
    </row>
    <row r="2201" spans="1:18" ht="30" customHeight="1" x14ac:dyDescent="0.3">
      <c r="A2201" s="26" t="str">
        <f t="shared" si="68"/>
        <v/>
      </c>
      <c r="B2201" s="26">
        <f>COUNTIFS($A$4:A2201,A2201)</f>
        <v>1038</v>
      </c>
      <c r="C2201" s="26" t="str">
        <f t="shared" si="69"/>
        <v>1038</v>
      </c>
      <c r="E2201" s="26"/>
      <c r="F2201" s="26"/>
      <c r="H2201" s="27"/>
      <c r="I2201" s="27"/>
      <c r="J2201" s="27"/>
      <c r="K2201" s="27"/>
      <c r="L2201" s="27"/>
      <c r="M2201" s="27"/>
      <c r="N2201" s="40"/>
      <c r="O2201" s="27"/>
      <c r="P2201" s="27"/>
      <c r="Q2201" s="41"/>
      <c r="R2201" s="40"/>
    </row>
    <row r="2202" spans="1:18" ht="30" customHeight="1" x14ac:dyDescent="0.3">
      <c r="A2202" s="26" t="str">
        <f t="shared" si="68"/>
        <v/>
      </c>
      <c r="B2202" s="26">
        <f>COUNTIFS($A$4:A2202,A2202)</f>
        <v>1039</v>
      </c>
      <c r="C2202" s="26" t="str">
        <f t="shared" si="69"/>
        <v>1039</v>
      </c>
      <c r="E2202" s="26"/>
      <c r="F2202" s="26"/>
      <c r="H2202" s="27"/>
      <c r="I2202" s="27"/>
      <c r="J2202" s="27"/>
      <c r="K2202" s="27"/>
      <c r="L2202" s="27"/>
      <c r="M2202" s="27"/>
      <c r="N2202" s="40"/>
      <c r="O2202" s="27"/>
      <c r="P2202" s="27"/>
      <c r="Q2202" s="41"/>
      <c r="R2202" s="40"/>
    </row>
    <row r="2203" spans="1:18" ht="30" customHeight="1" x14ac:dyDescent="0.3">
      <c r="A2203" s="26" t="str">
        <f t="shared" si="68"/>
        <v/>
      </c>
      <c r="B2203" s="26">
        <f>COUNTIFS($A$4:A2203,A2203)</f>
        <v>1040</v>
      </c>
      <c r="C2203" s="26" t="str">
        <f t="shared" si="69"/>
        <v>1040</v>
      </c>
      <c r="E2203" s="26"/>
      <c r="F2203" s="26"/>
      <c r="H2203" s="27"/>
      <c r="I2203" s="27"/>
      <c r="J2203" s="27"/>
      <c r="K2203" s="27"/>
      <c r="L2203" s="27"/>
      <c r="M2203" s="27"/>
      <c r="N2203" s="40"/>
      <c r="O2203" s="27"/>
      <c r="P2203" s="27"/>
      <c r="Q2203" s="41"/>
      <c r="R2203" s="40"/>
    </row>
    <row r="2204" spans="1:18" ht="30" customHeight="1" x14ac:dyDescent="0.3">
      <c r="A2204" s="26" t="str">
        <f t="shared" si="68"/>
        <v/>
      </c>
      <c r="B2204" s="26">
        <f>COUNTIFS($A$4:A2204,A2204)</f>
        <v>1041</v>
      </c>
      <c r="C2204" s="26" t="str">
        <f t="shared" si="69"/>
        <v>1041</v>
      </c>
      <c r="E2204" s="26"/>
      <c r="F2204" s="26"/>
      <c r="H2204" s="27"/>
      <c r="I2204" s="27"/>
      <c r="J2204" s="27"/>
      <c r="K2204" s="27"/>
      <c r="L2204" s="27"/>
      <c r="M2204" s="27"/>
      <c r="N2204" s="40"/>
      <c r="O2204" s="27"/>
      <c r="P2204" s="27"/>
      <c r="Q2204" s="41"/>
      <c r="R2204" s="40"/>
    </row>
    <row r="2205" spans="1:18" ht="30" customHeight="1" x14ac:dyDescent="0.3">
      <c r="A2205" s="26" t="str">
        <f t="shared" si="68"/>
        <v/>
      </c>
      <c r="B2205" s="26">
        <f>COUNTIFS($A$4:A2205,A2205)</f>
        <v>1042</v>
      </c>
      <c r="C2205" s="26" t="str">
        <f t="shared" si="69"/>
        <v>1042</v>
      </c>
      <c r="E2205" s="26"/>
      <c r="F2205" s="26"/>
      <c r="H2205" s="27"/>
      <c r="I2205" s="27"/>
      <c r="J2205" s="27"/>
      <c r="K2205" s="27"/>
      <c r="L2205" s="27"/>
      <c r="M2205" s="27"/>
      <c r="N2205" s="40"/>
      <c r="O2205" s="27"/>
      <c r="P2205" s="27"/>
      <c r="Q2205" s="41"/>
      <c r="R2205" s="40"/>
    </row>
    <row r="2206" spans="1:18" ht="30" customHeight="1" x14ac:dyDescent="0.3">
      <c r="A2206" s="26" t="str">
        <f t="shared" si="68"/>
        <v/>
      </c>
      <c r="B2206" s="26">
        <f>COUNTIFS($A$4:A2206,A2206)</f>
        <v>1043</v>
      </c>
      <c r="C2206" s="26" t="str">
        <f t="shared" si="69"/>
        <v>1043</v>
      </c>
      <c r="E2206" s="26"/>
      <c r="F2206" s="26"/>
      <c r="H2206" s="27"/>
      <c r="I2206" s="27"/>
      <c r="J2206" s="27"/>
      <c r="K2206" s="27"/>
      <c r="L2206" s="27"/>
      <c r="M2206" s="27"/>
      <c r="N2206" s="40"/>
      <c r="O2206" s="27"/>
      <c r="P2206" s="27"/>
      <c r="Q2206" s="41"/>
      <c r="R2206" s="40"/>
    </row>
    <row r="2207" spans="1:18" ht="30" customHeight="1" x14ac:dyDescent="0.3">
      <c r="A2207" s="26" t="str">
        <f t="shared" si="68"/>
        <v/>
      </c>
      <c r="B2207" s="26">
        <f>COUNTIFS($A$4:A2207,A2207)</f>
        <v>1044</v>
      </c>
      <c r="C2207" s="26" t="str">
        <f t="shared" si="69"/>
        <v>1044</v>
      </c>
      <c r="E2207" s="26"/>
      <c r="F2207" s="26"/>
      <c r="H2207" s="27"/>
      <c r="I2207" s="27"/>
      <c r="J2207" s="27"/>
      <c r="K2207" s="27"/>
      <c r="L2207" s="27"/>
      <c r="M2207" s="27"/>
      <c r="N2207" s="40"/>
      <c r="O2207" s="27"/>
      <c r="P2207" s="27"/>
      <c r="Q2207" s="41"/>
      <c r="R2207" s="40"/>
    </row>
    <row r="2208" spans="1:18" ht="30" customHeight="1" x14ac:dyDescent="0.3">
      <c r="A2208" s="26" t="str">
        <f t="shared" si="68"/>
        <v/>
      </c>
      <c r="B2208" s="26">
        <f>COUNTIFS($A$4:A2208,A2208)</f>
        <v>1045</v>
      </c>
      <c r="C2208" s="26" t="str">
        <f t="shared" si="69"/>
        <v>1045</v>
      </c>
      <c r="E2208" s="26"/>
      <c r="F2208" s="26"/>
      <c r="H2208" s="27"/>
      <c r="I2208" s="27"/>
      <c r="J2208" s="27"/>
      <c r="K2208" s="27"/>
      <c r="L2208" s="27"/>
      <c r="M2208" s="27"/>
      <c r="N2208" s="40"/>
      <c r="O2208" s="27"/>
      <c r="P2208" s="27"/>
      <c r="Q2208" s="41"/>
      <c r="R2208" s="40"/>
    </row>
    <row r="2209" spans="1:18" ht="30" customHeight="1" x14ac:dyDescent="0.3">
      <c r="A2209" s="26" t="str">
        <f t="shared" si="68"/>
        <v/>
      </c>
      <c r="B2209" s="26">
        <f>COUNTIFS($A$4:A2209,A2209)</f>
        <v>1046</v>
      </c>
      <c r="C2209" s="26" t="str">
        <f t="shared" si="69"/>
        <v>1046</v>
      </c>
      <c r="E2209" s="26"/>
      <c r="F2209" s="26"/>
      <c r="H2209" s="27"/>
      <c r="I2209" s="27"/>
      <c r="J2209" s="27"/>
      <c r="K2209" s="27"/>
      <c r="L2209" s="27"/>
      <c r="M2209" s="27"/>
      <c r="N2209" s="40"/>
      <c r="O2209" s="27"/>
      <c r="P2209" s="27"/>
      <c r="Q2209" s="41"/>
      <c r="R2209" s="40"/>
    </row>
    <row r="2210" spans="1:18" ht="30" customHeight="1" x14ac:dyDescent="0.3">
      <c r="A2210" s="26" t="str">
        <f t="shared" si="68"/>
        <v/>
      </c>
      <c r="B2210" s="26">
        <f>COUNTIFS($A$4:A2210,A2210)</f>
        <v>1047</v>
      </c>
      <c r="C2210" s="26" t="str">
        <f t="shared" si="69"/>
        <v>1047</v>
      </c>
      <c r="E2210" s="26"/>
      <c r="F2210" s="26"/>
      <c r="H2210" s="27"/>
      <c r="I2210" s="27"/>
      <c r="J2210" s="27"/>
      <c r="K2210" s="27"/>
      <c r="L2210" s="27"/>
      <c r="M2210" s="27"/>
      <c r="N2210" s="40"/>
      <c r="O2210" s="27"/>
      <c r="P2210" s="27"/>
      <c r="Q2210" s="41"/>
      <c r="R2210" s="40"/>
    </row>
    <row r="2211" spans="1:18" ht="30" customHeight="1" x14ac:dyDescent="0.3">
      <c r="A2211" s="26" t="str">
        <f t="shared" si="68"/>
        <v/>
      </c>
      <c r="B2211" s="26">
        <f>COUNTIFS($A$4:A2211,A2211)</f>
        <v>1048</v>
      </c>
      <c r="C2211" s="26" t="str">
        <f t="shared" si="69"/>
        <v>1048</v>
      </c>
      <c r="E2211" s="26"/>
      <c r="F2211" s="26"/>
      <c r="H2211" s="27"/>
      <c r="I2211" s="27"/>
      <c r="J2211" s="27"/>
      <c r="K2211" s="27"/>
      <c r="L2211" s="27"/>
      <c r="M2211" s="27"/>
      <c r="N2211" s="40"/>
      <c r="O2211" s="27"/>
      <c r="P2211" s="27"/>
      <c r="Q2211" s="41"/>
      <c r="R2211" s="40"/>
    </row>
    <row r="2212" spans="1:18" ht="30" customHeight="1" x14ac:dyDescent="0.3">
      <c r="A2212" s="26" t="str">
        <f t="shared" si="68"/>
        <v/>
      </c>
      <c r="B2212" s="26">
        <f>COUNTIFS($A$4:A2212,A2212)</f>
        <v>1049</v>
      </c>
      <c r="C2212" s="26" t="str">
        <f t="shared" si="69"/>
        <v>1049</v>
      </c>
      <c r="E2212" s="26"/>
      <c r="F2212" s="26"/>
      <c r="H2212" s="27"/>
      <c r="I2212" s="27"/>
      <c r="J2212" s="27"/>
      <c r="K2212" s="27"/>
      <c r="L2212" s="27"/>
      <c r="M2212" s="27"/>
      <c r="N2212" s="40"/>
      <c r="O2212" s="27"/>
      <c r="P2212" s="27"/>
      <c r="Q2212" s="41"/>
      <c r="R2212" s="40"/>
    </row>
    <row r="2213" spans="1:18" ht="30" customHeight="1" x14ac:dyDescent="0.3">
      <c r="A2213" s="26" t="str">
        <f t="shared" si="68"/>
        <v/>
      </c>
      <c r="B2213" s="26">
        <f>COUNTIFS($A$4:A2213,A2213)</f>
        <v>1050</v>
      </c>
      <c r="C2213" s="26" t="str">
        <f t="shared" si="69"/>
        <v>1050</v>
      </c>
      <c r="E2213" s="26"/>
      <c r="F2213" s="26"/>
      <c r="H2213" s="27"/>
      <c r="I2213" s="27"/>
      <c r="J2213" s="27"/>
      <c r="K2213" s="27"/>
      <c r="L2213" s="27"/>
      <c r="M2213" s="27"/>
      <c r="N2213" s="40"/>
      <c r="O2213" s="27"/>
      <c r="P2213" s="27"/>
      <c r="Q2213" s="41"/>
      <c r="R2213" s="40"/>
    </row>
    <row r="2214" spans="1:18" ht="30" customHeight="1" x14ac:dyDescent="0.3">
      <c r="A2214" s="26" t="str">
        <f t="shared" si="68"/>
        <v/>
      </c>
      <c r="B2214" s="26">
        <f>COUNTIFS($A$4:A2214,A2214)</f>
        <v>1051</v>
      </c>
      <c r="C2214" s="26" t="str">
        <f t="shared" si="69"/>
        <v>1051</v>
      </c>
      <c r="E2214" s="26"/>
      <c r="F2214" s="26"/>
      <c r="H2214" s="27"/>
      <c r="I2214" s="27"/>
      <c r="J2214" s="27"/>
      <c r="K2214" s="27"/>
      <c r="L2214" s="27"/>
      <c r="M2214" s="27"/>
      <c r="N2214" s="40"/>
      <c r="O2214" s="27"/>
      <c r="P2214" s="27"/>
      <c r="Q2214" s="41"/>
      <c r="R2214" s="40"/>
    </row>
    <row r="2215" spans="1:18" ht="30" customHeight="1" x14ac:dyDescent="0.3">
      <c r="A2215" s="26" t="str">
        <f t="shared" si="68"/>
        <v/>
      </c>
      <c r="B2215" s="26">
        <f>COUNTIFS($A$4:A2215,A2215)</f>
        <v>1052</v>
      </c>
      <c r="C2215" s="26" t="str">
        <f t="shared" si="69"/>
        <v>1052</v>
      </c>
      <c r="E2215" s="26"/>
      <c r="F2215" s="26"/>
      <c r="H2215" s="27"/>
      <c r="I2215" s="27"/>
      <c r="J2215" s="27"/>
      <c r="K2215" s="27"/>
      <c r="L2215" s="27"/>
      <c r="M2215" s="27"/>
      <c r="N2215" s="40"/>
      <c r="O2215" s="27"/>
      <c r="P2215" s="27"/>
      <c r="Q2215" s="41"/>
      <c r="R2215" s="40"/>
    </row>
    <row r="2216" spans="1:18" ht="30" customHeight="1" x14ac:dyDescent="0.3">
      <c r="A2216" s="26" t="str">
        <f t="shared" si="68"/>
        <v/>
      </c>
      <c r="B2216" s="26">
        <f>COUNTIFS($A$4:A2216,A2216)</f>
        <v>1053</v>
      </c>
      <c r="C2216" s="26" t="str">
        <f t="shared" si="69"/>
        <v>1053</v>
      </c>
      <c r="E2216" s="26"/>
      <c r="F2216" s="26"/>
      <c r="H2216" s="27"/>
      <c r="I2216" s="27"/>
      <c r="J2216" s="27"/>
      <c r="K2216" s="27"/>
      <c r="L2216" s="27"/>
      <c r="M2216" s="27"/>
      <c r="N2216" s="40"/>
      <c r="O2216" s="27"/>
      <c r="P2216" s="27"/>
      <c r="Q2216" s="41"/>
      <c r="R2216" s="40"/>
    </row>
    <row r="2217" spans="1:18" ht="30" customHeight="1" x14ac:dyDescent="0.3">
      <c r="A2217" s="26" t="str">
        <f t="shared" si="68"/>
        <v/>
      </c>
      <c r="B2217" s="26">
        <f>COUNTIFS($A$4:A2217,A2217)</f>
        <v>1054</v>
      </c>
      <c r="C2217" s="26" t="str">
        <f t="shared" si="69"/>
        <v>1054</v>
      </c>
      <c r="E2217" s="26"/>
      <c r="F2217" s="26"/>
      <c r="H2217" s="27"/>
      <c r="I2217" s="27"/>
      <c r="J2217" s="27"/>
      <c r="K2217" s="27"/>
      <c r="L2217" s="27"/>
      <c r="M2217" s="27"/>
      <c r="N2217" s="40"/>
      <c r="O2217" s="27"/>
      <c r="P2217" s="27"/>
      <c r="Q2217" s="41"/>
      <c r="R2217" s="40"/>
    </row>
    <row r="2218" spans="1:18" ht="30" customHeight="1" x14ac:dyDescent="0.3">
      <c r="A2218" s="26" t="str">
        <f t="shared" si="68"/>
        <v/>
      </c>
      <c r="B2218" s="26">
        <f>COUNTIFS($A$4:A2218,A2218)</f>
        <v>1055</v>
      </c>
      <c r="C2218" s="26" t="str">
        <f t="shared" si="69"/>
        <v>1055</v>
      </c>
      <c r="E2218" s="26"/>
      <c r="F2218" s="26"/>
      <c r="H2218" s="27"/>
      <c r="I2218" s="27"/>
      <c r="J2218" s="27"/>
      <c r="K2218" s="27"/>
      <c r="L2218" s="27"/>
      <c r="M2218" s="27"/>
      <c r="N2218" s="40"/>
      <c r="O2218" s="27"/>
      <c r="P2218" s="27"/>
      <c r="Q2218" s="41"/>
      <c r="R2218" s="40"/>
    </row>
    <row r="2219" spans="1:18" ht="30" customHeight="1" x14ac:dyDescent="0.3">
      <c r="A2219" s="26" t="str">
        <f t="shared" si="68"/>
        <v/>
      </c>
      <c r="B2219" s="26">
        <f>COUNTIFS($A$4:A2219,A2219)</f>
        <v>1056</v>
      </c>
      <c r="C2219" s="26" t="str">
        <f t="shared" si="69"/>
        <v>1056</v>
      </c>
      <c r="E2219" s="26"/>
      <c r="F2219" s="26"/>
      <c r="H2219" s="27"/>
      <c r="I2219" s="27"/>
      <c r="J2219" s="27"/>
      <c r="K2219" s="27"/>
      <c r="L2219" s="27"/>
      <c r="M2219" s="27"/>
      <c r="N2219" s="40"/>
      <c r="O2219" s="27"/>
      <c r="P2219" s="27"/>
      <c r="Q2219" s="41"/>
      <c r="R2219" s="40"/>
    </row>
    <row r="2220" spans="1:18" ht="30" customHeight="1" x14ac:dyDescent="0.3">
      <c r="A2220" s="26" t="str">
        <f t="shared" si="68"/>
        <v/>
      </c>
      <c r="B2220" s="26">
        <f>COUNTIFS($A$4:A2220,A2220)</f>
        <v>1057</v>
      </c>
      <c r="C2220" s="26" t="str">
        <f t="shared" si="69"/>
        <v>1057</v>
      </c>
      <c r="E2220" s="26"/>
      <c r="F2220" s="26"/>
      <c r="H2220" s="27"/>
      <c r="I2220" s="27"/>
      <c r="J2220" s="27"/>
      <c r="K2220" s="27"/>
      <c r="L2220" s="27"/>
      <c r="M2220" s="27"/>
      <c r="N2220" s="40"/>
      <c r="O2220" s="27"/>
      <c r="P2220" s="27"/>
      <c r="Q2220" s="41"/>
      <c r="R2220" s="40"/>
    </row>
    <row r="2221" spans="1:18" ht="30" customHeight="1" x14ac:dyDescent="0.3">
      <c r="A2221" s="26" t="str">
        <f t="shared" si="68"/>
        <v/>
      </c>
      <c r="B2221" s="26">
        <f>COUNTIFS($A$4:A2221,A2221)</f>
        <v>1058</v>
      </c>
      <c r="C2221" s="26" t="str">
        <f t="shared" si="69"/>
        <v>1058</v>
      </c>
      <c r="E2221" s="26"/>
      <c r="F2221" s="26"/>
      <c r="H2221" s="27"/>
      <c r="I2221" s="27"/>
      <c r="J2221" s="27"/>
      <c r="K2221" s="27"/>
      <c r="L2221" s="27"/>
      <c r="M2221" s="27"/>
      <c r="N2221" s="40"/>
      <c r="O2221" s="27"/>
      <c r="P2221" s="27"/>
      <c r="Q2221" s="41"/>
      <c r="R2221" s="40"/>
    </row>
    <row r="2222" spans="1:18" ht="30" customHeight="1" x14ac:dyDescent="0.3">
      <c r="A2222" s="26" t="str">
        <f t="shared" si="68"/>
        <v/>
      </c>
      <c r="B2222" s="26">
        <f>COUNTIFS($A$4:A2222,A2222)</f>
        <v>1059</v>
      </c>
      <c r="C2222" s="26" t="str">
        <f t="shared" si="69"/>
        <v>1059</v>
      </c>
      <c r="E2222" s="26"/>
      <c r="F2222" s="26"/>
      <c r="H2222" s="27"/>
      <c r="I2222" s="27"/>
      <c r="J2222" s="27"/>
      <c r="K2222" s="27"/>
      <c r="L2222" s="27"/>
      <c r="M2222" s="27"/>
      <c r="N2222" s="40"/>
      <c r="O2222" s="27"/>
      <c r="P2222" s="27"/>
      <c r="Q2222" s="41"/>
      <c r="R2222" s="40"/>
    </row>
    <row r="2223" spans="1:18" ht="30" customHeight="1" x14ac:dyDescent="0.3">
      <c r="A2223" s="26" t="str">
        <f t="shared" si="68"/>
        <v/>
      </c>
      <c r="B2223" s="26">
        <f>COUNTIFS($A$4:A2223,A2223)</f>
        <v>1060</v>
      </c>
      <c r="C2223" s="26" t="str">
        <f t="shared" si="69"/>
        <v>1060</v>
      </c>
      <c r="E2223" s="26"/>
      <c r="F2223" s="26"/>
      <c r="H2223" s="27"/>
      <c r="I2223" s="27"/>
      <c r="J2223" s="27"/>
      <c r="K2223" s="27"/>
      <c r="L2223" s="27"/>
      <c r="M2223" s="27"/>
      <c r="N2223" s="40"/>
      <c r="O2223" s="27"/>
      <c r="P2223" s="27"/>
      <c r="Q2223" s="41"/>
      <c r="R2223" s="40"/>
    </row>
    <row r="2224" spans="1:18" ht="30" customHeight="1" x14ac:dyDescent="0.3">
      <c r="A2224" s="26" t="str">
        <f t="shared" si="68"/>
        <v/>
      </c>
      <c r="B2224" s="26">
        <f>COUNTIFS($A$4:A2224,A2224)</f>
        <v>1061</v>
      </c>
      <c r="C2224" s="26" t="str">
        <f t="shared" si="69"/>
        <v>1061</v>
      </c>
      <c r="E2224" s="26"/>
      <c r="F2224" s="26"/>
      <c r="H2224" s="27"/>
      <c r="I2224" s="27"/>
      <c r="J2224" s="27"/>
      <c r="K2224" s="27"/>
      <c r="L2224" s="27"/>
      <c r="M2224" s="27"/>
      <c r="N2224" s="40"/>
      <c r="O2224" s="27"/>
      <c r="P2224" s="27"/>
      <c r="Q2224" s="41"/>
      <c r="R2224" s="40"/>
    </row>
    <row r="2225" spans="1:18" ht="30" customHeight="1" x14ac:dyDescent="0.3">
      <c r="A2225" s="26" t="str">
        <f t="shared" si="68"/>
        <v/>
      </c>
      <c r="B2225" s="26">
        <f>COUNTIFS($A$4:A2225,A2225)</f>
        <v>1062</v>
      </c>
      <c r="C2225" s="26" t="str">
        <f t="shared" si="69"/>
        <v>1062</v>
      </c>
      <c r="E2225" s="26"/>
      <c r="F2225" s="26"/>
      <c r="H2225" s="27"/>
      <c r="I2225" s="27"/>
      <c r="J2225" s="27"/>
      <c r="K2225" s="27"/>
      <c r="L2225" s="27"/>
      <c r="M2225" s="27"/>
      <c r="N2225" s="40"/>
      <c r="O2225" s="27"/>
      <c r="P2225" s="27"/>
      <c r="Q2225" s="41"/>
      <c r="R2225" s="40"/>
    </row>
    <row r="2226" spans="1:18" ht="30" customHeight="1" x14ac:dyDescent="0.3">
      <c r="A2226" s="26" t="str">
        <f t="shared" si="68"/>
        <v/>
      </c>
      <c r="B2226" s="26">
        <f>COUNTIFS($A$4:A2226,A2226)</f>
        <v>1063</v>
      </c>
      <c r="C2226" s="26" t="str">
        <f t="shared" si="69"/>
        <v>1063</v>
      </c>
      <c r="E2226" s="26"/>
      <c r="F2226" s="26"/>
      <c r="H2226" s="27"/>
      <c r="I2226" s="27"/>
      <c r="J2226" s="27"/>
      <c r="K2226" s="27"/>
      <c r="L2226" s="27"/>
      <c r="M2226" s="27"/>
      <c r="N2226" s="40"/>
      <c r="O2226" s="27"/>
      <c r="P2226" s="27"/>
      <c r="Q2226" s="41"/>
      <c r="R2226" s="40"/>
    </row>
    <row r="2227" spans="1:18" ht="30" customHeight="1" x14ac:dyDescent="0.3">
      <c r="A2227" s="26" t="str">
        <f t="shared" si="68"/>
        <v/>
      </c>
      <c r="B2227" s="26">
        <f>COUNTIFS($A$4:A2227,A2227)</f>
        <v>1064</v>
      </c>
      <c r="C2227" s="26" t="str">
        <f t="shared" si="69"/>
        <v>1064</v>
      </c>
      <c r="E2227" s="26"/>
      <c r="F2227" s="26"/>
      <c r="H2227" s="27"/>
      <c r="I2227" s="27"/>
      <c r="J2227" s="27"/>
      <c r="K2227" s="27"/>
      <c r="L2227" s="27"/>
      <c r="M2227" s="27"/>
      <c r="N2227" s="40"/>
      <c r="O2227" s="27"/>
      <c r="P2227" s="27"/>
      <c r="Q2227" s="41"/>
      <c r="R2227" s="40"/>
    </row>
    <row r="2228" spans="1:18" ht="30" customHeight="1" x14ac:dyDescent="0.3">
      <c r="A2228" s="26" t="str">
        <f t="shared" si="68"/>
        <v/>
      </c>
      <c r="B2228" s="26">
        <f>COUNTIFS($A$4:A2228,A2228)</f>
        <v>1065</v>
      </c>
      <c r="C2228" s="26" t="str">
        <f t="shared" si="69"/>
        <v>1065</v>
      </c>
      <c r="E2228" s="26"/>
      <c r="F2228" s="26"/>
      <c r="H2228" s="27"/>
      <c r="I2228" s="27"/>
      <c r="J2228" s="27"/>
      <c r="K2228" s="27"/>
      <c r="L2228" s="27"/>
      <c r="M2228" s="27"/>
      <c r="N2228" s="40"/>
      <c r="O2228" s="27"/>
      <c r="P2228" s="27"/>
      <c r="Q2228" s="41"/>
      <c r="R2228" s="40"/>
    </row>
    <row r="2229" spans="1:18" ht="30" customHeight="1" x14ac:dyDescent="0.3">
      <c r="A2229" s="26" t="str">
        <f t="shared" si="68"/>
        <v/>
      </c>
      <c r="B2229" s="26">
        <f>COUNTIFS($A$4:A2229,A2229)</f>
        <v>1066</v>
      </c>
      <c r="C2229" s="26" t="str">
        <f t="shared" si="69"/>
        <v>1066</v>
      </c>
      <c r="E2229" s="26"/>
      <c r="F2229" s="26"/>
      <c r="H2229" s="27"/>
      <c r="I2229" s="27"/>
      <c r="J2229" s="27"/>
      <c r="K2229" s="27"/>
      <c r="L2229" s="27"/>
      <c r="M2229" s="27"/>
      <c r="N2229" s="40"/>
      <c r="O2229" s="27"/>
      <c r="P2229" s="27"/>
      <c r="Q2229" s="41"/>
      <c r="R2229" s="40"/>
    </row>
    <row r="2230" spans="1:18" ht="30" customHeight="1" x14ac:dyDescent="0.3">
      <c r="A2230" s="26" t="str">
        <f t="shared" si="68"/>
        <v/>
      </c>
      <c r="B2230" s="26">
        <f>COUNTIFS($A$4:A2230,A2230)</f>
        <v>1067</v>
      </c>
      <c r="C2230" s="26" t="str">
        <f t="shared" si="69"/>
        <v>1067</v>
      </c>
      <c r="E2230" s="26"/>
      <c r="F2230" s="26"/>
      <c r="H2230" s="27"/>
      <c r="I2230" s="27"/>
      <c r="J2230" s="27"/>
      <c r="K2230" s="27"/>
      <c r="L2230" s="27"/>
      <c r="M2230" s="27"/>
      <c r="N2230" s="40"/>
      <c r="O2230" s="27"/>
      <c r="P2230" s="27"/>
      <c r="Q2230" s="41"/>
      <c r="R2230" s="40"/>
    </row>
    <row r="2231" spans="1:18" ht="30" customHeight="1" x14ac:dyDescent="0.3">
      <c r="A2231" s="26" t="str">
        <f t="shared" si="68"/>
        <v/>
      </c>
      <c r="B2231" s="26">
        <f>COUNTIFS($A$4:A2231,A2231)</f>
        <v>1068</v>
      </c>
      <c r="C2231" s="26" t="str">
        <f t="shared" si="69"/>
        <v>1068</v>
      </c>
      <c r="E2231" s="26"/>
      <c r="F2231" s="26"/>
      <c r="H2231" s="27"/>
      <c r="I2231" s="27"/>
      <c r="J2231" s="27"/>
      <c r="K2231" s="27"/>
      <c r="L2231" s="27"/>
      <c r="M2231" s="27"/>
      <c r="N2231" s="40"/>
      <c r="O2231" s="27"/>
      <c r="P2231" s="27"/>
      <c r="Q2231" s="41"/>
      <c r="R2231" s="40"/>
    </row>
    <row r="2232" spans="1:18" ht="30" customHeight="1" x14ac:dyDescent="0.3">
      <c r="A2232" s="26" t="str">
        <f t="shared" si="68"/>
        <v/>
      </c>
      <c r="B2232" s="26">
        <f>COUNTIFS($A$4:A2232,A2232)</f>
        <v>1069</v>
      </c>
      <c r="C2232" s="26" t="str">
        <f t="shared" si="69"/>
        <v>1069</v>
      </c>
      <c r="E2232" s="26"/>
      <c r="F2232" s="26"/>
      <c r="H2232" s="27"/>
      <c r="I2232" s="27"/>
      <c r="J2232" s="27"/>
      <c r="K2232" s="27"/>
      <c r="L2232" s="27"/>
      <c r="M2232" s="27"/>
      <c r="N2232" s="40"/>
      <c r="O2232" s="27"/>
      <c r="P2232" s="27"/>
      <c r="Q2232" s="41"/>
      <c r="R2232" s="40"/>
    </row>
    <row r="2233" spans="1:18" ht="30" customHeight="1" x14ac:dyDescent="0.3">
      <c r="A2233" s="26" t="str">
        <f t="shared" si="68"/>
        <v/>
      </c>
      <c r="B2233" s="26">
        <f>COUNTIFS($A$4:A2233,A2233)</f>
        <v>1070</v>
      </c>
      <c r="C2233" s="26" t="str">
        <f t="shared" si="69"/>
        <v>1070</v>
      </c>
      <c r="E2233" s="26"/>
      <c r="F2233" s="26"/>
      <c r="H2233" s="27"/>
      <c r="I2233" s="27"/>
      <c r="J2233" s="27"/>
      <c r="K2233" s="27"/>
      <c r="L2233" s="27"/>
      <c r="M2233" s="27"/>
      <c r="N2233" s="40"/>
      <c r="O2233" s="27"/>
      <c r="P2233" s="27"/>
      <c r="Q2233" s="41"/>
      <c r="R2233" s="40"/>
    </row>
    <row r="2234" spans="1:18" ht="30" customHeight="1" x14ac:dyDescent="0.3">
      <c r="A2234" s="26" t="str">
        <f t="shared" si="68"/>
        <v/>
      </c>
      <c r="B2234" s="26">
        <f>COUNTIFS($A$4:A2234,A2234)</f>
        <v>1071</v>
      </c>
      <c r="C2234" s="26" t="str">
        <f t="shared" si="69"/>
        <v>1071</v>
      </c>
      <c r="E2234" s="26"/>
      <c r="F2234" s="26"/>
      <c r="H2234" s="27"/>
      <c r="I2234" s="27"/>
      <c r="J2234" s="27"/>
      <c r="K2234" s="27"/>
      <c r="L2234" s="27"/>
      <c r="M2234" s="27"/>
      <c r="N2234" s="40"/>
      <c r="O2234" s="27"/>
      <c r="P2234" s="27"/>
      <c r="Q2234" s="41"/>
      <c r="R2234" s="40"/>
    </row>
    <row r="2235" spans="1:18" ht="30" customHeight="1" x14ac:dyDescent="0.3">
      <c r="A2235" s="26" t="str">
        <f t="shared" si="68"/>
        <v/>
      </c>
      <c r="B2235" s="26">
        <f>COUNTIFS($A$4:A2235,A2235)</f>
        <v>1072</v>
      </c>
      <c r="C2235" s="26" t="str">
        <f t="shared" si="69"/>
        <v>1072</v>
      </c>
      <c r="E2235" s="26"/>
      <c r="F2235" s="26"/>
      <c r="H2235" s="27"/>
      <c r="I2235" s="27"/>
      <c r="J2235" s="27"/>
      <c r="K2235" s="27"/>
      <c r="L2235" s="27"/>
      <c r="M2235" s="27"/>
      <c r="N2235" s="40"/>
      <c r="O2235" s="27"/>
      <c r="P2235" s="27"/>
      <c r="Q2235" s="41"/>
      <c r="R2235" s="40"/>
    </row>
    <row r="2236" spans="1:18" ht="30" customHeight="1" x14ac:dyDescent="0.3">
      <c r="A2236" s="26" t="str">
        <f t="shared" si="68"/>
        <v/>
      </c>
      <c r="B2236" s="26">
        <f>COUNTIFS($A$4:A2236,A2236)</f>
        <v>1073</v>
      </c>
      <c r="C2236" s="26" t="str">
        <f t="shared" si="69"/>
        <v>1073</v>
      </c>
      <c r="E2236" s="26"/>
      <c r="F2236" s="26"/>
      <c r="H2236" s="27"/>
      <c r="I2236" s="27"/>
      <c r="J2236" s="27"/>
      <c r="K2236" s="27"/>
      <c r="L2236" s="27"/>
      <c r="M2236" s="27"/>
      <c r="N2236" s="40"/>
      <c r="O2236" s="27"/>
      <c r="P2236" s="27"/>
      <c r="Q2236" s="41"/>
      <c r="R2236" s="40"/>
    </row>
    <row r="2237" spans="1:18" ht="30" customHeight="1" x14ac:dyDescent="0.3">
      <c r="A2237" s="26" t="str">
        <f t="shared" si="68"/>
        <v/>
      </c>
      <c r="B2237" s="26">
        <f>COUNTIFS($A$4:A2237,A2237)</f>
        <v>1074</v>
      </c>
      <c r="C2237" s="26" t="str">
        <f t="shared" si="69"/>
        <v>1074</v>
      </c>
      <c r="E2237" s="26"/>
      <c r="F2237" s="26"/>
      <c r="H2237" s="27"/>
      <c r="I2237" s="27"/>
      <c r="J2237" s="27"/>
      <c r="K2237" s="27"/>
      <c r="L2237" s="27"/>
      <c r="M2237" s="27"/>
      <c r="N2237" s="40"/>
      <c r="O2237" s="27"/>
      <c r="P2237" s="27"/>
      <c r="Q2237" s="41"/>
      <c r="R2237" s="40"/>
    </row>
    <row r="2238" spans="1:18" ht="30" customHeight="1" x14ac:dyDescent="0.3">
      <c r="A2238" s="26" t="str">
        <f t="shared" si="68"/>
        <v/>
      </c>
      <c r="B2238" s="26">
        <f>COUNTIFS($A$4:A2238,A2238)</f>
        <v>1075</v>
      </c>
      <c r="C2238" s="26" t="str">
        <f t="shared" si="69"/>
        <v>1075</v>
      </c>
      <c r="E2238" s="26"/>
      <c r="F2238" s="26"/>
      <c r="H2238" s="27"/>
      <c r="I2238" s="27"/>
      <c r="J2238" s="27"/>
      <c r="K2238" s="27"/>
      <c r="L2238" s="27"/>
      <c r="M2238" s="27"/>
      <c r="N2238" s="40"/>
      <c r="O2238" s="27"/>
      <c r="P2238" s="27"/>
      <c r="Q2238" s="41"/>
      <c r="R2238" s="40"/>
    </row>
    <row r="2239" spans="1:18" ht="30" customHeight="1" x14ac:dyDescent="0.3">
      <c r="A2239" s="26" t="str">
        <f t="shared" si="68"/>
        <v/>
      </c>
      <c r="B2239" s="26">
        <f>COUNTIFS($A$4:A2239,A2239)</f>
        <v>1076</v>
      </c>
      <c r="C2239" s="26" t="str">
        <f t="shared" si="69"/>
        <v>1076</v>
      </c>
      <c r="E2239" s="26"/>
      <c r="F2239" s="26"/>
      <c r="H2239" s="27"/>
      <c r="I2239" s="27"/>
      <c r="J2239" s="27"/>
      <c r="K2239" s="27"/>
      <c r="L2239" s="27"/>
      <c r="M2239" s="27"/>
      <c r="N2239" s="40"/>
      <c r="O2239" s="27"/>
      <c r="P2239" s="27"/>
      <c r="Q2239" s="41"/>
      <c r="R2239" s="40"/>
    </row>
    <row r="2240" spans="1:18" ht="30" customHeight="1" x14ac:dyDescent="0.3">
      <c r="A2240" s="26" t="str">
        <f t="shared" si="68"/>
        <v/>
      </c>
      <c r="B2240" s="26">
        <f>COUNTIFS($A$4:A2240,A2240)</f>
        <v>1077</v>
      </c>
      <c r="C2240" s="26" t="str">
        <f t="shared" si="69"/>
        <v>1077</v>
      </c>
      <c r="E2240" s="26"/>
      <c r="F2240" s="26"/>
      <c r="H2240" s="27"/>
      <c r="I2240" s="27"/>
      <c r="J2240" s="27"/>
      <c r="K2240" s="27"/>
      <c r="L2240" s="27"/>
      <c r="M2240" s="27"/>
      <c r="N2240" s="40"/>
      <c r="O2240" s="27"/>
      <c r="P2240" s="27"/>
      <c r="Q2240" s="41"/>
      <c r="R2240" s="40"/>
    </row>
    <row r="2241" spans="1:18" ht="30" customHeight="1" x14ac:dyDescent="0.3">
      <c r="A2241" s="26" t="str">
        <f t="shared" si="68"/>
        <v/>
      </c>
      <c r="B2241" s="26">
        <f>COUNTIFS($A$4:A2241,A2241)</f>
        <v>1078</v>
      </c>
      <c r="C2241" s="26" t="str">
        <f t="shared" si="69"/>
        <v>1078</v>
      </c>
      <c r="E2241" s="26"/>
      <c r="F2241" s="26"/>
      <c r="H2241" s="27"/>
      <c r="I2241" s="27"/>
      <c r="J2241" s="27"/>
      <c r="K2241" s="27"/>
      <c r="L2241" s="27"/>
      <c r="M2241" s="27"/>
      <c r="N2241" s="40"/>
      <c r="O2241" s="27"/>
      <c r="P2241" s="27"/>
      <c r="Q2241" s="41"/>
      <c r="R2241" s="40"/>
    </row>
    <row r="2242" spans="1:18" ht="30" customHeight="1" x14ac:dyDescent="0.3">
      <c r="A2242" s="26" t="str">
        <f t="shared" si="68"/>
        <v/>
      </c>
      <c r="B2242" s="26">
        <f>COUNTIFS($A$4:A2242,A2242)</f>
        <v>1079</v>
      </c>
      <c r="C2242" s="26" t="str">
        <f t="shared" si="69"/>
        <v>1079</v>
      </c>
      <c r="E2242" s="26"/>
      <c r="F2242" s="26"/>
      <c r="H2242" s="27"/>
      <c r="I2242" s="27"/>
      <c r="J2242" s="27"/>
      <c r="K2242" s="27"/>
      <c r="L2242" s="27"/>
      <c r="M2242" s="27"/>
      <c r="N2242" s="40"/>
      <c r="O2242" s="27"/>
      <c r="P2242" s="27"/>
      <c r="Q2242" s="41"/>
      <c r="R2242" s="40"/>
    </row>
    <row r="2243" spans="1:18" ht="30" customHeight="1" x14ac:dyDescent="0.3">
      <c r="A2243" s="26" t="str">
        <f t="shared" si="68"/>
        <v/>
      </c>
      <c r="B2243" s="26">
        <f>COUNTIFS($A$4:A2243,A2243)</f>
        <v>1080</v>
      </c>
      <c r="C2243" s="26" t="str">
        <f t="shared" si="69"/>
        <v>1080</v>
      </c>
      <c r="E2243" s="26"/>
      <c r="F2243" s="26"/>
      <c r="H2243" s="27"/>
      <c r="I2243" s="27"/>
      <c r="J2243" s="27"/>
      <c r="K2243" s="27"/>
      <c r="L2243" s="27"/>
      <c r="M2243" s="27"/>
      <c r="N2243" s="40"/>
      <c r="O2243" s="27"/>
      <c r="P2243" s="27"/>
      <c r="Q2243" s="41"/>
      <c r="R2243" s="40"/>
    </row>
    <row r="2244" spans="1:18" ht="30" customHeight="1" x14ac:dyDescent="0.3">
      <c r="A2244" s="26" t="str">
        <f t="shared" si="68"/>
        <v/>
      </c>
      <c r="B2244" s="26">
        <f>COUNTIFS($A$4:A2244,A2244)</f>
        <v>1081</v>
      </c>
      <c r="C2244" s="26" t="str">
        <f t="shared" si="69"/>
        <v>1081</v>
      </c>
      <c r="E2244" s="26"/>
      <c r="F2244" s="26"/>
      <c r="H2244" s="27"/>
      <c r="I2244" s="27"/>
      <c r="J2244" s="27"/>
      <c r="K2244" s="27"/>
      <c r="L2244" s="27"/>
      <c r="M2244" s="27"/>
      <c r="N2244" s="40"/>
      <c r="O2244" s="27"/>
      <c r="P2244" s="27"/>
      <c r="Q2244" s="41"/>
      <c r="R2244" s="40"/>
    </row>
    <row r="2245" spans="1:18" ht="30" customHeight="1" x14ac:dyDescent="0.3">
      <c r="A2245" s="26" t="str">
        <f t="shared" si="68"/>
        <v/>
      </c>
      <c r="B2245" s="26">
        <f>COUNTIFS($A$4:A2245,A2245)</f>
        <v>1082</v>
      </c>
      <c r="C2245" s="26" t="str">
        <f t="shared" si="69"/>
        <v>1082</v>
      </c>
      <c r="E2245" s="26"/>
      <c r="F2245" s="26"/>
      <c r="H2245" s="27"/>
      <c r="I2245" s="27"/>
      <c r="J2245" s="27"/>
      <c r="K2245" s="27"/>
      <c r="L2245" s="27"/>
      <c r="M2245" s="27"/>
      <c r="N2245" s="40"/>
      <c r="O2245" s="27"/>
      <c r="P2245" s="27"/>
      <c r="Q2245" s="41"/>
      <c r="R2245" s="40"/>
    </row>
    <row r="2246" spans="1:18" ht="30" customHeight="1" x14ac:dyDescent="0.3">
      <c r="A2246" s="26" t="str">
        <f t="shared" si="68"/>
        <v/>
      </c>
      <c r="B2246" s="26">
        <f>COUNTIFS($A$4:A2246,A2246)</f>
        <v>1083</v>
      </c>
      <c r="C2246" s="26" t="str">
        <f t="shared" si="69"/>
        <v>1083</v>
      </c>
      <c r="E2246" s="26"/>
      <c r="F2246" s="26"/>
      <c r="H2246" s="27"/>
      <c r="I2246" s="27"/>
      <c r="J2246" s="27"/>
      <c r="K2246" s="27"/>
      <c r="L2246" s="27"/>
      <c r="M2246" s="27"/>
      <c r="N2246" s="40"/>
      <c r="O2246" s="27"/>
      <c r="P2246" s="27"/>
      <c r="Q2246" s="41"/>
      <c r="R2246" s="40"/>
    </row>
    <row r="2247" spans="1:18" ht="30" customHeight="1" x14ac:dyDescent="0.3">
      <c r="A2247" s="26" t="str">
        <f t="shared" si="68"/>
        <v/>
      </c>
      <c r="B2247" s="26">
        <f>COUNTIFS($A$4:A2247,A2247)</f>
        <v>1084</v>
      </c>
      <c r="C2247" s="26" t="str">
        <f t="shared" si="69"/>
        <v>1084</v>
      </c>
      <c r="E2247" s="26"/>
      <c r="F2247" s="26"/>
      <c r="H2247" s="27"/>
      <c r="I2247" s="27"/>
      <c r="J2247" s="27"/>
      <c r="K2247" s="27"/>
      <c r="L2247" s="27"/>
      <c r="M2247" s="27"/>
      <c r="N2247" s="40"/>
      <c r="O2247" s="27"/>
      <c r="P2247" s="27"/>
      <c r="Q2247" s="41"/>
      <c r="R2247" s="40"/>
    </row>
    <row r="2248" spans="1:18" ht="30" customHeight="1" x14ac:dyDescent="0.3">
      <c r="A2248" s="26" t="str">
        <f t="shared" si="68"/>
        <v/>
      </c>
      <c r="B2248" s="26">
        <f>COUNTIFS($A$4:A2248,A2248)</f>
        <v>1085</v>
      </c>
      <c r="C2248" s="26" t="str">
        <f t="shared" si="69"/>
        <v>1085</v>
      </c>
      <c r="E2248" s="26"/>
      <c r="F2248" s="26"/>
      <c r="H2248" s="27"/>
      <c r="I2248" s="27"/>
      <c r="J2248" s="27"/>
      <c r="K2248" s="27"/>
      <c r="L2248" s="27"/>
      <c r="M2248" s="27"/>
      <c r="N2248" s="40"/>
      <c r="O2248" s="27"/>
      <c r="P2248" s="27"/>
      <c r="Q2248" s="41"/>
      <c r="R2248" s="40"/>
    </row>
    <row r="2249" spans="1:18" ht="30" customHeight="1" x14ac:dyDescent="0.3">
      <c r="A2249" s="26" t="str">
        <f t="shared" si="68"/>
        <v/>
      </c>
      <c r="B2249" s="26">
        <f>COUNTIFS($A$4:A2249,A2249)</f>
        <v>1086</v>
      </c>
      <c r="C2249" s="26" t="str">
        <f t="shared" si="69"/>
        <v>1086</v>
      </c>
      <c r="E2249" s="26"/>
      <c r="F2249" s="26"/>
      <c r="H2249" s="27"/>
      <c r="I2249" s="27"/>
      <c r="J2249" s="27"/>
      <c r="K2249" s="27"/>
      <c r="L2249" s="27"/>
      <c r="M2249" s="27"/>
      <c r="N2249" s="40"/>
      <c r="O2249" s="27"/>
      <c r="P2249" s="27"/>
      <c r="Q2249" s="41"/>
      <c r="R2249" s="40"/>
    </row>
    <row r="2250" spans="1:18" ht="30" customHeight="1" x14ac:dyDescent="0.3">
      <c r="A2250" s="26" t="str">
        <f t="shared" si="68"/>
        <v/>
      </c>
      <c r="B2250" s="26">
        <f>COUNTIFS($A$4:A2250,A2250)</f>
        <v>1087</v>
      </c>
      <c r="C2250" s="26" t="str">
        <f t="shared" si="69"/>
        <v>1087</v>
      </c>
      <c r="E2250" s="26"/>
      <c r="F2250" s="26"/>
      <c r="H2250" s="27"/>
      <c r="I2250" s="27"/>
      <c r="J2250" s="27"/>
      <c r="K2250" s="27"/>
      <c r="L2250" s="27"/>
      <c r="M2250" s="27"/>
      <c r="N2250" s="40"/>
      <c r="O2250" s="27"/>
      <c r="P2250" s="27"/>
      <c r="Q2250" s="41"/>
      <c r="R2250" s="40"/>
    </row>
    <row r="2251" spans="1:18" ht="30" customHeight="1" x14ac:dyDescent="0.3">
      <c r="A2251" s="26" t="str">
        <f t="shared" si="68"/>
        <v/>
      </c>
      <c r="B2251" s="26">
        <f>COUNTIFS($A$4:A2251,A2251)</f>
        <v>1088</v>
      </c>
      <c r="C2251" s="26" t="str">
        <f t="shared" si="69"/>
        <v>1088</v>
      </c>
      <c r="E2251" s="26"/>
      <c r="F2251" s="26"/>
      <c r="H2251" s="27"/>
      <c r="I2251" s="27"/>
      <c r="J2251" s="27"/>
      <c r="K2251" s="27"/>
      <c r="L2251" s="27"/>
      <c r="M2251" s="27"/>
      <c r="N2251" s="40"/>
      <c r="O2251" s="27"/>
      <c r="P2251" s="27"/>
      <c r="Q2251" s="41"/>
      <c r="R2251" s="40"/>
    </row>
    <row r="2252" spans="1:18" ht="30" customHeight="1" x14ac:dyDescent="0.3">
      <c r="A2252" s="26" t="str">
        <f t="shared" si="68"/>
        <v/>
      </c>
      <c r="B2252" s="26">
        <f>COUNTIFS($A$4:A2252,A2252)</f>
        <v>1089</v>
      </c>
      <c r="C2252" s="26" t="str">
        <f t="shared" si="69"/>
        <v>1089</v>
      </c>
      <c r="E2252" s="26"/>
      <c r="F2252" s="26"/>
      <c r="H2252" s="27"/>
      <c r="I2252" s="27"/>
      <c r="J2252" s="27"/>
      <c r="K2252" s="27"/>
      <c r="L2252" s="27"/>
      <c r="M2252" s="27"/>
      <c r="N2252" s="40"/>
      <c r="O2252" s="27"/>
      <c r="P2252" s="27"/>
      <c r="Q2252" s="41"/>
      <c r="R2252" s="40"/>
    </row>
    <row r="2253" spans="1:18" ht="30" customHeight="1" x14ac:dyDescent="0.3">
      <c r="A2253" s="26" t="str">
        <f t="shared" si="68"/>
        <v/>
      </c>
      <c r="B2253" s="26">
        <f>COUNTIFS($A$4:A2253,A2253)</f>
        <v>1090</v>
      </c>
      <c r="C2253" s="26" t="str">
        <f t="shared" si="69"/>
        <v>1090</v>
      </c>
      <c r="E2253" s="26"/>
      <c r="F2253" s="26"/>
      <c r="H2253" s="27"/>
      <c r="I2253" s="27"/>
      <c r="J2253" s="27"/>
      <c r="K2253" s="27"/>
      <c r="L2253" s="27"/>
      <c r="M2253" s="27"/>
      <c r="N2253" s="40"/>
      <c r="O2253" s="27"/>
      <c r="P2253" s="27"/>
      <c r="Q2253" s="41"/>
      <c r="R2253" s="40"/>
    </row>
    <row r="2254" spans="1:18" ht="30" customHeight="1" x14ac:dyDescent="0.3">
      <c r="A2254" s="26" t="str">
        <f t="shared" si="68"/>
        <v/>
      </c>
      <c r="B2254" s="26">
        <f>COUNTIFS($A$4:A2254,A2254)</f>
        <v>1091</v>
      </c>
      <c r="C2254" s="26" t="str">
        <f t="shared" si="69"/>
        <v>1091</v>
      </c>
      <c r="E2254" s="26"/>
      <c r="F2254" s="26"/>
      <c r="H2254" s="27"/>
      <c r="I2254" s="27"/>
      <c r="J2254" s="27"/>
      <c r="K2254" s="27"/>
      <c r="L2254" s="27"/>
      <c r="M2254" s="27"/>
      <c r="N2254" s="40"/>
      <c r="O2254" s="27"/>
      <c r="P2254" s="27"/>
      <c r="Q2254" s="41"/>
      <c r="R2254" s="40"/>
    </row>
    <row r="2255" spans="1:18" ht="30" customHeight="1" x14ac:dyDescent="0.3">
      <c r="A2255" s="26" t="str">
        <f t="shared" si="68"/>
        <v/>
      </c>
      <c r="B2255" s="26">
        <f>COUNTIFS($A$4:A2255,A2255)</f>
        <v>1092</v>
      </c>
      <c r="C2255" s="26" t="str">
        <f t="shared" si="69"/>
        <v>1092</v>
      </c>
      <c r="E2255" s="26"/>
      <c r="F2255" s="26"/>
      <c r="H2255" s="27"/>
      <c r="I2255" s="27"/>
      <c r="J2255" s="27"/>
      <c r="K2255" s="27"/>
      <c r="L2255" s="27"/>
      <c r="M2255" s="27"/>
      <c r="N2255" s="40"/>
      <c r="O2255" s="27"/>
      <c r="P2255" s="27"/>
      <c r="Q2255" s="41"/>
      <c r="R2255" s="40"/>
    </row>
    <row r="2256" spans="1:18" ht="30" customHeight="1" x14ac:dyDescent="0.3">
      <c r="A2256" s="26" t="str">
        <f t="shared" si="68"/>
        <v/>
      </c>
      <c r="B2256" s="26">
        <f>COUNTIFS($A$4:A2256,A2256)</f>
        <v>1093</v>
      </c>
      <c r="C2256" s="26" t="str">
        <f t="shared" si="69"/>
        <v>1093</v>
      </c>
      <c r="E2256" s="26"/>
      <c r="F2256" s="26"/>
      <c r="H2256" s="27"/>
      <c r="I2256" s="27"/>
      <c r="J2256" s="27"/>
      <c r="K2256" s="27"/>
      <c r="L2256" s="27"/>
      <c r="M2256" s="27"/>
      <c r="N2256" s="40"/>
      <c r="O2256" s="27"/>
      <c r="P2256" s="27"/>
      <c r="Q2256" s="41"/>
      <c r="R2256" s="40"/>
    </row>
    <row r="2257" spans="1:18" ht="30" customHeight="1" x14ac:dyDescent="0.3">
      <c r="A2257" s="26" t="str">
        <f t="shared" ref="A2257:A2320" si="70">I2257&amp;H2257</f>
        <v/>
      </c>
      <c r="B2257" s="26">
        <f>COUNTIFS($A$4:A2257,A2257)</f>
        <v>1094</v>
      </c>
      <c r="C2257" s="26" t="str">
        <f t="shared" ref="C2257:C2320" si="71">A2257&amp;B2257</f>
        <v>1094</v>
      </c>
      <c r="E2257" s="26"/>
      <c r="F2257" s="26"/>
      <c r="H2257" s="27"/>
      <c r="I2257" s="27"/>
      <c r="J2257" s="27"/>
      <c r="K2257" s="27"/>
      <c r="L2257" s="27"/>
      <c r="M2257" s="27"/>
      <c r="N2257" s="40"/>
      <c r="O2257" s="27"/>
      <c r="P2257" s="27"/>
      <c r="Q2257" s="41"/>
      <c r="R2257" s="40"/>
    </row>
    <row r="2258" spans="1:18" ht="30" customHeight="1" x14ac:dyDescent="0.3">
      <c r="A2258" s="26" t="str">
        <f t="shared" si="70"/>
        <v/>
      </c>
      <c r="B2258" s="26">
        <f>COUNTIFS($A$4:A2258,A2258)</f>
        <v>1095</v>
      </c>
      <c r="C2258" s="26" t="str">
        <f t="shared" si="71"/>
        <v>1095</v>
      </c>
      <c r="E2258" s="26"/>
      <c r="F2258" s="26"/>
      <c r="H2258" s="27"/>
      <c r="I2258" s="27"/>
      <c r="J2258" s="27"/>
      <c r="K2258" s="27"/>
      <c r="L2258" s="27"/>
      <c r="M2258" s="27"/>
      <c r="N2258" s="40"/>
      <c r="O2258" s="27"/>
      <c r="P2258" s="27"/>
      <c r="Q2258" s="41"/>
      <c r="R2258" s="40"/>
    </row>
    <row r="2259" spans="1:18" ht="30" customHeight="1" x14ac:dyDescent="0.3">
      <c r="A2259" s="26" t="str">
        <f t="shared" si="70"/>
        <v/>
      </c>
      <c r="B2259" s="26">
        <f>COUNTIFS($A$4:A2259,A2259)</f>
        <v>1096</v>
      </c>
      <c r="C2259" s="26" t="str">
        <f t="shared" si="71"/>
        <v>1096</v>
      </c>
      <c r="E2259" s="26"/>
      <c r="F2259" s="26"/>
      <c r="H2259" s="27"/>
      <c r="I2259" s="27"/>
      <c r="J2259" s="27"/>
      <c r="K2259" s="27"/>
      <c r="L2259" s="27"/>
      <c r="M2259" s="27"/>
      <c r="N2259" s="40"/>
      <c r="O2259" s="27"/>
      <c r="P2259" s="27"/>
      <c r="Q2259" s="41"/>
      <c r="R2259" s="40"/>
    </row>
    <row r="2260" spans="1:18" ht="30" customHeight="1" x14ac:dyDescent="0.3">
      <c r="A2260" s="26" t="str">
        <f t="shared" si="70"/>
        <v/>
      </c>
      <c r="B2260" s="26">
        <f>COUNTIFS($A$4:A2260,A2260)</f>
        <v>1097</v>
      </c>
      <c r="C2260" s="26" t="str">
        <f t="shared" si="71"/>
        <v>1097</v>
      </c>
      <c r="E2260" s="26"/>
      <c r="F2260" s="26"/>
      <c r="H2260" s="27"/>
      <c r="I2260" s="27"/>
      <c r="J2260" s="27"/>
      <c r="K2260" s="27"/>
      <c r="L2260" s="27"/>
      <c r="M2260" s="27"/>
      <c r="N2260" s="40"/>
      <c r="O2260" s="27"/>
      <c r="P2260" s="27"/>
      <c r="Q2260" s="41"/>
      <c r="R2260" s="40"/>
    </row>
    <row r="2261" spans="1:18" ht="30" customHeight="1" x14ac:dyDescent="0.3">
      <c r="A2261" s="26" t="str">
        <f t="shared" si="70"/>
        <v/>
      </c>
      <c r="B2261" s="26">
        <f>COUNTIFS($A$4:A2261,A2261)</f>
        <v>1098</v>
      </c>
      <c r="C2261" s="26" t="str">
        <f t="shared" si="71"/>
        <v>1098</v>
      </c>
      <c r="E2261" s="26"/>
      <c r="F2261" s="26"/>
      <c r="H2261" s="27"/>
      <c r="I2261" s="27"/>
      <c r="J2261" s="27"/>
      <c r="K2261" s="27"/>
      <c r="L2261" s="27"/>
      <c r="M2261" s="27"/>
      <c r="N2261" s="40"/>
      <c r="O2261" s="27"/>
      <c r="P2261" s="27"/>
      <c r="Q2261" s="41"/>
      <c r="R2261" s="40"/>
    </row>
    <row r="2262" spans="1:18" ht="30" customHeight="1" x14ac:dyDescent="0.3">
      <c r="A2262" s="26" t="str">
        <f t="shared" si="70"/>
        <v/>
      </c>
      <c r="B2262" s="26">
        <f>COUNTIFS($A$4:A2262,A2262)</f>
        <v>1099</v>
      </c>
      <c r="C2262" s="26" t="str">
        <f t="shared" si="71"/>
        <v>1099</v>
      </c>
      <c r="E2262" s="26"/>
      <c r="F2262" s="26"/>
      <c r="H2262" s="27"/>
      <c r="I2262" s="27"/>
      <c r="J2262" s="27"/>
      <c r="K2262" s="27"/>
      <c r="L2262" s="27"/>
      <c r="M2262" s="27"/>
      <c r="N2262" s="40"/>
      <c r="O2262" s="27"/>
      <c r="P2262" s="27"/>
      <c r="Q2262" s="41"/>
      <c r="R2262" s="40"/>
    </row>
    <row r="2263" spans="1:18" ht="30" customHeight="1" x14ac:dyDescent="0.3">
      <c r="A2263" s="26" t="str">
        <f t="shared" si="70"/>
        <v/>
      </c>
      <c r="B2263" s="26">
        <f>COUNTIFS($A$4:A2263,A2263)</f>
        <v>1100</v>
      </c>
      <c r="C2263" s="26" t="str">
        <f t="shared" si="71"/>
        <v>1100</v>
      </c>
      <c r="E2263" s="26"/>
      <c r="F2263" s="26"/>
      <c r="H2263" s="27"/>
      <c r="I2263" s="27"/>
      <c r="J2263" s="27"/>
      <c r="K2263" s="27"/>
      <c r="L2263" s="27"/>
      <c r="M2263" s="27"/>
      <c r="N2263" s="40"/>
      <c r="O2263" s="27"/>
      <c r="P2263" s="27"/>
      <c r="Q2263" s="41"/>
      <c r="R2263" s="40"/>
    </row>
    <row r="2264" spans="1:18" ht="30" customHeight="1" x14ac:dyDescent="0.3">
      <c r="A2264" s="26" t="str">
        <f t="shared" si="70"/>
        <v/>
      </c>
      <c r="B2264" s="26">
        <f>COUNTIFS($A$4:A2264,A2264)</f>
        <v>1101</v>
      </c>
      <c r="C2264" s="26" t="str">
        <f t="shared" si="71"/>
        <v>1101</v>
      </c>
      <c r="E2264" s="26"/>
      <c r="F2264" s="26"/>
      <c r="H2264" s="27"/>
      <c r="I2264" s="27"/>
      <c r="J2264" s="27"/>
      <c r="K2264" s="27"/>
      <c r="L2264" s="27"/>
      <c r="M2264" s="27"/>
      <c r="N2264" s="40"/>
      <c r="O2264" s="27"/>
      <c r="P2264" s="27"/>
      <c r="Q2264" s="41"/>
      <c r="R2264" s="40"/>
    </row>
    <row r="2265" spans="1:18" ht="30" customHeight="1" x14ac:dyDescent="0.3">
      <c r="A2265" s="26" t="str">
        <f t="shared" si="70"/>
        <v/>
      </c>
      <c r="B2265" s="26">
        <f>COUNTIFS($A$4:A2265,A2265)</f>
        <v>1102</v>
      </c>
      <c r="C2265" s="26" t="str">
        <f t="shared" si="71"/>
        <v>1102</v>
      </c>
      <c r="E2265" s="26"/>
      <c r="F2265" s="26"/>
      <c r="H2265" s="27"/>
      <c r="I2265" s="27"/>
      <c r="J2265" s="27"/>
      <c r="K2265" s="27"/>
      <c r="L2265" s="27"/>
      <c r="M2265" s="27"/>
      <c r="N2265" s="40"/>
      <c r="O2265" s="27"/>
      <c r="P2265" s="27"/>
      <c r="Q2265" s="41"/>
      <c r="R2265" s="40"/>
    </row>
    <row r="2266" spans="1:18" ht="30" customHeight="1" x14ac:dyDescent="0.3">
      <c r="A2266" s="26" t="str">
        <f t="shared" si="70"/>
        <v/>
      </c>
      <c r="B2266" s="26">
        <f>COUNTIFS($A$4:A2266,A2266)</f>
        <v>1103</v>
      </c>
      <c r="C2266" s="26" t="str">
        <f t="shared" si="71"/>
        <v>1103</v>
      </c>
      <c r="E2266" s="26"/>
      <c r="F2266" s="26"/>
      <c r="H2266" s="27"/>
      <c r="I2266" s="27"/>
      <c r="J2266" s="27"/>
      <c r="K2266" s="27"/>
      <c r="L2266" s="27"/>
      <c r="M2266" s="27"/>
      <c r="N2266" s="40"/>
      <c r="O2266" s="27"/>
      <c r="P2266" s="27"/>
      <c r="Q2266" s="41"/>
      <c r="R2266" s="40"/>
    </row>
    <row r="2267" spans="1:18" ht="30" customHeight="1" x14ac:dyDescent="0.3">
      <c r="A2267" s="26" t="str">
        <f t="shared" si="70"/>
        <v/>
      </c>
      <c r="B2267" s="26">
        <f>COUNTIFS($A$4:A2267,A2267)</f>
        <v>1104</v>
      </c>
      <c r="C2267" s="26" t="str">
        <f t="shared" si="71"/>
        <v>1104</v>
      </c>
      <c r="E2267" s="26"/>
      <c r="F2267" s="26"/>
      <c r="H2267" s="27"/>
      <c r="I2267" s="27"/>
      <c r="J2267" s="27"/>
      <c r="K2267" s="27"/>
      <c r="L2267" s="27"/>
      <c r="M2267" s="27"/>
      <c r="N2267" s="40"/>
      <c r="O2267" s="27"/>
      <c r="P2267" s="27"/>
      <c r="Q2267" s="41"/>
      <c r="R2267" s="40"/>
    </row>
    <row r="2268" spans="1:18" ht="30" customHeight="1" x14ac:dyDescent="0.3">
      <c r="A2268" s="26" t="str">
        <f t="shared" si="70"/>
        <v/>
      </c>
      <c r="B2268" s="26">
        <f>COUNTIFS($A$4:A2268,A2268)</f>
        <v>1105</v>
      </c>
      <c r="C2268" s="26" t="str">
        <f t="shared" si="71"/>
        <v>1105</v>
      </c>
      <c r="E2268" s="26"/>
      <c r="F2268" s="26"/>
      <c r="H2268" s="27"/>
      <c r="I2268" s="27"/>
      <c r="J2268" s="27"/>
      <c r="K2268" s="27"/>
      <c r="L2268" s="27"/>
      <c r="M2268" s="27"/>
      <c r="N2268" s="40"/>
      <c r="O2268" s="27"/>
      <c r="P2268" s="27"/>
      <c r="Q2268" s="41"/>
      <c r="R2268" s="40"/>
    </row>
    <row r="2269" spans="1:18" ht="30" customHeight="1" x14ac:dyDescent="0.3">
      <c r="A2269" s="26" t="str">
        <f t="shared" si="70"/>
        <v/>
      </c>
      <c r="B2269" s="26">
        <f>COUNTIFS($A$4:A2269,A2269)</f>
        <v>1106</v>
      </c>
      <c r="C2269" s="26" t="str">
        <f t="shared" si="71"/>
        <v>1106</v>
      </c>
      <c r="E2269" s="26"/>
      <c r="F2269" s="26"/>
      <c r="H2269" s="27"/>
      <c r="I2269" s="27"/>
      <c r="J2269" s="27"/>
      <c r="K2269" s="27"/>
      <c r="L2269" s="27"/>
      <c r="M2269" s="27"/>
      <c r="N2269" s="40"/>
      <c r="O2269" s="27"/>
      <c r="P2269" s="27"/>
      <c r="Q2269" s="41"/>
      <c r="R2269" s="40"/>
    </row>
    <row r="2270" spans="1:18" ht="30" customHeight="1" x14ac:dyDescent="0.3">
      <c r="A2270" s="26" t="str">
        <f t="shared" si="70"/>
        <v/>
      </c>
      <c r="B2270" s="26">
        <f>COUNTIFS($A$4:A2270,A2270)</f>
        <v>1107</v>
      </c>
      <c r="C2270" s="26" t="str">
        <f t="shared" si="71"/>
        <v>1107</v>
      </c>
      <c r="E2270" s="26"/>
      <c r="F2270" s="26"/>
      <c r="H2270" s="27"/>
      <c r="I2270" s="27"/>
      <c r="J2270" s="27"/>
      <c r="K2270" s="27"/>
      <c r="L2270" s="27"/>
      <c r="M2270" s="27"/>
      <c r="N2270" s="40"/>
      <c r="O2270" s="27"/>
      <c r="P2270" s="27"/>
      <c r="Q2270" s="41"/>
      <c r="R2270" s="40"/>
    </row>
    <row r="2271" spans="1:18" ht="30" customHeight="1" x14ac:dyDescent="0.3">
      <c r="A2271" s="26" t="str">
        <f t="shared" si="70"/>
        <v/>
      </c>
      <c r="B2271" s="26">
        <f>COUNTIFS($A$4:A2271,A2271)</f>
        <v>1108</v>
      </c>
      <c r="C2271" s="26" t="str">
        <f t="shared" si="71"/>
        <v>1108</v>
      </c>
      <c r="E2271" s="26"/>
      <c r="F2271" s="26"/>
      <c r="H2271" s="27"/>
      <c r="I2271" s="27"/>
      <c r="J2271" s="27"/>
      <c r="K2271" s="27"/>
      <c r="L2271" s="27"/>
      <c r="M2271" s="27"/>
      <c r="N2271" s="40"/>
      <c r="O2271" s="27"/>
      <c r="P2271" s="27"/>
      <c r="Q2271" s="41"/>
      <c r="R2271" s="40"/>
    </row>
    <row r="2272" spans="1:18" ht="30" customHeight="1" x14ac:dyDescent="0.3">
      <c r="A2272" s="26" t="str">
        <f t="shared" si="70"/>
        <v/>
      </c>
      <c r="B2272" s="26">
        <f>COUNTIFS($A$4:A2272,A2272)</f>
        <v>1109</v>
      </c>
      <c r="C2272" s="26" t="str">
        <f t="shared" si="71"/>
        <v>1109</v>
      </c>
      <c r="E2272" s="26"/>
      <c r="F2272" s="26"/>
      <c r="H2272" s="27"/>
      <c r="I2272" s="27"/>
      <c r="J2272" s="27"/>
      <c r="K2272" s="27"/>
      <c r="L2272" s="27"/>
      <c r="M2272" s="27"/>
      <c r="N2272" s="40"/>
      <c r="O2272" s="27"/>
      <c r="P2272" s="27"/>
      <c r="Q2272" s="41"/>
      <c r="R2272" s="40"/>
    </row>
    <row r="2273" spans="1:18" ht="30" customHeight="1" x14ac:dyDescent="0.3">
      <c r="A2273" s="26" t="str">
        <f t="shared" si="70"/>
        <v/>
      </c>
      <c r="B2273" s="26">
        <f>COUNTIFS($A$4:A2273,A2273)</f>
        <v>1110</v>
      </c>
      <c r="C2273" s="26" t="str">
        <f t="shared" si="71"/>
        <v>1110</v>
      </c>
      <c r="E2273" s="26"/>
      <c r="F2273" s="26"/>
      <c r="H2273" s="27"/>
      <c r="I2273" s="27"/>
      <c r="J2273" s="27"/>
      <c r="K2273" s="27"/>
      <c r="L2273" s="27"/>
      <c r="M2273" s="27"/>
      <c r="N2273" s="40"/>
      <c r="O2273" s="27"/>
      <c r="P2273" s="27"/>
      <c r="Q2273" s="41"/>
      <c r="R2273" s="40"/>
    </row>
    <row r="2274" spans="1:18" ht="30" customHeight="1" x14ac:dyDescent="0.3">
      <c r="A2274" s="26" t="str">
        <f t="shared" si="70"/>
        <v/>
      </c>
      <c r="B2274" s="26">
        <f>COUNTIFS($A$4:A2274,A2274)</f>
        <v>1111</v>
      </c>
      <c r="C2274" s="26" t="str">
        <f t="shared" si="71"/>
        <v>1111</v>
      </c>
      <c r="E2274" s="26"/>
      <c r="F2274" s="26"/>
      <c r="H2274" s="27"/>
      <c r="I2274" s="27"/>
      <c r="J2274" s="27"/>
      <c r="K2274" s="27"/>
      <c r="L2274" s="27"/>
      <c r="M2274" s="27"/>
      <c r="N2274" s="40"/>
      <c r="O2274" s="27"/>
      <c r="P2274" s="27"/>
      <c r="Q2274" s="41"/>
      <c r="R2274" s="40"/>
    </row>
    <row r="2275" spans="1:18" ht="30" customHeight="1" x14ac:dyDescent="0.3">
      <c r="A2275" s="26" t="str">
        <f t="shared" si="70"/>
        <v/>
      </c>
      <c r="B2275" s="26">
        <f>COUNTIFS($A$4:A2275,A2275)</f>
        <v>1112</v>
      </c>
      <c r="C2275" s="26" t="str">
        <f t="shared" si="71"/>
        <v>1112</v>
      </c>
      <c r="E2275" s="26"/>
      <c r="F2275" s="26"/>
      <c r="H2275" s="27"/>
      <c r="I2275" s="27"/>
      <c r="J2275" s="27"/>
      <c r="K2275" s="27"/>
      <c r="L2275" s="27"/>
      <c r="M2275" s="27"/>
      <c r="N2275" s="40"/>
      <c r="O2275" s="27"/>
      <c r="P2275" s="27"/>
      <c r="Q2275" s="41"/>
      <c r="R2275" s="40"/>
    </row>
    <row r="2276" spans="1:18" ht="30" customHeight="1" x14ac:dyDescent="0.3">
      <c r="A2276" s="26" t="str">
        <f t="shared" si="70"/>
        <v/>
      </c>
      <c r="B2276" s="26">
        <f>COUNTIFS($A$4:A2276,A2276)</f>
        <v>1113</v>
      </c>
      <c r="C2276" s="26" t="str">
        <f t="shared" si="71"/>
        <v>1113</v>
      </c>
      <c r="E2276" s="26"/>
      <c r="F2276" s="26"/>
      <c r="H2276" s="27"/>
      <c r="I2276" s="27"/>
      <c r="J2276" s="27"/>
      <c r="K2276" s="27"/>
      <c r="L2276" s="27"/>
      <c r="M2276" s="27"/>
      <c r="N2276" s="40"/>
      <c r="O2276" s="27"/>
      <c r="P2276" s="27"/>
      <c r="Q2276" s="41"/>
      <c r="R2276" s="40"/>
    </row>
    <row r="2277" spans="1:18" ht="30" customHeight="1" x14ac:dyDescent="0.3">
      <c r="A2277" s="26" t="str">
        <f t="shared" si="70"/>
        <v/>
      </c>
      <c r="B2277" s="26">
        <f>COUNTIFS($A$4:A2277,A2277)</f>
        <v>1114</v>
      </c>
      <c r="C2277" s="26" t="str">
        <f t="shared" si="71"/>
        <v>1114</v>
      </c>
      <c r="E2277" s="26"/>
      <c r="F2277" s="26"/>
      <c r="H2277" s="27"/>
      <c r="I2277" s="27"/>
      <c r="J2277" s="27"/>
      <c r="K2277" s="27"/>
      <c r="L2277" s="27"/>
      <c r="M2277" s="27"/>
      <c r="N2277" s="40"/>
      <c r="O2277" s="27"/>
      <c r="P2277" s="27"/>
      <c r="Q2277" s="41"/>
      <c r="R2277" s="40"/>
    </row>
    <row r="2278" spans="1:18" ht="30" customHeight="1" x14ac:dyDescent="0.3">
      <c r="A2278" s="26" t="str">
        <f t="shared" si="70"/>
        <v/>
      </c>
      <c r="B2278" s="26">
        <f>COUNTIFS($A$4:A2278,A2278)</f>
        <v>1115</v>
      </c>
      <c r="C2278" s="26" t="str">
        <f t="shared" si="71"/>
        <v>1115</v>
      </c>
      <c r="E2278" s="26"/>
      <c r="F2278" s="26"/>
      <c r="H2278" s="27"/>
      <c r="I2278" s="27"/>
      <c r="J2278" s="27"/>
      <c r="K2278" s="27"/>
      <c r="L2278" s="27"/>
      <c r="M2278" s="27"/>
      <c r="N2278" s="40"/>
      <c r="O2278" s="27"/>
      <c r="P2278" s="27"/>
      <c r="Q2278" s="41"/>
      <c r="R2278" s="40"/>
    </row>
    <row r="2279" spans="1:18" ht="30" customHeight="1" x14ac:dyDescent="0.3">
      <c r="A2279" s="26" t="str">
        <f t="shared" si="70"/>
        <v/>
      </c>
      <c r="B2279" s="26">
        <f>COUNTIFS($A$4:A2279,A2279)</f>
        <v>1116</v>
      </c>
      <c r="C2279" s="26" t="str">
        <f t="shared" si="71"/>
        <v>1116</v>
      </c>
      <c r="E2279" s="26"/>
      <c r="F2279" s="26"/>
      <c r="H2279" s="27"/>
      <c r="I2279" s="27"/>
      <c r="J2279" s="27"/>
      <c r="K2279" s="27"/>
      <c r="L2279" s="27"/>
      <c r="M2279" s="27"/>
      <c r="N2279" s="40"/>
      <c r="O2279" s="27"/>
      <c r="P2279" s="27"/>
      <c r="Q2279" s="41"/>
      <c r="R2279" s="40"/>
    </row>
    <row r="2280" spans="1:18" ht="30" customHeight="1" x14ac:dyDescent="0.3">
      <c r="A2280" s="26" t="str">
        <f t="shared" si="70"/>
        <v/>
      </c>
      <c r="B2280" s="26">
        <f>COUNTIFS($A$4:A2280,A2280)</f>
        <v>1117</v>
      </c>
      <c r="C2280" s="26" t="str">
        <f t="shared" si="71"/>
        <v>1117</v>
      </c>
      <c r="E2280" s="26"/>
      <c r="F2280" s="26"/>
      <c r="H2280" s="27"/>
      <c r="I2280" s="27"/>
      <c r="J2280" s="27"/>
      <c r="K2280" s="27"/>
      <c r="L2280" s="27"/>
      <c r="M2280" s="27"/>
      <c r="N2280" s="40"/>
      <c r="O2280" s="27"/>
      <c r="P2280" s="27"/>
      <c r="Q2280" s="41"/>
      <c r="R2280" s="40"/>
    </row>
    <row r="2281" spans="1:18" ht="30" customHeight="1" x14ac:dyDescent="0.3">
      <c r="A2281" s="26" t="str">
        <f t="shared" si="70"/>
        <v/>
      </c>
      <c r="B2281" s="26">
        <f>COUNTIFS($A$4:A2281,A2281)</f>
        <v>1118</v>
      </c>
      <c r="C2281" s="26" t="str">
        <f t="shared" si="71"/>
        <v>1118</v>
      </c>
      <c r="E2281" s="26"/>
      <c r="F2281" s="26"/>
      <c r="H2281" s="27"/>
      <c r="I2281" s="27"/>
      <c r="J2281" s="27"/>
      <c r="K2281" s="27"/>
      <c r="L2281" s="27"/>
      <c r="M2281" s="27"/>
      <c r="N2281" s="40"/>
      <c r="O2281" s="27"/>
      <c r="P2281" s="27"/>
      <c r="Q2281" s="41"/>
      <c r="R2281" s="40"/>
    </row>
    <row r="2282" spans="1:18" ht="30" customHeight="1" x14ac:dyDescent="0.3">
      <c r="A2282" s="26" t="str">
        <f t="shared" si="70"/>
        <v/>
      </c>
      <c r="B2282" s="26">
        <f>COUNTIFS($A$4:A2282,A2282)</f>
        <v>1119</v>
      </c>
      <c r="C2282" s="26" t="str">
        <f t="shared" si="71"/>
        <v>1119</v>
      </c>
      <c r="E2282" s="26"/>
      <c r="F2282" s="26"/>
      <c r="H2282" s="27"/>
      <c r="I2282" s="27"/>
      <c r="J2282" s="27"/>
      <c r="K2282" s="27"/>
      <c r="L2282" s="27"/>
      <c r="M2282" s="27"/>
      <c r="N2282" s="40"/>
      <c r="O2282" s="27"/>
      <c r="P2282" s="27"/>
      <c r="Q2282" s="41"/>
      <c r="R2282" s="40"/>
    </row>
    <row r="2283" spans="1:18" ht="30" customHeight="1" x14ac:dyDescent="0.3">
      <c r="A2283" s="26" t="str">
        <f t="shared" si="70"/>
        <v/>
      </c>
      <c r="B2283" s="26">
        <f>COUNTIFS($A$4:A2283,A2283)</f>
        <v>1120</v>
      </c>
      <c r="C2283" s="26" t="str">
        <f t="shared" si="71"/>
        <v>1120</v>
      </c>
      <c r="E2283" s="26"/>
      <c r="F2283" s="26"/>
      <c r="H2283" s="27"/>
      <c r="I2283" s="27"/>
      <c r="J2283" s="27"/>
      <c r="K2283" s="27"/>
      <c r="L2283" s="27"/>
      <c r="M2283" s="27"/>
      <c r="N2283" s="40"/>
      <c r="O2283" s="27"/>
      <c r="P2283" s="27"/>
      <c r="Q2283" s="41"/>
      <c r="R2283" s="40"/>
    </row>
    <row r="2284" spans="1:18" ht="30" customHeight="1" x14ac:dyDescent="0.3">
      <c r="A2284" s="26" t="str">
        <f t="shared" si="70"/>
        <v/>
      </c>
      <c r="B2284" s="26">
        <f>COUNTIFS($A$4:A2284,A2284)</f>
        <v>1121</v>
      </c>
      <c r="C2284" s="26" t="str">
        <f t="shared" si="71"/>
        <v>1121</v>
      </c>
      <c r="E2284" s="26"/>
      <c r="F2284" s="26"/>
      <c r="H2284" s="27"/>
      <c r="I2284" s="27"/>
      <c r="J2284" s="27"/>
      <c r="K2284" s="27"/>
      <c r="L2284" s="27"/>
      <c r="M2284" s="27"/>
      <c r="N2284" s="40"/>
      <c r="O2284" s="27"/>
      <c r="P2284" s="27"/>
      <c r="Q2284" s="41"/>
      <c r="R2284" s="40"/>
    </row>
    <row r="2285" spans="1:18" ht="30" customHeight="1" x14ac:dyDescent="0.3">
      <c r="A2285" s="26" t="str">
        <f t="shared" si="70"/>
        <v/>
      </c>
      <c r="B2285" s="26">
        <f>COUNTIFS($A$4:A2285,A2285)</f>
        <v>1122</v>
      </c>
      <c r="C2285" s="26" t="str">
        <f t="shared" si="71"/>
        <v>1122</v>
      </c>
      <c r="E2285" s="26"/>
      <c r="F2285" s="26"/>
      <c r="H2285" s="27"/>
      <c r="I2285" s="27"/>
      <c r="J2285" s="27"/>
      <c r="K2285" s="27"/>
      <c r="L2285" s="27"/>
      <c r="M2285" s="27"/>
      <c r="N2285" s="40"/>
      <c r="O2285" s="27"/>
      <c r="P2285" s="27"/>
      <c r="Q2285" s="41"/>
      <c r="R2285" s="40"/>
    </row>
    <row r="2286" spans="1:18" ht="30" customHeight="1" x14ac:dyDescent="0.3">
      <c r="A2286" s="26" t="str">
        <f t="shared" si="70"/>
        <v/>
      </c>
      <c r="B2286" s="26">
        <f>COUNTIFS($A$4:A2286,A2286)</f>
        <v>1123</v>
      </c>
      <c r="C2286" s="26" t="str">
        <f t="shared" si="71"/>
        <v>1123</v>
      </c>
      <c r="E2286" s="26"/>
      <c r="F2286" s="26"/>
      <c r="H2286" s="27"/>
      <c r="I2286" s="27"/>
      <c r="J2286" s="27"/>
      <c r="K2286" s="27"/>
      <c r="L2286" s="27"/>
      <c r="M2286" s="27"/>
      <c r="N2286" s="40"/>
      <c r="O2286" s="27"/>
      <c r="P2286" s="27"/>
      <c r="Q2286" s="41"/>
      <c r="R2286" s="40"/>
    </row>
    <row r="2287" spans="1:18" ht="30" customHeight="1" x14ac:dyDescent="0.3">
      <c r="A2287" s="26" t="str">
        <f t="shared" si="70"/>
        <v/>
      </c>
      <c r="B2287" s="26">
        <f>COUNTIFS($A$4:A2287,A2287)</f>
        <v>1124</v>
      </c>
      <c r="C2287" s="26" t="str">
        <f t="shared" si="71"/>
        <v>1124</v>
      </c>
      <c r="E2287" s="26"/>
      <c r="F2287" s="26"/>
      <c r="H2287" s="27"/>
      <c r="I2287" s="27"/>
      <c r="J2287" s="27"/>
      <c r="K2287" s="27"/>
      <c r="L2287" s="27"/>
      <c r="M2287" s="27"/>
      <c r="N2287" s="40"/>
      <c r="O2287" s="27"/>
      <c r="P2287" s="27"/>
      <c r="Q2287" s="41"/>
      <c r="R2287" s="40"/>
    </row>
    <row r="2288" spans="1:18" ht="30" customHeight="1" x14ac:dyDescent="0.3">
      <c r="A2288" s="26" t="str">
        <f t="shared" si="70"/>
        <v/>
      </c>
      <c r="B2288" s="26">
        <f>COUNTIFS($A$4:A2288,A2288)</f>
        <v>1125</v>
      </c>
      <c r="C2288" s="26" t="str">
        <f t="shared" si="71"/>
        <v>1125</v>
      </c>
      <c r="E2288" s="26"/>
      <c r="F2288" s="26"/>
      <c r="H2288" s="27"/>
      <c r="I2288" s="27"/>
      <c r="J2288" s="27"/>
      <c r="K2288" s="27"/>
      <c r="L2288" s="27"/>
      <c r="M2288" s="27"/>
      <c r="N2288" s="40"/>
      <c r="O2288" s="27"/>
      <c r="P2288" s="27"/>
      <c r="Q2288" s="41"/>
      <c r="R2288" s="40"/>
    </row>
    <row r="2289" spans="1:18" ht="30" customHeight="1" x14ac:dyDescent="0.3">
      <c r="A2289" s="26" t="str">
        <f t="shared" si="70"/>
        <v/>
      </c>
      <c r="B2289" s="26">
        <f>COUNTIFS($A$4:A2289,A2289)</f>
        <v>1126</v>
      </c>
      <c r="C2289" s="26" t="str">
        <f t="shared" si="71"/>
        <v>1126</v>
      </c>
      <c r="E2289" s="26"/>
      <c r="F2289" s="26"/>
      <c r="H2289" s="27"/>
      <c r="I2289" s="27"/>
      <c r="J2289" s="27"/>
      <c r="K2289" s="27"/>
      <c r="L2289" s="27"/>
      <c r="M2289" s="27"/>
      <c r="N2289" s="40"/>
      <c r="O2289" s="27"/>
      <c r="P2289" s="27"/>
      <c r="Q2289" s="41"/>
      <c r="R2289" s="40"/>
    </row>
    <row r="2290" spans="1:18" ht="30" customHeight="1" x14ac:dyDescent="0.3">
      <c r="A2290" s="26" t="str">
        <f t="shared" si="70"/>
        <v/>
      </c>
      <c r="B2290" s="26">
        <f>COUNTIFS($A$4:A2290,A2290)</f>
        <v>1127</v>
      </c>
      <c r="C2290" s="26" t="str">
        <f t="shared" si="71"/>
        <v>1127</v>
      </c>
      <c r="E2290" s="26"/>
      <c r="F2290" s="26"/>
      <c r="H2290" s="27"/>
      <c r="I2290" s="27"/>
      <c r="J2290" s="27"/>
      <c r="K2290" s="27"/>
      <c r="L2290" s="27"/>
      <c r="M2290" s="27"/>
      <c r="N2290" s="40"/>
      <c r="O2290" s="27"/>
      <c r="P2290" s="27"/>
      <c r="Q2290" s="41"/>
      <c r="R2290" s="40"/>
    </row>
    <row r="2291" spans="1:18" ht="30" customHeight="1" x14ac:dyDescent="0.3">
      <c r="A2291" s="26" t="str">
        <f t="shared" si="70"/>
        <v/>
      </c>
      <c r="B2291" s="26">
        <f>COUNTIFS($A$4:A2291,A2291)</f>
        <v>1128</v>
      </c>
      <c r="C2291" s="26" t="str">
        <f t="shared" si="71"/>
        <v>1128</v>
      </c>
      <c r="E2291" s="26"/>
      <c r="F2291" s="26"/>
      <c r="H2291" s="27"/>
      <c r="I2291" s="27"/>
      <c r="J2291" s="27"/>
      <c r="K2291" s="27"/>
      <c r="L2291" s="27"/>
      <c r="M2291" s="27"/>
      <c r="N2291" s="40"/>
      <c r="O2291" s="27"/>
      <c r="P2291" s="27"/>
      <c r="Q2291" s="41"/>
      <c r="R2291" s="40"/>
    </row>
    <row r="2292" spans="1:18" ht="30" customHeight="1" x14ac:dyDescent="0.3">
      <c r="A2292" s="26" t="str">
        <f t="shared" si="70"/>
        <v/>
      </c>
      <c r="B2292" s="26">
        <f>COUNTIFS($A$4:A2292,A2292)</f>
        <v>1129</v>
      </c>
      <c r="C2292" s="26" t="str">
        <f t="shared" si="71"/>
        <v>1129</v>
      </c>
      <c r="E2292" s="26"/>
      <c r="F2292" s="26"/>
      <c r="H2292" s="27"/>
      <c r="I2292" s="27"/>
      <c r="J2292" s="27"/>
      <c r="K2292" s="27"/>
      <c r="L2292" s="27"/>
      <c r="M2292" s="27"/>
      <c r="N2292" s="40"/>
      <c r="O2292" s="27"/>
      <c r="P2292" s="27"/>
      <c r="Q2292" s="41"/>
      <c r="R2292" s="40"/>
    </row>
    <row r="2293" spans="1:18" ht="30" customHeight="1" x14ac:dyDescent="0.3">
      <c r="A2293" s="26" t="str">
        <f t="shared" si="70"/>
        <v/>
      </c>
      <c r="B2293" s="26">
        <f>COUNTIFS($A$4:A2293,A2293)</f>
        <v>1130</v>
      </c>
      <c r="C2293" s="26" t="str">
        <f t="shared" si="71"/>
        <v>1130</v>
      </c>
      <c r="E2293" s="26"/>
      <c r="F2293" s="26"/>
      <c r="H2293" s="27"/>
      <c r="I2293" s="27"/>
      <c r="J2293" s="27"/>
      <c r="K2293" s="27"/>
      <c r="L2293" s="27"/>
      <c r="M2293" s="27"/>
      <c r="N2293" s="40"/>
      <c r="O2293" s="27"/>
      <c r="P2293" s="27"/>
      <c r="Q2293" s="41"/>
      <c r="R2293" s="40"/>
    </row>
    <row r="2294" spans="1:18" ht="30" customHeight="1" x14ac:dyDescent="0.3">
      <c r="A2294" s="26" t="str">
        <f t="shared" si="70"/>
        <v/>
      </c>
      <c r="B2294" s="26">
        <f>COUNTIFS($A$4:A2294,A2294)</f>
        <v>1131</v>
      </c>
      <c r="C2294" s="26" t="str">
        <f t="shared" si="71"/>
        <v>1131</v>
      </c>
      <c r="E2294" s="26"/>
      <c r="F2294" s="26"/>
      <c r="H2294" s="27"/>
      <c r="I2294" s="27"/>
      <c r="J2294" s="27"/>
      <c r="K2294" s="27"/>
      <c r="L2294" s="27"/>
      <c r="M2294" s="27"/>
      <c r="N2294" s="40"/>
      <c r="O2294" s="27"/>
      <c r="P2294" s="27"/>
      <c r="Q2294" s="41"/>
      <c r="R2294" s="40"/>
    </row>
    <row r="2295" spans="1:18" ht="30" customHeight="1" x14ac:dyDescent="0.3">
      <c r="A2295" s="26" t="str">
        <f t="shared" si="70"/>
        <v/>
      </c>
      <c r="B2295" s="26">
        <f>COUNTIFS($A$4:A2295,A2295)</f>
        <v>1132</v>
      </c>
      <c r="C2295" s="26" t="str">
        <f t="shared" si="71"/>
        <v>1132</v>
      </c>
      <c r="E2295" s="26"/>
      <c r="F2295" s="26"/>
      <c r="H2295" s="27"/>
      <c r="I2295" s="27"/>
      <c r="J2295" s="27"/>
      <c r="K2295" s="27"/>
      <c r="L2295" s="27"/>
      <c r="M2295" s="27"/>
      <c r="N2295" s="40"/>
      <c r="O2295" s="27"/>
      <c r="P2295" s="27"/>
      <c r="Q2295" s="41"/>
      <c r="R2295" s="40"/>
    </row>
    <row r="2296" spans="1:18" ht="30" customHeight="1" x14ac:dyDescent="0.3">
      <c r="A2296" s="26" t="str">
        <f t="shared" si="70"/>
        <v/>
      </c>
      <c r="B2296" s="26">
        <f>COUNTIFS($A$4:A2296,A2296)</f>
        <v>1133</v>
      </c>
      <c r="C2296" s="26" t="str">
        <f t="shared" si="71"/>
        <v>1133</v>
      </c>
      <c r="E2296" s="26"/>
      <c r="F2296" s="26"/>
      <c r="H2296" s="27"/>
      <c r="I2296" s="27"/>
      <c r="J2296" s="27"/>
      <c r="K2296" s="27"/>
      <c r="L2296" s="27"/>
      <c r="M2296" s="27"/>
      <c r="N2296" s="40"/>
      <c r="O2296" s="27"/>
      <c r="P2296" s="27"/>
      <c r="Q2296" s="41"/>
      <c r="R2296" s="40"/>
    </row>
    <row r="2297" spans="1:18" ht="30" customHeight="1" x14ac:dyDescent="0.3">
      <c r="A2297" s="26" t="str">
        <f t="shared" si="70"/>
        <v/>
      </c>
      <c r="B2297" s="26">
        <f>COUNTIFS($A$4:A2297,A2297)</f>
        <v>1134</v>
      </c>
      <c r="C2297" s="26" t="str">
        <f t="shared" si="71"/>
        <v>1134</v>
      </c>
      <c r="E2297" s="26"/>
      <c r="F2297" s="26"/>
      <c r="H2297" s="27"/>
      <c r="I2297" s="27"/>
      <c r="J2297" s="27"/>
      <c r="K2297" s="27"/>
      <c r="L2297" s="27"/>
      <c r="M2297" s="27"/>
      <c r="N2297" s="40"/>
      <c r="O2297" s="27"/>
      <c r="P2297" s="27"/>
      <c r="Q2297" s="41"/>
      <c r="R2297" s="40"/>
    </row>
    <row r="2298" spans="1:18" ht="30" customHeight="1" x14ac:dyDescent="0.3">
      <c r="A2298" s="26" t="str">
        <f t="shared" si="70"/>
        <v/>
      </c>
      <c r="B2298" s="26">
        <f>COUNTIFS($A$4:A2298,A2298)</f>
        <v>1135</v>
      </c>
      <c r="C2298" s="26" t="str">
        <f t="shared" si="71"/>
        <v>1135</v>
      </c>
      <c r="E2298" s="26"/>
      <c r="F2298" s="26"/>
      <c r="H2298" s="27"/>
      <c r="I2298" s="27"/>
      <c r="J2298" s="27"/>
      <c r="K2298" s="27"/>
      <c r="L2298" s="27"/>
      <c r="M2298" s="27"/>
      <c r="N2298" s="40"/>
      <c r="O2298" s="27"/>
      <c r="P2298" s="27"/>
      <c r="Q2298" s="41"/>
      <c r="R2298" s="40"/>
    </row>
    <row r="2299" spans="1:18" ht="30" customHeight="1" x14ac:dyDescent="0.3">
      <c r="A2299" s="26" t="str">
        <f t="shared" si="70"/>
        <v/>
      </c>
      <c r="B2299" s="26">
        <f>COUNTIFS($A$4:A2299,A2299)</f>
        <v>1136</v>
      </c>
      <c r="C2299" s="26" t="str">
        <f t="shared" si="71"/>
        <v>1136</v>
      </c>
      <c r="E2299" s="26"/>
      <c r="F2299" s="26"/>
      <c r="H2299" s="27"/>
      <c r="I2299" s="27"/>
      <c r="J2299" s="27"/>
      <c r="K2299" s="27"/>
      <c r="L2299" s="27"/>
      <c r="M2299" s="27"/>
      <c r="N2299" s="40"/>
      <c r="O2299" s="27"/>
      <c r="P2299" s="27"/>
      <c r="Q2299" s="41"/>
      <c r="R2299" s="40"/>
    </row>
    <row r="2300" spans="1:18" ht="30" customHeight="1" x14ac:dyDescent="0.3">
      <c r="A2300" s="26" t="str">
        <f t="shared" si="70"/>
        <v/>
      </c>
      <c r="B2300" s="26">
        <f>COUNTIFS($A$4:A2300,A2300)</f>
        <v>1137</v>
      </c>
      <c r="C2300" s="26" t="str">
        <f t="shared" si="71"/>
        <v>1137</v>
      </c>
      <c r="E2300" s="26"/>
      <c r="F2300" s="26"/>
      <c r="H2300" s="27"/>
      <c r="I2300" s="27"/>
      <c r="J2300" s="27"/>
      <c r="K2300" s="27"/>
      <c r="L2300" s="27"/>
      <c r="M2300" s="27"/>
      <c r="N2300" s="40"/>
      <c r="O2300" s="27"/>
      <c r="P2300" s="27"/>
      <c r="Q2300" s="41"/>
      <c r="R2300" s="40"/>
    </row>
    <row r="2301" spans="1:18" ht="30" customHeight="1" x14ac:dyDescent="0.3">
      <c r="A2301" s="26" t="str">
        <f t="shared" si="70"/>
        <v/>
      </c>
      <c r="B2301" s="26">
        <f>COUNTIFS($A$4:A2301,A2301)</f>
        <v>1138</v>
      </c>
      <c r="C2301" s="26" t="str">
        <f t="shared" si="71"/>
        <v>1138</v>
      </c>
      <c r="E2301" s="26"/>
      <c r="F2301" s="26"/>
      <c r="H2301" s="27"/>
      <c r="I2301" s="27"/>
      <c r="J2301" s="27"/>
      <c r="K2301" s="27"/>
      <c r="L2301" s="27"/>
      <c r="M2301" s="27"/>
      <c r="N2301" s="40"/>
      <c r="O2301" s="27"/>
      <c r="P2301" s="27"/>
      <c r="Q2301" s="41"/>
      <c r="R2301" s="40"/>
    </row>
    <row r="2302" spans="1:18" ht="30" customHeight="1" x14ac:dyDescent="0.3">
      <c r="A2302" s="26" t="str">
        <f t="shared" si="70"/>
        <v/>
      </c>
      <c r="B2302" s="26">
        <f>COUNTIFS($A$4:A2302,A2302)</f>
        <v>1139</v>
      </c>
      <c r="C2302" s="26" t="str">
        <f t="shared" si="71"/>
        <v>1139</v>
      </c>
      <c r="E2302" s="26"/>
      <c r="F2302" s="26"/>
      <c r="H2302" s="27"/>
      <c r="I2302" s="27"/>
      <c r="J2302" s="27"/>
      <c r="K2302" s="27"/>
      <c r="L2302" s="27"/>
      <c r="M2302" s="27"/>
      <c r="N2302" s="40"/>
      <c r="O2302" s="27"/>
      <c r="P2302" s="27"/>
      <c r="Q2302" s="41"/>
      <c r="R2302" s="40"/>
    </row>
    <row r="2303" spans="1:18" ht="30" customHeight="1" x14ac:dyDescent="0.3">
      <c r="A2303" s="26" t="str">
        <f t="shared" si="70"/>
        <v/>
      </c>
      <c r="B2303" s="26">
        <f>COUNTIFS($A$4:A2303,A2303)</f>
        <v>1140</v>
      </c>
      <c r="C2303" s="26" t="str">
        <f t="shared" si="71"/>
        <v>1140</v>
      </c>
      <c r="E2303" s="26"/>
      <c r="F2303" s="26"/>
      <c r="H2303" s="27"/>
      <c r="I2303" s="27"/>
      <c r="J2303" s="27"/>
      <c r="K2303" s="27"/>
      <c r="L2303" s="27"/>
      <c r="M2303" s="27"/>
      <c r="N2303" s="40"/>
      <c r="O2303" s="27"/>
      <c r="P2303" s="27"/>
      <c r="Q2303" s="41"/>
      <c r="R2303" s="40"/>
    </row>
    <row r="2304" spans="1:18" ht="30" customHeight="1" x14ac:dyDescent="0.3">
      <c r="A2304" s="26" t="str">
        <f t="shared" si="70"/>
        <v/>
      </c>
      <c r="B2304" s="26">
        <f>COUNTIFS($A$4:A2304,A2304)</f>
        <v>1141</v>
      </c>
      <c r="C2304" s="26" t="str">
        <f t="shared" si="71"/>
        <v>1141</v>
      </c>
      <c r="E2304" s="26"/>
      <c r="F2304" s="26"/>
      <c r="H2304" s="27"/>
      <c r="I2304" s="27"/>
      <c r="J2304" s="27"/>
      <c r="K2304" s="27"/>
      <c r="L2304" s="27"/>
      <c r="M2304" s="27"/>
      <c r="N2304" s="40"/>
      <c r="O2304" s="27"/>
      <c r="P2304" s="27"/>
      <c r="Q2304" s="41"/>
      <c r="R2304" s="40"/>
    </row>
    <row r="2305" spans="1:18" ht="30" customHeight="1" x14ac:dyDescent="0.3">
      <c r="A2305" s="26" t="str">
        <f t="shared" si="70"/>
        <v/>
      </c>
      <c r="B2305" s="26">
        <f>COUNTIFS($A$4:A2305,A2305)</f>
        <v>1142</v>
      </c>
      <c r="C2305" s="26" t="str">
        <f t="shared" si="71"/>
        <v>1142</v>
      </c>
      <c r="E2305" s="26"/>
      <c r="F2305" s="26"/>
      <c r="H2305" s="27"/>
      <c r="I2305" s="27"/>
      <c r="J2305" s="27"/>
      <c r="K2305" s="27"/>
      <c r="L2305" s="27"/>
      <c r="M2305" s="27"/>
      <c r="N2305" s="40"/>
      <c r="O2305" s="27"/>
      <c r="P2305" s="27"/>
      <c r="Q2305" s="41"/>
      <c r="R2305" s="40"/>
    </row>
    <row r="2306" spans="1:18" ht="30" customHeight="1" x14ac:dyDescent="0.3">
      <c r="A2306" s="26" t="str">
        <f t="shared" si="70"/>
        <v/>
      </c>
      <c r="B2306" s="26">
        <f>COUNTIFS($A$4:A2306,A2306)</f>
        <v>1143</v>
      </c>
      <c r="C2306" s="26" t="str">
        <f t="shared" si="71"/>
        <v>1143</v>
      </c>
      <c r="E2306" s="26"/>
      <c r="F2306" s="26"/>
      <c r="H2306" s="27"/>
      <c r="I2306" s="27"/>
      <c r="J2306" s="27"/>
      <c r="K2306" s="27"/>
      <c r="L2306" s="27"/>
      <c r="M2306" s="27"/>
      <c r="N2306" s="40"/>
      <c r="O2306" s="27"/>
      <c r="P2306" s="27"/>
      <c r="Q2306" s="41"/>
      <c r="R2306" s="40"/>
    </row>
    <row r="2307" spans="1:18" ht="30" customHeight="1" x14ac:dyDescent="0.3">
      <c r="A2307" s="26" t="str">
        <f t="shared" si="70"/>
        <v/>
      </c>
      <c r="B2307" s="26">
        <f>COUNTIFS($A$4:A2307,A2307)</f>
        <v>1144</v>
      </c>
      <c r="C2307" s="26" t="str">
        <f t="shared" si="71"/>
        <v>1144</v>
      </c>
      <c r="E2307" s="26"/>
      <c r="F2307" s="26"/>
      <c r="H2307" s="27"/>
      <c r="I2307" s="27"/>
      <c r="J2307" s="27"/>
      <c r="K2307" s="27"/>
      <c r="L2307" s="27"/>
      <c r="M2307" s="27"/>
      <c r="N2307" s="40"/>
      <c r="O2307" s="27"/>
      <c r="P2307" s="27"/>
      <c r="Q2307" s="41"/>
      <c r="R2307" s="40"/>
    </row>
    <row r="2308" spans="1:18" ht="30" customHeight="1" x14ac:dyDescent="0.3">
      <c r="A2308" s="26" t="str">
        <f t="shared" si="70"/>
        <v/>
      </c>
      <c r="B2308" s="26">
        <f>COUNTIFS($A$4:A2308,A2308)</f>
        <v>1145</v>
      </c>
      <c r="C2308" s="26" t="str">
        <f t="shared" si="71"/>
        <v>1145</v>
      </c>
      <c r="E2308" s="26"/>
      <c r="F2308" s="26"/>
      <c r="H2308" s="27"/>
      <c r="I2308" s="27"/>
      <c r="J2308" s="27"/>
      <c r="K2308" s="27"/>
      <c r="L2308" s="27"/>
      <c r="M2308" s="27"/>
      <c r="N2308" s="40"/>
      <c r="O2308" s="27"/>
      <c r="P2308" s="27"/>
      <c r="Q2308" s="41"/>
      <c r="R2308" s="40"/>
    </row>
    <row r="2309" spans="1:18" ht="30" customHeight="1" x14ac:dyDescent="0.3">
      <c r="A2309" s="26" t="str">
        <f t="shared" si="70"/>
        <v/>
      </c>
      <c r="B2309" s="26">
        <f>COUNTIFS($A$4:A2309,A2309)</f>
        <v>1146</v>
      </c>
      <c r="C2309" s="26" t="str">
        <f t="shared" si="71"/>
        <v>1146</v>
      </c>
      <c r="E2309" s="26"/>
      <c r="F2309" s="26"/>
      <c r="H2309" s="27"/>
      <c r="I2309" s="27"/>
      <c r="J2309" s="27"/>
      <c r="K2309" s="27"/>
      <c r="L2309" s="27"/>
      <c r="M2309" s="27"/>
      <c r="N2309" s="40"/>
      <c r="O2309" s="27"/>
      <c r="P2309" s="27"/>
      <c r="Q2309" s="41"/>
      <c r="R2309" s="40"/>
    </row>
    <row r="2310" spans="1:18" ht="30" customHeight="1" x14ac:dyDescent="0.3">
      <c r="A2310" s="26" t="str">
        <f t="shared" si="70"/>
        <v/>
      </c>
      <c r="B2310" s="26">
        <f>COUNTIFS($A$4:A2310,A2310)</f>
        <v>1147</v>
      </c>
      <c r="C2310" s="26" t="str">
        <f t="shared" si="71"/>
        <v>1147</v>
      </c>
      <c r="E2310" s="26"/>
      <c r="F2310" s="26"/>
      <c r="H2310" s="27"/>
      <c r="I2310" s="27"/>
      <c r="J2310" s="27"/>
      <c r="K2310" s="27"/>
      <c r="L2310" s="27"/>
      <c r="M2310" s="27"/>
      <c r="N2310" s="40"/>
      <c r="O2310" s="27"/>
      <c r="P2310" s="27"/>
      <c r="Q2310" s="41"/>
      <c r="R2310" s="40"/>
    </row>
    <row r="2311" spans="1:18" ht="30" customHeight="1" x14ac:dyDescent="0.3">
      <c r="A2311" s="26" t="str">
        <f t="shared" si="70"/>
        <v/>
      </c>
      <c r="B2311" s="26">
        <f>COUNTIFS($A$4:A2311,A2311)</f>
        <v>1148</v>
      </c>
      <c r="C2311" s="26" t="str">
        <f t="shared" si="71"/>
        <v>1148</v>
      </c>
      <c r="E2311" s="26"/>
      <c r="F2311" s="26"/>
      <c r="H2311" s="27"/>
      <c r="I2311" s="27"/>
      <c r="J2311" s="27"/>
      <c r="K2311" s="27"/>
      <c r="L2311" s="27"/>
      <c r="M2311" s="27"/>
      <c r="N2311" s="40"/>
      <c r="O2311" s="27"/>
      <c r="P2311" s="27"/>
      <c r="Q2311" s="41"/>
      <c r="R2311" s="40"/>
    </row>
    <row r="2312" spans="1:18" ht="30" customHeight="1" x14ac:dyDescent="0.3">
      <c r="A2312" s="26" t="str">
        <f t="shared" si="70"/>
        <v/>
      </c>
      <c r="B2312" s="26">
        <f>COUNTIFS($A$4:A2312,A2312)</f>
        <v>1149</v>
      </c>
      <c r="C2312" s="26" t="str">
        <f t="shared" si="71"/>
        <v>1149</v>
      </c>
      <c r="E2312" s="26"/>
      <c r="F2312" s="26"/>
      <c r="H2312" s="27"/>
      <c r="I2312" s="27"/>
      <c r="J2312" s="27"/>
      <c r="K2312" s="27"/>
      <c r="L2312" s="27"/>
      <c r="M2312" s="27"/>
      <c r="N2312" s="40"/>
      <c r="O2312" s="27"/>
      <c r="P2312" s="27"/>
      <c r="Q2312" s="41"/>
      <c r="R2312" s="40"/>
    </row>
    <row r="2313" spans="1:18" ht="30" customHeight="1" x14ac:dyDescent="0.3">
      <c r="A2313" s="26" t="str">
        <f t="shared" si="70"/>
        <v/>
      </c>
      <c r="B2313" s="26">
        <f>COUNTIFS($A$4:A2313,A2313)</f>
        <v>1150</v>
      </c>
      <c r="C2313" s="26" t="str">
        <f t="shared" si="71"/>
        <v>1150</v>
      </c>
      <c r="E2313" s="26"/>
      <c r="F2313" s="26"/>
      <c r="H2313" s="27"/>
      <c r="I2313" s="27"/>
      <c r="J2313" s="27"/>
      <c r="K2313" s="27"/>
      <c r="L2313" s="27"/>
      <c r="M2313" s="27"/>
      <c r="N2313" s="40"/>
      <c r="O2313" s="27"/>
      <c r="P2313" s="27"/>
      <c r="Q2313" s="41"/>
      <c r="R2313" s="40"/>
    </row>
    <row r="2314" spans="1:18" ht="30" customHeight="1" x14ac:dyDescent="0.3">
      <c r="A2314" s="26" t="str">
        <f t="shared" si="70"/>
        <v/>
      </c>
      <c r="B2314" s="26">
        <f>COUNTIFS($A$4:A2314,A2314)</f>
        <v>1151</v>
      </c>
      <c r="C2314" s="26" t="str">
        <f t="shared" si="71"/>
        <v>1151</v>
      </c>
      <c r="E2314" s="26"/>
      <c r="F2314" s="26"/>
      <c r="H2314" s="27"/>
      <c r="I2314" s="27"/>
      <c r="J2314" s="27"/>
      <c r="K2314" s="27"/>
      <c r="L2314" s="27"/>
      <c r="M2314" s="27"/>
      <c r="N2314" s="40"/>
      <c r="O2314" s="27"/>
      <c r="P2314" s="27"/>
      <c r="Q2314" s="41"/>
      <c r="R2314" s="40"/>
    </row>
    <row r="2315" spans="1:18" ht="30" customHeight="1" x14ac:dyDescent="0.3">
      <c r="A2315" s="26" t="str">
        <f t="shared" si="70"/>
        <v/>
      </c>
      <c r="B2315" s="26">
        <f>COUNTIFS($A$4:A2315,A2315)</f>
        <v>1152</v>
      </c>
      <c r="C2315" s="26" t="str">
        <f t="shared" si="71"/>
        <v>1152</v>
      </c>
      <c r="E2315" s="26"/>
      <c r="F2315" s="26"/>
      <c r="H2315" s="27"/>
      <c r="I2315" s="27"/>
      <c r="J2315" s="27"/>
      <c r="K2315" s="27"/>
      <c r="L2315" s="27"/>
      <c r="M2315" s="27"/>
      <c r="N2315" s="40"/>
      <c r="O2315" s="27"/>
      <c r="P2315" s="27"/>
      <c r="Q2315" s="41"/>
      <c r="R2315" s="40"/>
    </row>
    <row r="2316" spans="1:18" ht="30" customHeight="1" x14ac:dyDescent="0.3">
      <c r="A2316" s="26" t="str">
        <f t="shared" si="70"/>
        <v/>
      </c>
      <c r="B2316" s="26">
        <f>COUNTIFS($A$4:A2316,A2316)</f>
        <v>1153</v>
      </c>
      <c r="C2316" s="26" t="str">
        <f t="shared" si="71"/>
        <v>1153</v>
      </c>
      <c r="E2316" s="26"/>
      <c r="F2316" s="26"/>
      <c r="H2316" s="27"/>
      <c r="I2316" s="27"/>
      <c r="J2316" s="27"/>
      <c r="K2316" s="27"/>
      <c r="L2316" s="27"/>
      <c r="M2316" s="27"/>
      <c r="N2316" s="40"/>
      <c r="O2316" s="27"/>
      <c r="P2316" s="27"/>
      <c r="Q2316" s="41"/>
      <c r="R2316" s="40"/>
    </row>
    <row r="2317" spans="1:18" ht="30" customHeight="1" x14ac:dyDescent="0.3">
      <c r="A2317" s="26" t="str">
        <f t="shared" si="70"/>
        <v/>
      </c>
      <c r="B2317" s="26">
        <f>COUNTIFS($A$4:A2317,A2317)</f>
        <v>1154</v>
      </c>
      <c r="C2317" s="26" t="str">
        <f t="shared" si="71"/>
        <v>1154</v>
      </c>
      <c r="E2317" s="26"/>
      <c r="F2317" s="26"/>
      <c r="H2317" s="27"/>
      <c r="I2317" s="27"/>
      <c r="J2317" s="27"/>
      <c r="K2317" s="27"/>
      <c r="L2317" s="27"/>
      <c r="M2317" s="27"/>
      <c r="N2317" s="40"/>
      <c r="O2317" s="27"/>
      <c r="P2317" s="27"/>
      <c r="Q2317" s="41"/>
      <c r="R2317" s="40"/>
    </row>
    <row r="2318" spans="1:18" ht="30" customHeight="1" x14ac:dyDescent="0.3">
      <c r="A2318" s="26" t="str">
        <f t="shared" si="70"/>
        <v/>
      </c>
      <c r="B2318" s="26">
        <f>COUNTIFS($A$4:A2318,A2318)</f>
        <v>1155</v>
      </c>
      <c r="C2318" s="26" t="str">
        <f t="shared" si="71"/>
        <v>1155</v>
      </c>
      <c r="E2318" s="26"/>
      <c r="F2318" s="26"/>
      <c r="H2318" s="27"/>
      <c r="I2318" s="27"/>
      <c r="J2318" s="27"/>
      <c r="K2318" s="27"/>
      <c r="L2318" s="27"/>
      <c r="M2318" s="27"/>
      <c r="N2318" s="40"/>
      <c r="O2318" s="27"/>
      <c r="P2318" s="27"/>
      <c r="Q2318" s="41"/>
      <c r="R2318" s="40"/>
    </row>
    <row r="2319" spans="1:18" ht="30" customHeight="1" x14ac:dyDescent="0.3">
      <c r="A2319" s="26" t="str">
        <f t="shared" si="70"/>
        <v/>
      </c>
      <c r="B2319" s="26">
        <f>COUNTIFS($A$4:A2319,A2319)</f>
        <v>1156</v>
      </c>
      <c r="C2319" s="26" t="str">
        <f t="shared" si="71"/>
        <v>1156</v>
      </c>
      <c r="E2319" s="26"/>
      <c r="F2319" s="26"/>
      <c r="H2319" s="27"/>
      <c r="I2319" s="27"/>
      <c r="J2319" s="27"/>
      <c r="K2319" s="27"/>
      <c r="L2319" s="27"/>
      <c r="M2319" s="27"/>
      <c r="N2319" s="40"/>
      <c r="O2319" s="27"/>
      <c r="P2319" s="27"/>
      <c r="Q2319" s="41"/>
      <c r="R2319" s="40"/>
    </row>
    <row r="2320" spans="1:18" ht="30" customHeight="1" x14ac:dyDescent="0.3">
      <c r="A2320" s="26" t="str">
        <f t="shared" si="70"/>
        <v/>
      </c>
      <c r="B2320" s="26">
        <f>COUNTIFS($A$4:A2320,A2320)</f>
        <v>1157</v>
      </c>
      <c r="C2320" s="26" t="str">
        <f t="shared" si="71"/>
        <v>1157</v>
      </c>
      <c r="E2320" s="26"/>
      <c r="F2320" s="26"/>
      <c r="H2320" s="27"/>
      <c r="I2320" s="27"/>
      <c r="J2320" s="27"/>
      <c r="K2320" s="27"/>
      <c r="L2320" s="27"/>
      <c r="M2320" s="27"/>
      <c r="N2320" s="40"/>
      <c r="O2320" s="27"/>
      <c r="P2320" s="27"/>
      <c r="Q2320" s="41"/>
      <c r="R2320" s="40"/>
    </row>
    <row r="2321" spans="1:18" ht="30" customHeight="1" x14ac:dyDescent="0.3">
      <c r="A2321" s="26" t="str">
        <f t="shared" ref="A2321:A2384" si="72">I2321&amp;H2321</f>
        <v/>
      </c>
      <c r="B2321" s="26">
        <f>COUNTIFS($A$4:A2321,A2321)</f>
        <v>1158</v>
      </c>
      <c r="C2321" s="26" t="str">
        <f t="shared" ref="C2321:C2384" si="73">A2321&amp;B2321</f>
        <v>1158</v>
      </c>
      <c r="E2321" s="26"/>
      <c r="F2321" s="26"/>
      <c r="H2321" s="27"/>
      <c r="I2321" s="27"/>
      <c r="J2321" s="27"/>
      <c r="K2321" s="27"/>
      <c r="L2321" s="27"/>
      <c r="M2321" s="27"/>
      <c r="N2321" s="40"/>
      <c r="O2321" s="27"/>
      <c r="P2321" s="27"/>
      <c r="Q2321" s="41"/>
      <c r="R2321" s="40"/>
    </row>
    <row r="2322" spans="1:18" ht="30" customHeight="1" x14ac:dyDescent="0.3">
      <c r="A2322" s="26" t="str">
        <f t="shared" si="72"/>
        <v/>
      </c>
      <c r="B2322" s="26">
        <f>COUNTIFS($A$4:A2322,A2322)</f>
        <v>1159</v>
      </c>
      <c r="C2322" s="26" t="str">
        <f t="shared" si="73"/>
        <v>1159</v>
      </c>
      <c r="E2322" s="26"/>
      <c r="F2322" s="26"/>
      <c r="H2322" s="27"/>
      <c r="I2322" s="27"/>
      <c r="J2322" s="27"/>
      <c r="K2322" s="27"/>
      <c r="L2322" s="27"/>
      <c r="M2322" s="27"/>
      <c r="N2322" s="40"/>
      <c r="O2322" s="27"/>
      <c r="P2322" s="27"/>
      <c r="Q2322" s="41"/>
      <c r="R2322" s="40"/>
    </row>
    <row r="2323" spans="1:18" ht="30" customHeight="1" x14ac:dyDescent="0.3">
      <c r="A2323" s="26" t="str">
        <f t="shared" si="72"/>
        <v/>
      </c>
      <c r="B2323" s="26">
        <f>COUNTIFS($A$4:A2323,A2323)</f>
        <v>1160</v>
      </c>
      <c r="C2323" s="26" t="str">
        <f t="shared" si="73"/>
        <v>1160</v>
      </c>
      <c r="E2323" s="26"/>
      <c r="F2323" s="26"/>
      <c r="H2323" s="27"/>
      <c r="I2323" s="27"/>
      <c r="J2323" s="27"/>
      <c r="K2323" s="27"/>
      <c r="L2323" s="27"/>
      <c r="M2323" s="27"/>
      <c r="N2323" s="40"/>
      <c r="O2323" s="27"/>
      <c r="P2323" s="27"/>
      <c r="Q2323" s="41"/>
      <c r="R2323" s="40"/>
    </row>
    <row r="2324" spans="1:18" ht="30" customHeight="1" x14ac:dyDescent="0.3">
      <c r="A2324" s="26" t="str">
        <f t="shared" si="72"/>
        <v/>
      </c>
      <c r="B2324" s="26">
        <f>COUNTIFS($A$4:A2324,A2324)</f>
        <v>1161</v>
      </c>
      <c r="C2324" s="26" t="str">
        <f t="shared" si="73"/>
        <v>1161</v>
      </c>
      <c r="E2324" s="26"/>
      <c r="F2324" s="26"/>
      <c r="H2324" s="27"/>
      <c r="I2324" s="27"/>
      <c r="J2324" s="27"/>
      <c r="K2324" s="27"/>
      <c r="L2324" s="27"/>
      <c r="M2324" s="27"/>
      <c r="N2324" s="40"/>
      <c r="O2324" s="27"/>
      <c r="P2324" s="27"/>
      <c r="Q2324" s="41"/>
      <c r="R2324" s="40"/>
    </row>
    <row r="2325" spans="1:18" ht="30" customHeight="1" x14ac:dyDescent="0.3">
      <c r="A2325" s="26" t="str">
        <f t="shared" si="72"/>
        <v/>
      </c>
      <c r="B2325" s="26">
        <f>COUNTIFS($A$4:A2325,A2325)</f>
        <v>1162</v>
      </c>
      <c r="C2325" s="26" t="str">
        <f t="shared" si="73"/>
        <v>1162</v>
      </c>
      <c r="E2325" s="26"/>
      <c r="F2325" s="26"/>
      <c r="H2325" s="27"/>
      <c r="I2325" s="27"/>
      <c r="J2325" s="27"/>
      <c r="K2325" s="27"/>
      <c r="L2325" s="27"/>
      <c r="M2325" s="27"/>
      <c r="N2325" s="40"/>
      <c r="O2325" s="27"/>
      <c r="P2325" s="27"/>
      <c r="Q2325" s="41"/>
      <c r="R2325" s="40"/>
    </row>
    <row r="2326" spans="1:18" ht="30" customHeight="1" x14ac:dyDescent="0.3">
      <c r="A2326" s="26" t="str">
        <f t="shared" si="72"/>
        <v/>
      </c>
      <c r="B2326" s="26">
        <f>COUNTIFS($A$4:A2326,A2326)</f>
        <v>1163</v>
      </c>
      <c r="C2326" s="26" t="str">
        <f t="shared" si="73"/>
        <v>1163</v>
      </c>
      <c r="E2326" s="26"/>
      <c r="F2326" s="26"/>
      <c r="H2326" s="27"/>
      <c r="I2326" s="27"/>
      <c r="J2326" s="27"/>
      <c r="K2326" s="27"/>
      <c r="L2326" s="27"/>
      <c r="M2326" s="27"/>
      <c r="N2326" s="40"/>
      <c r="O2326" s="27"/>
      <c r="P2326" s="27"/>
      <c r="Q2326" s="41"/>
      <c r="R2326" s="40"/>
    </row>
    <row r="2327" spans="1:18" ht="30" customHeight="1" x14ac:dyDescent="0.3">
      <c r="A2327" s="26" t="str">
        <f t="shared" si="72"/>
        <v/>
      </c>
      <c r="B2327" s="26">
        <f>COUNTIFS($A$4:A2327,A2327)</f>
        <v>1164</v>
      </c>
      <c r="C2327" s="26" t="str">
        <f t="shared" si="73"/>
        <v>1164</v>
      </c>
      <c r="E2327" s="26"/>
      <c r="F2327" s="26"/>
      <c r="H2327" s="27"/>
      <c r="I2327" s="27"/>
      <c r="J2327" s="27"/>
      <c r="K2327" s="27"/>
      <c r="L2327" s="27"/>
      <c r="M2327" s="27"/>
      <c r="N2327" s="40"/>
      <c r="O2327" s="27"/>
      <c r="P2327" s="27"/>
      <c r="Q2327" s="41"/>
      <c r="R2327" s="40"/>
    </row>
    <row r="2328" spans="1:18" ht="30" customHeight="1" x14ac:dyDescent="0.3">
      <c r="A2328" s="26" t="str">
        <f t="shared" si="72"/>
        <v/>
      </c>
      <c r="B2328" s="26">
        <f>COUNTIFS($A$4:A2328,A2328)</f>
        <v>1165</v>
      </c>
      <c r="C2328" s="26" t="str">
        <f t="shared" si="73"/>
        <v>1165</v>
      </c>
      <c r="E2328" s="26"/>
      <c r="F2328" s="26"/>
      <c r="H2328" s="27"/>
      <c r="I2328" s="27"/>
      <c r="J2328" s="27"/>
      <c r="K2328" s="27"/>
      <c r="L2328" s="27"/>
      <c r="M2328" s="27"/>
      <c r="N2328" s="40"/>
      <c r="O2328" s="27"/>
      <c r="P2328" s="27"/>
      <c r="Q2328" s="41"/>
      <c r="R2328" s="40"/>
    </row>
    <row r="2329" spans="1:18" ht="30" customHeight="1" x14ac:dyDescent="0.3">
      <c r="A2329" s="26" t="str">
        <f t="shared" si="72"/>
        <v/>
      </c>
      <c r="B2329" s="26">
        <f>COUNTIFS($A$4:A2329,A2329)</f>
        <v>1166</v>
      </c>
      <c r="C2329" s="26" t="str">
        <f t="shared" si="73"/>
        <v>1166</v>
      </c>
      <c r="E2329" s="26"/>
      <c r="F2329" s="26"/>
      <c r="H2329" s="27"/>
      <c r="I2329" s="27"/>
      <c r="J2329" s="27"/>
      <c r="K2329" s="27"/>
      <c r="L2329" s="27"/>
      <c r="M2329" s="27"/>
      <c r="N2329" s="40"/>
      <c r="O2329" s="27"/>
      <c r="P2329" s="27"/>
      <c r="Q2329" s="41"/>
      <c r="R2329" s="40"/>
    </row>
    <row r="2330" spans="1:18" ht="30" customHeight="1" x14ac:dyDescent="0.3">
      <c r="A2330" s="26" t="str">
        <f t="shared" si="72"/>
        <v/>
      </c>
      <c r="B2330" s="26">
        <f>COUNTIFS($A$4:A2330,A2330)</f>
        <v>1167</v>
      </c>
      <c r="C2330" s="26" t="str">
        <f t="shared" si="73"/>
        <v>1167</v>
      </c>
      <c r="E2330" s="26"/>
      <c r="F2330" s="26"/>
      <c r="H2330" s="27"/>
      <c r="I2330" s="27"/>
      <c r="J2330" s="27"/>
      <c r="K2330" s="27"/>
      <c r="L2330" s="27"/>
      <c r="M2330" s="27"/>
      <c r="N2330" s="40"/>
      <c r="O2330" s="27"/>
      <c r="P2330" s="27"/>
      <c r="Q2330" s="41"/>
      <c r="R2330" s="40"/>
    </row>
    <row r="2331" spans="1:18" ht="30" customHeight="1" x14ac:dyDescent="0.3">
      <c r="A2331" s="26" t="str">
        <f t="shared" si="72"/>
        <v/>
      </c>
      <c r="B2331" s="26">
        <f>COUNTIFS($A$4:A2331,A2331)</f>
        <v>1168</v>
      </c>
      <c r="C2331" s="26" t="str">
        <f t="shared" si="73"/>
        <v>1168</v>
      </c>
      <c r="E2331" s="26"/>
      <c r="F2331" s="26"/>
      <c r="H2331" s="27"/>
      <c r="I2331" s="27"/>
      <c r="J2331" s="27"/>
      <c r="K2331" s="27"/>
      <c r="L2331" s="27"/>
      <c r="M2331" s="27"/>
      <c r="N2331" s="40"/>
      <c r="O2331" s="27"/>
      <c r="P2331" s="27"/>
      <c r="Q2331" s="41"/>
      <c r="R2331" s="40"/>
    </row>
    <row r="2332" spans="1:18" ht="30" customHeight="1" x14ac:dyDescent="0.3">
      <c r="A2332" s="26" t="str">
        <f t="shared" si="72"/>
        <v/>
      </c>
      <c r="B2332" s="26">
        <f>COUNTIFS($A$4:A2332,A2332)</f>
        <v>1169</v>
      </c>
      <c r="C2332" s="26" t="str">
        <f t="shared" si="73"/>
        <v>1169</v>
      </c>
      <c r="E2332" s="26"/>
      <c r="F2332" s="26"/>
      <c r="H2332" s="27"/>
      <c r="I2332" s="27"/>
      <c r="J2332" s="27"/>
      <c r="K2332" s="27"/>
      <c r="L2332" s="27"/>
      <c r="M2332" s="27"/>
      <c r="N2332" s="40"/>
      <c r="O2332" s="27"/>
      <c r="P2332" s="27"/>
      <c r="Q2332" s="41"/>
      <c r="R2332" s="40"/>
    </row>
    <row r="2333" spans="1:18" ht="30" customHeight="1" x14ac:dyDescent="0.3">
      <c r="A2333" s="26" t="str">
        <f t="shared" si="72"/>
        <v/>
      </c>
      <c r="B2333" s="26">
        <f>COUNTIFS($A$4:A2333,A2333)</f>
        <v>1170</v>
      </c>
      <c r="C2333" s="26" t="str">
        <f t="shared" si="73"/>
        <v>1170</v>
      </c>
      <c r="E2333" s="26"/>
      <c r="F2333" s="26"/>
      <c r="H2333" s="27"/>
      <c r="I2333" s="27"/>
      <c r="J2333" s="27"/>
      <c r="K2333" s="27"/>
      <c r="L2333" s="27"/>
      <c r="M2333" s="27"/>
      <c r="N2333" s="40"/>
      <c r="O2333" s="27"/>
      <c r="P2333" s="27"/>
      <c r="Q2333" s="41"/>
      <c r="R2333" s="40"/>
    </row>
    <row r="2334" spans="1:18" ht="30" customHeight="1" x14ac:dyDescent="0.3">
      <c r="A2334" s="26" t="str">
        <f t="shared" si="72"/>
        <v/>
      </c>
      <c r="B2334" s="26">
        <f>COUNTIFS($A$4:A2334,A2334)</f>
        <v>1171</v>
      </c>
      <c r="C2334" s="26" t="str">
        <f t="shared" si="73"/>
        <v>1171</v>
      </c>
      <c r="E2334" s="26"/>
      <c r="F2334" s="26"/>
      <c r="H2334" s="27"/>
      <c r="I2334" s="27"/>
      <c r="J2334" s="27"/>
      <c r="K2334" s="27"/>
      <c r="L2334" s="27"/>
      <c r="M2334" s="27"/>
      <c r="N2334" s="40"/>
      <c r="O2334" s="27"/>
      <c r="P2334" s="27"/>
      <c r="Q2334" s="41"/>
      <c r="R2334" s="40"/>
    </row>
    <row r="2335" spans="1:18" ht="30" customHeight="1" x14ac:dyDescent="0.3">
      <c r="A2335" s="26" t="str">
        <f t="shared" si="72"/>
        <v/>
      </c>
      <c r="B2335" s="26">
        <f>COUNTIFS($A$4:A2335,A2335)</f>
        <v>1172</v>
      </c>
      <c r="C2335" s="26" t="str">
        <f t="shared" si="73"/>
        <v>1172</v>
      </c>
      <c r="E2335" s="26"/>
      <c r="F2335" s="26"/>
      <c r="H2335" s="27"/>
      <c r="I2335" s="27"/>
      <c r="J2335" s="27"/>
      <c r="K2335" s="27"/>
      <c r="L2335" s="27"/>
      <c r="M2335" s="27"/>
      <c r="N2335" s="40"/>
      <c r="O2335" s="27"/>
      <c r="P2335" s="27"/>
      <c r="Q2335" s="41"/>
      <c r="R2335" s="40"/>
    </row>
    <row r="2336" spans="1:18" ht="30" customHeight="1" x14ac:dyDescent="0.3">
      <c r="A2336" s="26" t="str">
        <f t="shared" si="72"/>
        <v/>
      </c>
      <c r="B2336" s="26">
        <f>COUNTIFS($A$4:A2336,A2336)</f>
        <v>1173</v>
      </c>
      <c r="C2336" s="26" t="str">
        <f t="shared" si="73"/>
        <v>1173</v>
      </c>
      <c r="E2336" s="26"/>
      <c r="F2336" s="26"/>
      <c r="H2336" s="27"/>
      <c r="I2336" s="27"/>
      <c r="J2336" s="27"/>
      <c r="K2336" s="27"/>
      <c r="L2336" s="27"/>
      <c r="M2336" s="27"/>
      <c r="N2336" s="40"/>
      <c r="O2336" s="27"/>
      <c r="P2336" s="27"/>
      <c r="Q2336" s="41"/>
      <c r="R2336" s="40"/>
    </row>
    <row r="2337" spans="1:18" ht="30" customHeight="1" x14ac:dyDescent="0.3">
      <c r="A2337" s="26" t="str">
        <f t="shared" si="72"/>
        <v/>
      </c>
      <c r="B2337" s="26">
        <f>COUNTIFS($A$4:A2337,A2337)</f>
        <v>1174</v>
      </c>
      <c r="C2337" s="26" t="str">
        <f t="shared" si="73"/>
        <v>1174</v>
      </c>
      <c r="E2337" s="26"/>
      <c r="F2337" s="26"/>
      <c r="H2337" s="27"/>
      <c r="I2337" s="27"/>
      <c r="J2337" s="27"/>
      <c r="K2337" s="27"/>
      <c r="L2337" s="27"/>
      <c r="M2337" s="27"/>
      <c r="N2337" s="40"/>
      <c r="O2337" s="27"/>
      <c r="P2337" s="27"/>
      <c r="Q2337" s="41"/>
      <c r="R2337" s="40"/>
    </row>
    <row r="2338" spans="1:18" ht="30" customHeight="1" x14ac:dyDescent="0.3">
      <c r="A2338" s="26" t="str">
        <f t="shared" si="72"/>
        <v/>
      </c>
      <c r="B2338" s="26">
        <f>COUNTIFS($A$4:A2338,A2338)</f>
        <v>1175</v>
      </c>
      <c r="C2338" s="26" t="str">
        <f t="shared" si="73"/>
        <v>1175</v>
      </c>
      <c r="E2338" s="26"/>
      <c r="F2338" s="26"/>
      <c r="H2338" s="27"/>
      <c r="I2338" s="27"/>
      <c r="J2338" s="27"/>
      <c r="K2338" s="27"/>
      <c r="L2338" s="27"/>
      <c r="M2338" s="27"/>
      <c r="N2338" s="40"/>
      <c r="O2338" s="27"/>
      <c r="P2338" s="27"/>
      <c r="Q2338" s="41"/>
      <c r="R2338" s="40"/>
    </row>
    <row r="2339" spans="1:18" ht="30" customHeight="1" x14ac:dyDescent="0.3">
      <c r="A2339" s="26" t="str">
        <f t="shared" si="72"/>
        <v/>
      </c>
      <c r="B2339" s="26">
        <f>COUNTIFS($A$4:A2339,A2339)</f>
        <v>1176</v>
      </c>
      <c r="C2339" s="26" t="str">
        <f t="shared" si="73"/>
        <v>1176</v>
      </c>
      <c r="E2339" s="26"/>
      <c r="F2339" s="26"/>
      <c r="H2339" s="27"/>
      <c r="I2339" s="27"/>
      <c r="J2339" s="27"/>
      <c r="K2339" s="27"/>
      <c r="L2339" s="27"/>
      <c r="M2339" s="27"/>
      <c r="N2339" s="40"/>
      <c r="O2339" s="27"/>
      <c r="P2339" s="27"/>
      <c r="Q2339" s="41"/>
      <c r="R2339" s="40"/>
    </row>
    <row r="2340" spans="1:18" ht="30" customHeight="1" x14ac:dyDescent="0.3">
      <c r="A2340" s="26" t="str">
        <f t="shared" si="72"/>
        <v/>
      </c>
      <c r="B2340" s="26">
        <f>COUNTIFS($A$4:A2340,A2340)</f>
        <v>1177</v>
      </c>
      <c r="C2340" s="26" t="str">
        <f t="shared" si="73"/>
        <v>1177</v>
      </c>
      <c r="E2340" s="26"/>
      <c r="F2340" s="26"/>
      <c r="H2340" s="27"/>
      <c r="I2340" s="27"/>
      <c r="J2340" s="27"/>
      <c r="K2340" s="27"/>
      <c r="L2340" s="27"/>
      <c r="M2340" s="27"/>
      <c r="N2340" s="40"/>
      <c r="O2340" s="27"/>
      <c r="P2340" s="27"/>
      <c r="Q2340" s="41"/>
      <c r="R2340" s="40"/>
    </row>
    <row r="2341" spans="1:18" ht="30" customHeight="1" x14ac:dyDescent="0.3">
      <c r="A2341" s="26" t="str">
        <f t="shared" si="72"/>
        <v/>
      </c>
      <c r="B2341" s="26">
        <f>COUNTIFS($A$4:A2341,A2341)</f>
        <v>1178</v>
      </c>
      <c r="C2341" s="26" t="str">
        <f t="shared" si="73"/>
        <v>1178</v>
      </c>
      <c r="E2341" s="26"/>
      <c r="F2341" s="26"/>
      <c r="H2341" s="27"/>
      <c r="I2341" s="27"/>
      <c r="J2341" s="27"/>
      <c r="K2341" s="27"/>
      <c r="L2341" s="27"/>
      <c r="M2341" s="27"/>
      <c r="N2341" s="40"/>
      <c r="O2341" s="27"/>
      <c r="P2341" s="27"/>
      <c r="Q2341" s="41"/>
      <c r="R2341" s="40"/>
    </row>
    <row r="2342" spans="1:18" ht="30" customHeight="1" x14ac:dyDescent="0.3">
      <c r="A2342" s="26" t="str">
        <f t="shared" si="72"/>
        <v/>
      </c>
      <c r="B2342" s="26">
        <f>COUNTIFS($A$4:A2342,A2342)</f>
        <v>1179</v>
      </c>
      <c r="C2342" s="26" t="str">
        <f t="shared" si="73"/>
        <v>1179</v>
      </c>
      <c r="E2342" s="26"/>
      <c r="F2342" s="26"/>
      <c r="H2342" s="27"/>
      <c r="I2342" s="27"/>
      <c r="J2342" s="27"/>
      <c r="K2342" s="27"/>
      <c r="L2342" s="27"/>
      <c r="M2342" s="27"/>
      <c r="N2342" s="40"/>
      <c r="O2342" s="27"/>
      <c r="P2342" s="27"/>
      <c r="Q2342" s="41"/>
      <c r="R2342" s="40"/>
    </row>
    <row r="2343" spans="1:18" ht="30" customHeight="1" x14ac:dyDescent="0.3">
      <c r="A2343" s="26" t="str">
        <f t="shared" si="72"/>
        <v/>
      </c>
      <c r="B2343" s="26">
        <f>COUNTIFS($A$4:A2343,A2343)</f>
        <v>1180</v>
      </c>
      <c r="C2343" s="26" t="str">
        <f t="shared" si="73"/>
        <v>1180</v>
      </c>
      <c r="E2343" s="26"/>
      <c r="F2343" s="26"/>
      <c r="H2343" s="27"/>
      <c r="I2343" s="27"/>
      <c r="J2343" s="27"/>
      <c r="K2343" s="27"/>
      <c r="L2343" s="27"/>
      <c r="M2343" s="27"/>
      <c r="N2343" s="40"/>
      <c r="O2343" s="27"/>
      <c r="P2343" s="27"/>
      <c r="Q2343" s="41"/>
      <c r="R2343" s="40"/>
    </row>
    <row r="2344" spans="1:18" ht="30" customHeight="1" x14ac:dyDescent="0.3">
      <c r="A2344" s="26" t="str">
        <f t="shared" si="72"/>
        <v/>
      </c>
      <c r="B2344" s="26">
        <f>COUNTIFS($A$4:A2344,A2344)</f>
        <v>1181</v>
      </c>
      <c r="C2344" s="26" t="str">
        <f t="shared" si="73"/>
        <v>1181</v>
      </c>
      <c r="E2344" s="26"/>
      <c r="F2344" s="26"/>
      <c r="H2344" s="27"/>
      <c r="I2344" s="27"/>
      <c r="J2344" s="27"/>
      <c r="K2344" s="27"/>
      <c r="L2344" s="27"/>
      <c r="M2344" s="27"/>
      <c r="N2344" s="40"/>
      <c r="O2344" s="27"/>
      <c r="P2344" s="27"/>
      <c r="Q2344" s="41"/>
      <c r="R2344" s="40"/>
    </row>
    <row r="2345" spans="1:18" ht="30" customHeight="1" x14ac:dyDescent="0.3">
      <c r="A2345" s="26" t="str">
        <f t="shared" si="72"/>
        <v/>
      </c>
      <c r="B2345" s="26">
        <f>COUNTIFS($A$4:A2345,A2345)</f>
        <v>1182</v>
      </c>
      <c r="C2345" s="26" t="str">
        <f t="shared" si="73"/>
        <v>1182</v>
      </c>
      <c r="E2345" s="26"/>
      <c r="F2345" s="26"/>
      <c r="H2345" s="27"/>
      <c r="I2345" s="27"/>
      <c r="J2345" s="27"/>
      <c r="K2345" s="27"/>
      <c r="L2345" s="27"/>
      <c r="M2345" s="27"/>
      <c r="N2345" s="40"/>
      <c r="O2345" s="27"/>
      <c r="P2345" s="27"/>
      <c r="Q2345" s="41"/>
      <c r="R2345" s="40"/>
    </row>
    <row r="2346" spans="1:18" ht="30" customHeight="1" x14ac:dyDescent="0.3">
      <c r="A2346" s="26" t="str">
        <f t="shared" si="72"/>
        <v/>
      </c>
      <c r="B2346" s="26">
        <f>COUNTIFS($A$4:A2346,A2346)</f>
        <v>1183</v>
      </c>
      <c r="C2346" s="26" t="str">
        <f t="shared" si="73"/>
        <v>1183</v>
      </c>
      <c r="E2346" s="26"/>
      <c r="F2346" s="26"/>
      <c r="H2346" s="27"/>
      <c r="I2346" s="27"/>
      <c r="J2346" s="27"/>
      <c r="K2346" s="27"/>
      <c r="L2346" s="27"/>
      <c r="M2346" s="27"/>
      <c r="N2346" s="40"/>
      <c r="O2346" s="27"/>
      <c r="P2346" s="27"/>
      <c r="Q2346" s="41"/>
      <c r="R2346" s="40"/>
    </row>
    <row r="2347" spans="1:18" ht="30" customHeight="1" x14ac:dyDescent="0.3">
      <c r="A2347" s="26" t="str">
        <f t="shared" si="72"/>
        <v/>
      </c>
      <c r="B2347" s="26">
        <f>COUNTIFS($A$4:A2347,A2347)</f>
        <v>1184</v>
      </c>
      <c r="C2347" s="26" t="str">
        <f t="shared" si="73"/>
        <v>1184</v>
      </c>
      <c r="E2347" s="26"/>
      <c r="F2347" s="26"/>
      <c r="H2347" s="27"/>
      <c r="I2347" s="27"/>
      <c r="J2347" s="27"/>
      <c r="K2347" s="27"/>
      <c r="L2347" s="27"/>
      <c r="M2347" s="27"/>
      <c r="N2347" s="40"/>
      <c r="O2347" s="27"/>
      <c r="P2347" s="27"/>
      <c r="Q2347" s="41"/>
      <c r="R2347" s="40"/>
    </row>
    <row r="2348" spans="1:18" ht="30" customHeight="1" x14ac:dyDescent="0.3">
      <c r="A2348" s="26" t="str">
        <f t="shared" si="72"/>
        <v/>
      </c>
      <c r="B2348" s="26">
        <f>COUNTIFS($A$4:A2348,A2348)</f>
        <v>1185</v>
      </c>
      <c r="C2348" s="26" t="str">
        <f t="shared" si="73"/>
        <v>1185</v>
      </c>
      <c r="E2348" s="26"/>
      <c r="F2348" s="26"/>
      <c r="H2348" s="27"/>
      <c r="I2348" s="27"/>
      <c r="J2348" s="27"/>
      <c r="K2348" s="27"/>
      <c r="L2348" s="27"/>
      <c r="M2348" s="27"/>
      <c r="N2348" s="40"/>
      <c r="O2348" s="27"/>
      <c r="P2348" s="27"/>
      <c r="Q2348" s="41"/>
      <c r="R2348" s="40"/>
    </row>
    <row r="2349" spans="1:18" ht="30" customHeight="1" x14ac:dyDescent="0.3">
      <c r="A2349" s="26" t="str">
        <f t="shared" si="72"/>
        <v/>
      </c>
      <c r="B2349" s="26">
        <f>COUNTIFS($A$4:A2349,A2349)</f>
        <v>1186</v>
      </c>
      <c r="C2349" s="26" t="str">
        <f t="shared" si="73"/>
        <v>1186</v>
      </c>
      <c r="E2349" s="26"/>
      <c r="F2349" s="26"/>
      <c r="H2349" s="27"/>
      <c r="I2349" s="27"/>
      <c r="J2349" s="27"/>
      <c r="K2349" s="27"/>
      <c r="L2349" s="27"/>
      <c r="M2349" s="27"/>
      <c r="N2349" s="40"/>
      <c r="O2349" s="27"/>
      <c r="P2349" s="27"/>
      <c r="Q2349" s="41"/>
      <c r="R2349" s="40"/>
    </row>
    <row r="2350" spans="1:18" ht="30" customHeight="1" x14ac:dyDescent="0.3">
      <c r="A2350" s="26" t="str">
        <f t="shared" si="72"/>
        <v/>
      </c>
      <c r="B2350" s="26">
        <f>COUNTIFS($A$4:A2350,A2350)</f>
        <v>1187</v>
      </c>
      <c r="C2350" s="26" t="str">
        <f t="shared" si="73"/>
        <v>1187</v>
      </c>
      <c r="E2350" s="26"/>
      <c r="F2350" s="26"/>
      <c r="H2350" s="27"/>
      <c r="I2350" s="27"/>
      <c r="J2350" s="27"/>
      <c r="K2350" s="27"/>
      <c r="L2350" s="27"/>
      <c r="M2350" s="27"/>
      <c r="N2350" s="40"/>
      <c r="O2350" s="27"/>
      <c r="P2350" s="27"/>
      <c r="Q2350" s="41"/>
      <c r="R2350" s="40"/>
    </row>
    <row r="2351" spans="1:18" ht="30" customHeight="1" x14ac:dyDescent="0.3">
      <c r="A2351" s="26" t="str">
        <f t="shared" si="72"/>
        <v/>
      </c>
      <c r="B2351" s="26">
        <f>COUNTIFS($A$4:A2351,A2351)</f>
        <v>1188</v>
      </c>
      <c r="C2351" s="26" t="str">
        <f t="shared" si="73"/>
        <v>1188</v>
      </c>
      <c r="E2351" s="26"/>
      <c r="F2351" s="26"/>
      <c r="H2351" s="27"/>
      <c r="I2351" s="27"/>
      <c r="J2351" s="27"/>
      <c r="K2351" s="27"/>
      <c r="L2351" s="27"/>
      <c r="M2351" s="27"/>
      <c r="N2351" s="40"/>
      <c r="O2351" s="27"/>
      <c r="P2351" s="27"/>
      <c r="Q2351" s="41"/>
      <c r="R2351" s="40"/>
    </row>
    <row r="2352" spans="1:18" ht="30" customHeight="1" x14ac:dyDescent="0.3">
      <c r="A2352" s="26" t="str">
        <f t="shared" si="72"/>
        <v/>
      </c>
      <c r="B2352" s="26">
        <f>COUNTIFS($A$4:A2352,A2352)</f>
        <v>1189</v>
      </c>
      <c r="C2352" s="26" t="str">
        <f t="shared" si="73"/>
        <v>1189</v>
      </c>
      <c r="E2352" s="26"/>
      <c r="F2352" s="26"/>
      <c r="H2352" s="27"/>
      <c r="I2352" s="27"/>
      <c r="J2352" s="27"/>
      <c r="K2352" s="27"/>
      <c r="L2352" s="27"/>
      <c r="M2352" s="27"/>
      <c r="N2352" s="40"/>
      <c r="O2352" s="27"/>
      <c r="P2352" s="27"/>
      <c r="Q2352" s="41"/>
      <c r="R2352" s="40"/>
    </row>
    <row r="2353" spans="1:18" ht="30" customHeight="1" x14ac:dyDescent="0.3">
      <c r="A2353" s="26" t="str">
        <f t="shared" si="72"/>
        <v/>
      </c>
      <c r="B2353" s="26">
        <f>COUNTIFS($A$4:A2353,A2353)</f>
        <v>1190</v>
      </c>
      <c r="C2353" s="26" t="str">
        <f t="shared" si="73"/>
        <v>1190</v>
      </c>
      <c r="E2353" s="26"/>
      <c r="F2353" s="26"/>
      <c r="H2353" s="27"/>
      <c r="I2353" s="27"/>
      <c r="J2353" s="27"/>
      <c r="K2353" s="27"/>
      <c r="L2353" s="27"/>
      <c r="M2353" s="27"/>
      <c r="N2353" s="40"/>
      <c r="O2353" s="27"/>
      <c r="P2353" s="27"/>
      <c r="Q2353" s="41"/>
      <c r="R2353" s="40"/>
    </row>
    <row r="2354" spans="1:18" ht="30" customHeight="1" x14ac:dyDescent="0.3">
      <c r="A2354" s="26" t="str">
        <f t="shared" si="72"/>
        <v/>
      </c>
      <c r="B2354" s="26">
        <f>COUNTIFS($A$4:A2354,A2354)</f>
        <v>1191</v>
      </c>
      <c r="C2354" s="26" t="str">
        <f t="shared" si="73"/>
        <v>1191</v>
      </c>
      <c r="E2354" s="26"/>
      <c r="F2354" s="26"/>
      <c r="H2354" s="27"/>
      <c r="I2354" s="27"/>
      <c r="J2354" s="27"/>
      <c r="K2354" s="27"/>
      <c r="L2354" s="27"/>
      <c r="M2354" s="27"/>
      <c r="N2354" s="40"/>
      <c r="O2354" s="27"/>
      <c r="P2354" s="27"/>
      <c r="Q2354" s="41"/>
      <c r="R2354" s="40"/>
    </row>
    <row r="2355" spans="1:18" ht="30" customHeight="1" x14ac:dyDescent="0.3">
      <c r="A2355" s="26" t="str">
        <f t="shared" si="72"/>
        <v/>
      </c>
      <c r="B2355" s="26">
        <f>COUNTIFS($A$4:A2355,A2355)</f>
        <v>1192</v>
      </c>
      <c r="C2355" s="26" t="str">
        <f t="shared" si="73"/>
        <v>1192</v>
      </c>
      <c r="E2355" s="26"/>
      <c r="F2355" s="26"/>
      <c r="H2355" s="27"/>
      <c r="I2355" s="27"/>
      <c r="J2355" s="27"/>
      <c r="K2355" s="27"/>
      <c r="L2355" s="27"/>
      <c r="M2355" s="27"/>
      <c r="N2355" s="40"/>
      <c r="O2355" s="27"/>
      <c r="P2355" s="27"/>
      <c r="Q2355" s="41"/>
      <c r="R2355" s="40"/>
    </row>
    <row r="2356" spans="1:18" ht="30" customHeight="1" x14ac:dyDescent="0.3">
      <c r="A2356" s="26" t="str">
        <f t="shared" si="72"/>
        <v/>
      </c>
      <c r="B2356" s="26">
        <f>COUNTIFS($A$4:A2356,A2356)</f>
        <v>1193</v>
      </c>
      <c r="C2356" s="26" t="str">
        <f t="shared" si="73"/>
        <v>1193</v>
      </c>
      <c r="E2356" s="26"/>
      <c r="F2356" s="26"/>
      <c r="H2356" s="27"/>
      <c r="I2356" s="27"/>
      <c r="J2356" s="27"/>
      <c r="K2356" s="27"/>
      <c r="L2356" s="27"/>
      <c r="M2356" s="27"/>
      <c r="N2356" s="40"/>
      <c r="O2356" s="27"/>
      <c r="P2356" s="27"/>
      <c r="Q2356" s="41"/>
      <c r="R2356" s="40"/>
    </row>
    <row r="2357" spans="1:18" ht="30" customHeight="1" x14ac:dyDescent="0.3">
      <c r="A2357" s="26" t="str">
        <f t="shared" si="72"/>
        <v/>
      </c>
      <c r="B2357" s="26">
        <f>COUNTIFS($A$4:A2357,A2357)</f>
        <v>1194</v>
      </c>
      <c r="C2357" s="26" t="str">
        <f t="shared" si="73"/>
        <v>1194</v>
      </c>
      <c r="E2357" s="26"/>
      <c r="F2357" s="26"/>
      <c r="H2357" s="27"/>
      <c r="I2357" s="27"/>
      <c r="J2357" s="27"/>
      <c r="K2357" s="27"/>
      <c r="L2357" s="27"/>
      <c r="M2357" s="27"/>
      <c r="N2357" s="40"/>
      <c r="O2357" s="27"/>
      <c r="P2357" s="27"/>
      <c r="Q2357" s="41"/>
      <c r="R2357" s="40"/>
    </row>
    <row r="2358" spans="1:18" ht="30" customHeight="1" x14ac:dyDescent="0.3">
      <c r="A2358" s="26" t="str">
        <f t="shared" si="72"/>
        <v/>
      </c>
      <c r="B2358" s="26">
        <f>COUNTIFS($A$4:A2358,A2358)</f>
        <v>1195</v>
      </c>
      <c r="C2358" s="26" t="str">
        <f t="shared" si="73"/>
        <v>1195</v>
      </c>
      <c r="E2358" s="26"/>
      <c r="F2358" s="26"/>
      <c r="H2358" s="27"/>
      <c r="I2358" s="27"/>
      <c r="J2358" s="27"/>
      <c r="K2358" s="27"/>
      <c r="L2358" s="27"/>
      <c r="M2358" s="27"/>
      <c r="N2358" s="40"/>
      <c r="O2358" s="27"/>
      <c r="P2358" s="27"/>
      <c r="Q2358" s="41"/>
      <c r="R2358" s="40"/>
    </row>
    <row r="2359" spans="1:18" ht="30" customHeight="1" x14ac:dyDescent="0.3">
      <c r="A2359" s="26" t="str">
        <f t="shared" si="72"/>
        <v/>
      </c>
      <c r="B2359" s="26">
        <f>COUNTIFS($A$4:A2359,A2359)</f>
        <v>1196</v>
      </c>
      <c r="C2359" s="26" t="str">
        <f t="shared" si="73"/>
        <v>1196</v>
      </c>
      <c r="E2359" s="26"/>
      <c r="F2359" s="26"/>
      <c r="H2359" s="27"/>
      <c r="I2359" s="27"/>
      <c r="J2359" s="27"/>
      <c r="K2359" s="27"/>
      <c r="L2359" s="27"/>
      <c r="M2359" s="27"/>
      <c r="N2359" s="40"/>
      <c r="O2359" s="27"/>
      <c r="P2359" s="27"/>
      <c r="Q2359" s="41"/>
      <c r="R2359" s="40"/>
    </row>
    <row r="2360" spans="1:18" ht="30" customHeight="1" x14ac:dyDescent="0.3">
      <c r="A2360" s="26" t="str">
        <f t="shared" si="72"/>
        <v/>
      </c>
      <c r="B2360" s="26">
        <f>COUNTIFS($A$4:A2360,A2360)</f>
        <v>1197</v>
      </c>
      <c r="C2360" s="26" t="str">
        <f t="shared" si="73"/>
        <v>1197</v>
      </c>
      <c r="E2360" s="26"/>
      <c r="F2360" s="26"/>
      <c r="H2360" s="27"/>
      <c r="I2360" s="27"/>
      <c r="J2360" s="27"/>
      <c r="K2360" s="27"/>
      <c r="L2360" s="27"/>
      <c r="M2360" s="27"/>
      <c r="N2360" s="40"/>
      <c r="O2360" s="27"/>
      <c r="P2360" s="27"/>
      <c r="Q2360" s="41"/>
      <c r="R2360" s="40"/>
    </row>
    <row r="2361" spans="1:18" ht="30" customHeight="1" x14ac:dyDescent="0.3">
      <c r="A2361" s="26" t="str">
        <f t="shared" si="72"/>
        <v/>
      </c>
      <c r="B2361" s="26">
        <f>COUNTIFS($A$4:A2361,A2361)</f>
        <v>1198</v>
      </c>
      <c r="C2361" s="26" t="str">
        <f t="shared" si="73"/>
        <v>1198</v>
      </c>
      <c r="E2361" s="26"/>
      <c r="F2361" s="26"/>
      <c r="H2361" s="27"/>
      <c r="I2361" s="27"/>
      <c r="J2361" s="27"/>
      <c r="K2361" s="27"/>
      <c r="L2361" s="27"/>
      <c r="M2361" s="27"/>
      <c r="N2361" s="40"/>
      <c r="O2361" s="27"/>
      <c r="P2361" s="27"/>
      <c r="Q2361" s="41"/>
      <c r="R2361" s="40"/>
    </row>
    <row r="2362" spans="1:18" ht="30" customHeight="1" x14ac:dyDescent="0.3">
      <c r="A2362" s="26" t="str">
        <f t="shared" si="72"/>
        <v/>
      </c>
      <c r="B2362" s="26">
        <f>COUNTIFS($A$4:A2362,A2362)</f>
        <v>1199</v>
      </c>
      <c r="C2362" s="26" t="str">
        <f t="shared" si="73"/>
        <v>1199</v>
      </c>
      <c r="E2362" s="26"/>
      <c r="F2362" s="26"/>
      <c r="H2362" s="27"/>
      <c r="I2362" s="27"/>
      <c r="J2362" s="27"/>
      <c r="K2362" s="27"/>
      <c r="L2362" s="27"/>
      <c r="M2362" s="27"/>
      <c r="N2362" s="40"/>
      <c r="O2362" s="27"/>
      <c r="P2362" s="27"/>
      <c r="Q2362" s="41"/>
      <c r="R2362" s="40"/>
    </row>
    <row r="2363" spans="1:18" ht="30" customHeight="1" x14ac:dyDescent="0.3">
      <c r="A2363" s="26" t="str">
        <f t="shared" si="72"/>
        <v/>
      </c>
      <c r="B2363" s="26">
        <f>COUNTIFS($A$4:A2363,A2363)</f>
        <v>1200</v>
      </c>
      <c r="C2363" s="26" t="str">
        <f t="shared" si="73"/>
        <v>1200</v>
      </c>
      <c r="E2363" s="26"/>
      <c r="F2363" s="26"/>
      <c r="H2363" s="27"/>
      <c r="I2363" s="27"/>
      <c r="J2363" s="27"/>
      <c r="K2363" s="27"/>
      <c r="L2363" s="27"/>
      <c r="M2363" s="27"/>
      <c r="N2363" s="40"/>
      <c r="O2363" s="27"/>
      <c r="P2363" s="27"/>
      <c r="Q2363" s="41"/>
      <c r="R2363" s="40"/>
    </row>
    <row r="2364" spans="1:18" ht="30" customHeight="1" x14ac:dyDescent="0.3">
      <c r="A2364" s="26" t="str">
        <f t="shared" si="72"/>
        <v/>
      </c>
      <c r="B2364" s="26">
        <f>COUNTIFS($A$4:A2364,A2364)</f>
        <v>1201</v>
      </c>
      <c r="C2364" s="26" t="str">
        <f t="shared" si="73"/>
        <v>1201</v>
      </c>
      <c r="E2364" s="26"/>
      <c r="F2364" s="26"/>
      <c r="H2364" s="27"/>
      <c r="I2364" s="27"/>
      <c r="J2364" s="27"/>
      <c r="K2364" s="27"/>
      <c r="L2364" s="27"/>
      <c r="M2364" s="27"/>
      <c r="N2364" s="40"/>
      <c r="O2364" s="27"/>
      <c r="P2364" s="27"/>
      <c r="Q2364" s="41"/>
      <c r="R2364" s="40"/>
    </row>
    <row r="2365" spans="1:18" ht="30" customHeight="1" x14ac:dyDescent="0.3">
      <c r="A2365" s="26" t="str">
        <f t="shared" si="72"/>
        <v/>
      </c>
      <c r="B2365" s="26">
        <f>COUNTIFS($A$4:A2365,A2365)</f>
        <v>1202</v>
      </c>
      <c r="C2365" s="26" t="str">
        <f t="shared" si="73"/>
        <v>1202</v>
      </c>
      <c r="E2365" s="26"/>
      <c r="F2365" s="26"/>
      <c r="H2365" s="27"/>
      <c r="I2365" s="27"/>
      <c r="J2365" s="27"/>
      <c r="K2365" s="27"/>
      <c r="L2365" s="27"/>
      <c r="M2365" s="27"/>
      <c r="N2365" s="40"/>
      <c r="O2365" s="27"/>
      <c r="P2365" s="27"/>
      <c r="Q2365" s="41"/>
      <c r="R2365" s="40"/>
    </row>
    <row r="2366" spans="1:18" ht="30" customHeight="1" x14ac:dyDescent="0.3">
      <c r="A2366" s="26" t="str">
        <f t="shared" si="72"/>
        <v/>
      </c>
      <c r="B2366" s="26">
        <f>COUNTIFS($A$4:A2366,A2366)</f>
        <v>1203</v>
      </c>
      <c r="C2366" s="26" t="str">
        <f t="shared" si="73"/>
        <v>1203</v>
      </c>
      <c r="E2366" s="26"/>
      <c r="F2366" s="26"/>
      <c r="H2366" s="27"/>
      <c r="I2366" s="27"/>
      <c r="J2366" s="27"/>
      <c r="K2366" s="27"/>
      <c r="L2366" s="27"/>
      <c r="M2366" s="27"/>
      <c r="N2366" s="40"/>
      <c r="O2366" s="27"/>
      <c r="P2366" s="27"/>
      <c r="Q2366" s="41"/>
      <c r="R2366" s="40"/>
    </row>
    <row r="2367" spans="1:18" ht="30" customHeight="1" x14ac:dyDescent="0.3">
      <c r="A2367" s="26" t="str">
        <f t="shared" si="72"/>
        <v/>
      </c>
      <c r="B2367" s="26">
        <f>COUNTIFS($A$4:A2367,A2367)</f>
        <v>1204</v>
      </c>
      <c r="C2367" s="26" t="str">
        <f t="shared" si="73"/>
        <v>1204</v>
      </c>
      <c r="E2367" s="26"/>
      <c r="F2367" s="26"/>
      <c r="H2367" s="27"/>
      <c r="I2367" s="27"/>
      <c r="J2367" s="27"/>
      <c r="K2367" s="27"/>
      <c r="L2367" s="27"/>
      <c r="M2367" s="27"/>
      <c r="N2367" s="40"/>
      <c r="O2367" s="27"/>
      <c r="P2367" s="27"/>
      <c r="Q2367" s="41"/>
      <c r="R2367" s="40"/>
    </row>
    <row r="2368" spans="1:18" ht="30" customHeight="1" x14ac:dyDescent="0.3">
      <c r="A2368" s="26" t="str">
        <f t="shared" si="72"/>
        <v/>
      </c>
      <c r="B2368" s="26">
        <f>COUNTIFS($A$4:A2368,A2368)</f>
        <v>1205</v>
      </c>
      <c r="C2368" s="26" t="str">
        <f t="shared" si="73"/>
        <v>1205</v>
      </c>
      <c r="E2368" s="26"/>
      <c r="F2368" s="26"/>
      <c r="H2368" s="27"/>
      <c r="I2368" s="27"/>
      <c r="J2368" s="27"/>
      <c r="K2368" s="27"/>
      <c r="L2368" s="27"/>
      <c r="M2368" s="27"/>
      <c r="N2368" s="40"/>
      <c r="O2368" s="27"/>
      <c r="P2368" s="27"/>
      <c r="Q2368" s="41"/>
      <c r="R2368" s="40"/>
    </row>
    <row r="2369" spans="1:18" ht="30" customHeight="1" x14ac:dyDescent="0.3">
      <c r="A2369" s="26" t="str">
        <f t="shared" si="72"/>
        <v/>
      </c>
      <c r="B2369" s="26">
        <f>COUNTIFS($A$4:A2369,A2369)</f>
        <v>1206</v>
      </c>
      <c r="C2369" s="26" t="str">
        <f t="shared" si="73"/>
        <v>1206</v>
      </c>
      <c r="E2369" s="26"/>
      <c r="F2369" s="26"/>
      <c r="H2369" s="27"/>
      <c r="I2369" s="27"/>
      <c r="J2369" s="27"/>
      <c r="K2369" s="27"/>
      <c r="L2369" s="27"/>
      <c r="M2369" s="27"/>
      <c r="N2369" s="40"/>
      <c r="O2369" s="27"/>
      <c r="P2369" s="27"/>
      <c r="Q2369" s="41"/>
      <c r="R2369" s="40"/>
    </row>
    <row r="2370" spans="1:18" ht="30" customHeight="1" x14ac:dyDescent="0.3">
      <c r="A2370" s="26" t="str">
        <f t="shared" si="72"/>
        <v/>
      </c>
      <c r="B2370" s="26">
        <f>COUNTIFS($A$4:A2370,A2370)</f>
        <v>1207</v>
      </c>
      <c r="C2370" s="26" t="str">
        <f t="shared" si="73"/>
        <v>1207</v>
      </c>
      <c r="E2370" s="26"/>
      <c r="F2370" s="26"/>
      <c r="H2370" s="27"/>
      <c r="I2370" s="27"/>
      <c r="J2370" s="27"/>
      <c r="K2370" s="27"/>
      <c r="L2370" s="27"/>
      <c r="M2370" s="27"/>
      <c r="N2370" s="40"/>
      <c r="O2370" s="27"/>
      <c r="P2370" s="27"/>
      <c r="Q2370" s="41"/>
      <c r="R2370" s="40"/>
    </row>
    <row r="2371" spans="1:18" ht="30" customHeight="1" x14ac:dyDescent="0.3">
      <c r="A2371" s="26" t="str">
        <f t="shared" si="72"/>
        <v/>
      </c>
      <c r="B2371" s="26">
        <f>COUNTIFS($A$4:A2371,A2371)</f>
        <v>1208</v>
      </c>
      <c r="C2371" s="26" t="str">
        <f t="shared" si="73"/>
        <v>1208</v>
      </c>
      <c r="E2371" s="26"/>
      <c r="F2371" s="26"/>
      <c r="H2371" s="27"/>
      <c r="I2371" s="27"/>
      <c r="J2371" s="27"/>
      <c r="K2371" s="27"/>
      <c r="L2371" s="27"/>
      <c r="M2371" s="27"/>
      <c r="N2371" s="40"/>
      <c r="O2371" s="27"/>
      <c r="P2371" s="27"/>
      <c r="Q2371" s="41"/>
      <c r="R2371" s="40"/>
    </row>
    <row r="2372" spans="1:18" ht="30" customHeight="1" x14ac:dyDescent="0.3">
      <c r="A2372" s="26" t="str">
        <f t="shared" si="72"/>
        <v/>
      </c>
      <c r="B2372" s="26">
        <f>COUNTIFS($A$4:A2372,A2372)</f>
        <v>1209</v>
      </c>
      <c r="C2372" s="26" t="str">
        <f t="shared" si="73"/>
        <v>1209</v>
      </c>
      <c r="E2372" s="26"/>
      <c r="F2372" s="26"/>
      <c r="H2372" s="27"/>
      <c r="I2372" s="27"/>
      <c r="J2372" s="27"/>
      <c r="K2372" s="27"/>
      <c r="L2372" s="27"/>
      <c r="M2372" s="27"/>
      <c r="N2372" s="40"/>
      <c r="O2372" s="27"/>
      <c r="P2372" s="27"/>
      <c r="Q2372" s="41"/>
      <c r="R2372" s="40"/>
    </row>
    <row r="2373" spans="1:18" ht="30" customHeight="1" x14ac:dyDescent="0.3">
      <c r="A2373" s="26" t="str">
        <f t="shared" si="72"/>
        <v/>
      </c>
      <c r="B2373" s="26">
        <f>COUNTIFS($A$4:A2373,A2373)</f>
        <v>1210</v>
      </c>
      <c r="C2373" s="26" t="str">
        <f t="shared" si="73"/>
        <v>1210</v>
      </c>
      <c r="E2373" s="26"/>
      <c r="F2373" s="26"/>
      <c r="H2373" s="27"/>
      <c r="I2373" s="27"/>
      <c r="J2373" s="27"/>
      <c r="K2373" s="27"/>
      <c r="L2373" s="27"/>
      <c r="M2373" s="27"/>
      <c r="N2373" s="40"/>
      <c r="O2373" s="27"/>
      <c r="P2373" s="27"/>
      <c r="Q2373" s="41"/>
      <c r="R2373" s="40"/>
    </row>
    <row r="2374" spans="1:18" ht="30" customHeight="1" x14ac:dyDescent="0.3">
      <c r="A2374" s="26" t="str">
        <f t="shared" si="72"/>
        <v/>
      </c>
      <c r="B2374" s="26">
        <f>COUNTIFS($A$4:A2374,A2374)</f>
        <v>1211</v>
      </c>
      <c r="C2374" s="26" t="str">
        <f t="shared" si="73"/>
        <v>1211</v>
      </c>
      <c r="E2374" s="26"/>
      <c r="F2374" s="26"/>
      <c r="H2374" s="27"/>
      <c r="I2374" s="27"/>
      <c r="J2374" s="27"/>
      <c r="K2374" s="27"/>
      <c r="L2374" s="27"/>
      <c r="M2374" s="27"/>
      <c r="N2374" s="40"/>
      <c r="O2374" s="27"/>
      <c r="P2374" s="27"/>
      <c r="Q2374" s="41"/>
      <c r="R2374" s="40"/>
    </row>
    <row r="2375" spans="1:18" ht="30" customHeight="1" x14ac:dyDescent="0.3">
      <c r="A2375" s="26" t="str">
        <f t="shared" si="72"/>
        <v/>
      </c>
      <c r="B2375" s="26">
        <f>COUNTIFS($A$4:A2375,A2375)</f>
        <v>1212</v>
      </c>
      <c r="C2375" s="26" t="str">
        <f t="shared" si="73"/>
        <v>1212</v>
      </c>
      <c r="E2375" s="26"/>
      <c r="F2375" s="26"/>
      <c r="H2375" s="27"/>
      <c r="I2375" s="27"/>
      <c r="J2375" s="27"/>
      <c r="K2375" s="27"/>
      <c r="L2375" s="27"/>
      <c r="M2375" s="27"/>
      <c r="N2375" s="40"/>
      <c r="O2375" s="27"/>
      <c r="P2375" s="27"/>
      <c r="Q2375" s="41"/>
      <c r="R2375" s="40"/>
    </row>
    <row r="2376" spans="1:18" ht="30" customHeight="1" x14ac:dyDescent="0.3">
      <c r="A2376" s="26" t="str">
        <f t="shared" si="72"/>
        <v/>
      </c>
      <c r="B2376" s="26">
        <f>COUNTIFS($A$4:A2376,A2376)</f>
        <v>1213</v>
      </c>
      <c r="C2376" s="26" t="str">
        <f t="shared" si="73"/>
        <v>1213</v>
      </c>
      <c r="E2376" s="26"/>
      <c r="F2376" s="26"/>
      <c r="H2376" s="27"/>
      <c r="I2376" s="27"/>
      <c r="J2376" s="27"/>
      <c r="K2376" s="27"/>
      <c r="L2376" s="27"/>
      <c r="M2376" s="27"/>
      <c r="N2376" s="40"/>
      <c r="O2376" s="27"/>
      <c r="P2376" s="27"/>
      <c r="Q2376" s="41"/>
      <c r="R2376" s="40"/>
    </row>
    <row r="2377" spans="1:18" ht="30" customHeight="1" x14ac:dyDescent="0.3">
      <c r="A2377" s="26" t="str">
        <f t="shared" si="72"/>
        <v/>
      </c>
      <c r="B2377" s="26">
        <f>COUNTIFS($A$4:A2377,A2377)</f>
        <v>1214</v>
      </c>
      <c r="C2377" s="26" t="str">
        <f t="shared" si="73"/>
        <v>1214</v>
      </c>
      <c r="E2377" s="26"/>
      <c r="F2377" s="26"/>
      <c r="H2377" s="27"/>
      <c r="I2377" s="27"/>
      <c r="J2377" s="27"/>
      <c r="K2377" s="27"/>
      <c r="L2377" s="27"/>
      <c r="M2377" s="27"/>
      <c r="N2377" s="40"/>
      <c r="O2377" s="27"/>
      <c r="P2377" s="27"/>
      <c r="Q2377" s="41"/>
      <c r="R2377" s="40"/>
    </row>
    <row r="2378" spans="1:18" ht="30" customHeight="1" x14ac:dyDescent="0.3">
      <c r="A2378" s="26" t="str">
        <f t="shared" si="72"/>
        <v/>
      </c>
      <c r="B2378" s="26">
        <f>COUNTIFS($A$4:A2378,A2378)</f>
        <v>1215</v>
      </c>
      <c r="C2378" s="26" t="str">
        <f t="shared" si="73"/>
        <v>1215</v>
      </c>
      <c r="E2378" s="26"/>
      <c r="F2378" s="26"/>
      <c r="H2378" s="27"/>
      <c r="I2378" s="27"/>
      <c r="J2378" s="27"/>
      <c r="K2378" s="27"/>
      <c r="L2378" s="27"/>
      <c r="M2378" s="27"/>
      <c r="N2378" s="40"/>
      <c r="O2378" s="27"/>
      <c r="P2378" s="27"/>
      <c r="Q2378" s="41"/>
      <c r="R2378" s="40"/>
    </row>
    <row r="2379" spans="1:18" ht="30" customHeight="1" x14ac:dyDescent="0.3">
      <c r="A2379" s="26" t="str">
        <f t="shared" si="72"/>
        <v/>
      </c>
      <c r="B2379" s="26">
        <f>COUNTIFS($A$4:A2379,A2379)</f>
        <v>1216</v>
      </c>
      <c r="C2379" s="26" t="str">
        <f t="shared" si="73"/>
        <v>1216</v>
      </c>
      <c r="E2379" s="26"/>
      <c r="F2379" s="26"/>
      <c r="H2379" s="27"/>
      <c r="I2379" s="27"/>
      <c r="J2379" s="27"/>
      <c r="K2379" s="27"/>
      <c r="L2379" s="27"/>
      <c r="M2379" s="27"/>
      <c r="N2379" s="40"/>
      <c r="O2379" s="27"/>
      <c r="P2379" s="27"/>
      <c r="Q2379" s="41"/>
      <c r="R2379" s="40"/>
    </row>
    <row r="2380" spans="1:18" ht="30" customHeight="1" x14ac:dyDescent="0.3">
      <c r="A2380" s="26" t="str">
        <f t="shared" si="72"/>
        <v/>
      </c>
      <c r="B2380" s="26">
        <f>COUNTIFS($A$4:A2380,A2380)</f>
        <v>1217</v>
      </c>
      <c r="C2380" s="26" t="str">
        <f t="shared" si="73"/>
        <v>1217</v>
      </c>
      <c r="E2380" s="26"/>
      <c r="F2380" s="26"/>
      <c r="H2380" s="27"/>
      <c r="I2380" s="27"/>
      <c r="J2380" s="27"/>
      <c r="K2380" s="27"/>
      <c r="L2380" s="27"/>
      <c r="M2380" s="27"/>
      <c r="N2380" s="40"/>
      <c r="O2380" s="27"/>
      <c r="P2380" s="27"/>
      <c r="Q2380" s="41"/>
      <c r="R2380" s="40"/>
    </row>
    <row r="2381" spans="1:18" ht="30" customHeight="1" x14ac:dyDescent="0.3">
      <c r="A2381" s="26" t="str">
        <f t="shared" si="72"/>
        <v/>
      </c>
      <c r="B2381" s="26">
        <f>COUNTIFS($A$4:A2381,A2381)</f>
        <v>1218</v>
      </c>
      <c r="C2381" s="26" t="str">
        <f t="shared" si="73"/>
        <v>1218</v>
      </c>
      <c r="E2381" s="26"/>
      <c r="F2381" s="26"/>
      <c r="H2381" s="27"/>
      <c r="I2381" s="27"/>
      <c r="J2381" s="27"/>
      <c r="K2381" s="27"/>
      <c r="L2381" s="27"/>
      <c r="M2381" s="27"/>
      <c r="N2381" s="40"/>
      <c r="O2381" s="27"/>
      <c r="P2381" s="27"/>
      <c r="Q2381" s="41"/>
      <c r="R2381" s="40"/>
    </row>
    <row r="2382" spans="1:18" ht="30" customHeight="1" x14ac:dyDescent="0.3">
      <c r="A2382" s="26" t="str">
        <f t="shared" si="72"/>
        <v/>
      </c>
      <c r="B2382" s="26">
        <f>COUNTIFS($A$4:A2382,A2382)</f>
        <v>1219</v>
      </c>
      <c r="C2382" s="26" t="str">
        <f t="shared" si="73"/>
        <v>1219</v>
      </c>
      <c r="E2382" s="26"/>
      <c r="F2382" s="26"/>
      <c r="H2382" s="27"/>
      <c r="I2382" s="27"/>
      <c r="J2382" s="27"/>
      <c r="K2382" s="27"/>
      <c r="L2382" s="27"/>
      <c r="M2382" s="27"/>
      <c r="N2382" s="40"/>
      <c r="O2382" s="27"/>
      <c r="P2382" s="27"/>
      <c r="Q2382" s="41"/>
      <c r="R2382" s="40"/>
    </row>
    <row r="2383" spans="1:18" ht="30" customHeight="1" x14ac:dyDescent="0.3">
      <c r="A2383" s="26" t="str">
        <f t="shared" si="72"/>
        <v/>
      </c>
      <c r="B2383" s="26">
        <f>COUNTIFS($A$4:A2383,A2383)</f>
        <v>1220</v>
      </c>
      <c r="C2383" s="26" t="str">
        <f t="shared" si="73"/>
        <v>1220</v>
      </c>
      <c r="E2383" s="26"/>
      <c r="F2383" s="26"/>
      <c r="H2383" s="27"/>
      <c r="I2383" s="27"/>
      <c r="J2383" s="27"/>
      <c r="K2383" s="27"/>
      <c r="L2383" s="27"/>
      <c r="M2383" s="27"/>
      <c r="N2383" s="40"/>
      <c r="O2383" s="27"/>
      <c r="P2383" s="27"/>
      <c r="Q2383" s="41"/>
      <c r="R2383" s="40"/>
    </row>
    <row r="2384" spans="1:18" ht="30" customHeight="1" x14ac:dyDescent="0.3">
      <c r="A2384" s="26" t="str">
        <f t="shared" si="72"/>
        <v/>
      </c>
      <c r="B2384" s="26">
        <f>COUNTIFS($A$4:A2384,A2384)</f>
        <v>1221</v>
      </c>
      <c r="C2384" s="26" t="str">
        <f t="shared" si="73"/>
        <v>1221</v>
      </c>
      <c r="E2384" s="26"/>
      <c r="F2384" s="26"/>
      <c r="H2384" s="27"/>
      <c r="I2384" s="27"/>
      <c r="J2384" s="27"/>
      <c r="K2384" s="27"/>
      <c r="L2384" s="27"/>
      <c r="M2384" s="27"/>
      <c r="N2384" s="40"/>
      <c r="O2384" s="27"/>
      <c r="P2384" s="27"/>
      <c r="Q2384" s="41"/>
      <c r="R2384" s="40"/>
    </row>
    <row r="2385" spans="1:18" ht="30" customHeight="1" x14ac:dyDescent="0.3">
      <c r="A2385" s="26" t="str">
        <f t="shared" ref="A2385:A2448" si="74">I2385&amp;H2385</f>
        <v/>
      </c>
      <c r="B2385" s="26">
        <f>COUNTIFS($A$4:A2385,A2385)</f>
        <v>1222</v>
      </c>
      <c r="C2385" s="26" t="str">
        <f t="shared" ref="C2385:C2448" si="75">A2385&amp;B2385</f>
        <v>1222</v>
      </c>
      <c r="E2385" s="26"/>
      <c r="F2385" s="26"/>
      <c r="H2385" s="27"/>
      <c r="I2385" s="27"/>
      <c r="J2385" s="27"/>
      <c r="K2385" s="27"/>
      <c r="L2385" s="27"/>
      <c r="M2385" s="27"/>
      <c r="N2385" s="40"/>
      <c r="O2385" s="27"/>
      <c r="P2385" s="27"/>
      <c r="Q2385" s="41"/>
      <c r="R2385" s="40"/>
    </row>
    <row r="2386" spans="1:18" ht="30" customHeight="1" x14ac:dyDescent="0.3">
      <c r="A2386" s="26" t="str">
        <f t="shared" si="74"/>
        <v/>
      </c>
      <c r="B2386" s="26">
        <f>COUNTIFS($A$4:A2386,A2386)</f>
        <v>1223</v>
      </c>
      <c r="C2386" s="26" t="str">
        <f t="shared" si="75"/>
        <v>1223</v>
      </c>
      <c r="E2386" s="26"/>
      <c r="F2386" s="26"/>
      <c r="H2386" s="27"/>
      <c r="I2386" s="27"/>
      <c r="J2386" s="27"/>
      <c r="K2386" s="27"/>
      <c r="L2386" s="27"/>
      <c r="M2386" s="27"/>
      <c r="N2386" s="40"/>
      <c r="O2386" s="27"/>
      <c r="P2386" s="27"/>
      <c r="Q2386" s="41"/>
      <c r="R2386" s="40"/>
    </row>
    <row r="2387" spans="1:18" ht="30" customHeight="1" x14ac:dyDescent="0.3">
      <c r="A2387" s="26" t="str">
        <f t="shared" si="74"/>
        <v/>
      </c>
      <c r="B2387" s="26">
        <f>COUNTIFS($A$4:A2387,A2387)</f>
        <v>1224</v>
      </c>
      <c r="C2387" s="26" t="str">
        <f t="shared" si="75"/>
        <v>1224</v>
      </c>
      <c r="E2387" s="26"/>
      <c r="F2387" s="26"/>
      <c r="H2387" s="27"/>
      <c r="I2387" s="27"/>
      <c r="J2387" s="27"/>
      <c r="K2387" s="27"/>
      <c r="L2387" s="27"/>
      <c r="M2387" s="27"/>
      <c r="N2387" s="40"/>
      <c r="O2387" s="27"/>
      <c r="P2387" s="27"/>
      <c r="Q2387" s="41"/>
      <c r="R2387" s="40"/>
    </row>
    <row r="2388" spans="1:18" ht="30" customHeight="1" x14ac:dyDescent="0.3">
      <c r="A2388" s="26" t="str">
        <f t="shared" si="74"/>
        <v/>
      </c>
      <c r="B2388" s="26">
        <f>COUNTIFS($A$4:A2388,A2388)</f>
        <v>1225</v>
      </c>
      <c r="C2388" s="26" t="str">
        <f t="shared" si="75"/>
        <v>1225</v>
      </c>
      <c r="E2388" s="26"/>
      <c r="F2388" s="26"/>
      <c r="H2388" s="27"/>
      <c r="I2388" s="27"/>
      <c r="J2388" s="27"/>
      <c r="K2388" s="27"/>
      <c r="L2388" s="27"/>
      <c r="M2388" s="27"/>
      <c r="N2388" s="40"/>
      <c r="O2388" s="27"/>
      <c r="P2388" s="27"/>
      <c r="Q2388" s="41"/>
      <c r="R2388" s="40"/>
    </row>
    <row r="2389" spans="1:18" ht="30" customHeight="1" x14ac:dyDescent="0.3">
      <c r="A2389" s="26" t="str">
        <f t="shared" si="74"/>
        <v/>
      </c>
      <c r="B2389" s="26">
        <f>COUNTIFS($A$4:A2389,A2389)</f>
        <v>1226</v>
      </c>
      <c r="C2389" s="26" t="str">
        <f t="shared" si="75"/>
        <v>1226</v>
      </c>
      <c r="E2389" s="26"/>
      <c r="F2389" s="26"/>
      <c r="H2389" s="27"/>
      <c r="I2389" s="27"/>
      <c r="J2389" s="27"/>
      <c r="K2389" s="27"/>
      <c r="L2389" s="27"/>
      <c r="M2389" s="27"/>
      <c r="N2389" s="40"/>
      <c r="O2389" s="27"/>
      <c r="P2389" s="27"/>
      <c r="Q2389" s="41"/>
      <c r="R2389" s="40"/>
    </row>
    <row r="2390" spans="1:18" ht="30" customHeight="1" x14ac:dyDescent="0.3">
      <c r="A2390" s="26" t="str">
        <f t="shared" si="74"/>
        <v/>
      </c>
      <c r="B2390" s="26">
        <f>COUNTIFS($A$4:A2390,A2390)</f>
        <v>1227</v>
      </c>
      <c r="C2390" s="26" t="str">
        <f t="shared" si="75"/>
        <v>1227</v>
      </c>
      <c r="E2390" s="26"/>
      <c r="F2390" s="26"/>
      <c r="H2390" s="27"/>
      <c r="I2390" s="27"/>
      <c r="J2390" s="27"/>
      <c r="K2390" s="27"/>
      <c r="L2390" s="27"/>
      <c r="M2390" s="27"/>
      <c r="N2390" s="40"/>
      <c r="O2390" s="27"/>
      <c r="P2390" s="27"/>
      <c r="Q2390" s="41"/>
      <c r="R2390" s="40"/>
    </row>
    <row r="2391" spans="1:18" ht="30" customHeight="1" x14ac:dyDescent="0.3">
      <c r="A2391" s="26" t="str">
        <f t="shared" si="74"/>
        <v/>
      </c>
      <c r="B2391" s="26">
        <f>COUNTIFS($A$4:A2391,A2391)</f>
        <v>1228</v>
      </c>
      <c r="C2391" s="26" t="str">
        <f t="shared" si="75"/>
        <v>1228</v>
      </c>
      <c r="E2391" s="26"/>
      <c r="F2391" s="26"/>
      <c r="H2391" s="27"/>
      <c r="I2391" s="27"/>
      <c r="J2391" s="27"/>
      <c r="K2391" s="27"/>
      <c r="L2391" s="27"/>
      <c r="M2391" s="27"/>
      <c r="N2391" s="40"/>
      <c r="O2391" s="27"/>
      <c r="P2391" s="27"/>
      <c r="Q2391" s="41"/>
      <c r="R2391" s="40"/>
    </row>
    <row r="2392" spans="1:18" ht="30" customHeight="1" x14ac:dyDescent="0.3">
      <c r="A2392" s="26" t="str">
        <f t="shared" si="74"/>
        <v/>
      </c>
      <c r="B2392" s="26">
        <f>COUNTIFS($A$4:A2392,A2392)</f>
        <v>1229</v>
      </c>
      <c r="C2392" s="26" t="str">
        <f t="shared" si="75"/>
        <v>1229</v>
      </c>
      <c r="E2392" s="26"/>
      <c r="F2392" s="26"/>
      <c r="H2392" s="27"/>
      <c r="I2392" s="27"/>
      <c r="J2392" s="27"/>
      <c r="K2392" s="27"/>
      <c r="L2392" s="27"/>
      <c r="M2392" s="27"/>
      <c r="N2392" s="40"/>
      <c r="O2392" s="27"/>
      <c r="P2392" s="27"/>
      <c r="Q2392" s="41"/>
      <c r="R2392" s="40"/>
    </row>
    <row r="2393" spans="1:18" ht="30" customHeight="1" x14ac:dyDescent="0.3">
      <c r="A2393" s="26" t="str">
        <f t="shared" si="74"/>
        <v/>
      </c>
      <c r="B2393" s="26">
        <f>COUNTIFS($A$4:A2393,A2393)</f>
        <v>1230</v>
      </c>
      <c r="C2393" s="26" t="str">
        <f t="shared" si="75"/>
        <v>1230</v>
      </c>
      <c r="E2393" s="26"/>
      <c r="F2393" s="26"/>
      <c r="H2393" s="27"/>
      <c r="I2393" s="27"/>
      <c r="J2393" s="27"/>
      <c r="K2393" s="27"/>
      <c r="L2393" s="27"/>
      <c r="M2393" s="27"/>
      <c r="N2393" s="40"/>
      <c r="O2393" s="27"/>
      <c r="P2393" s="27"/>
      <c r="Q2393" s="41"/>
      <c r="R2393" s="40"/>
    </row>
    <row r="2394" spans="1:18" ht="30" customHeight="1" x14ac:dyDescent="0.3">
      <c r="A2394" s="26" t="str">
        <f t="shared" si="74"/>
        <v/>
      </c>
      <c r="B2394" s="26">
        <f>COUNTIFS($A$4:A2394,A2394)</f>
        <v>1231</v>
      </c>
      <c r="C2394" s="26" t="str">
        <f t="shared" si="75"/>
        <v>1231</v>
      </c>
      <c r="E2394" s="26"/>
      <c r="F2394" s="26"/>
      <c r="H2394" s="27"/>
      <c r="I2394" s="27"/>
      <c r="J2394" s="27"/>
      <c r="K2394" s="27"/>
      <c r="L2394" s="27"/>
      <c r="M2394" s="27"/>
      <c r="N2394" s="40"/>
      <c r="O2394" s="27"/>
      <c r="P2394" s="27"/>
      <c r="Q2394" s="41"/>
      <c r="R2394" s="40"/>
    </row>
    <row r="2395" spans="1:18" ht="30" customHeight="1" x14ac:dyDescent="0.3">
      <c r="A2395" s="26" t="str">
        <f t="shared" si="74"/>
        <v/>
      </c>
      <c r="B2395" s="26">
        <f>COUNTIFS($A$4:A2395,A2395)</f>
        <v>1232</v>
      </c>
      <c r="C2395" s="26" t="str">
        <f t="shared" si="75"/>
        <v>1232</v>
      </c>
      <c r="E2395" s="26"/>
      <c r="F2395" s="26"/>
      <c r="H2395" s="27"/>
      <c r="I2395" s="27"/>
      <c r="J2395" s="27"/>
      <c r="K2395" s="27"/>
      <c r="L2395" s="27"/>
      <c r="M2395" s="27"/>
      <c r="N2395" s="40"/>
      <c r="O2395" s="27"/>
      <c r="P2395" s="27"/>
      <c r="Q2395" s="41"/>
      <c r="R2395" s="40"/>
    </row>
    <row r="2396" spans="1:18" ht="30" customHeight="1" x14ac:dyDescent="0.3">
      <c r="A2396" s="26" t="str">
        <f t="shared" si="74"/>
        <v/>
      </c>
      <c r="B2396" s="26">
        <f>COUNTIFS($A$4:A2396,A2396)</f>
        <v>1233</v>
      </c>
      <c r="C2396" s="26" t="str">
        <f t="shared" si="75"/>
        <v>1233</v>
      </c>
      <c r="E2396" s="26"/>
      <c r="F2396" s="26"/>
      <c r="H2396" s="27"/>
      <c r="I2396" s="27"/>
      <c r="J2396" s="27"/>
      <c r="K2396" s="27"/>
      <c r="L2396" s="27"/>
      <c r="M2396" s="27"/>
      <c r="N2396" s="40"/>
      <c r="O2396" s="27"/>
      <c r="P2396" s="27"/>
      <c r="Q2396" s="41"/>
      <c r="R2396" s="40"/>
    </row>
    <row r="2397" spans="1:18" ht="30" customHeight="1" x14ac:dyDescent="0.3">
      <c r="A2397" s="26" t="str">
        <f t="shared" si="74"/>
        <v/>
      </c>
      <c r="B2397" s="26">
        <f>COUNTIFS($A$4:A2397,A2397)</f>
        <v>1234</v>
      </c>
      <c r="C2397" s="26" t="str">
        <f t="shared" si="75"/>
        <v>1234</v>
      </c>
      <c r="E2397" s="26"/>
      <c r="F2397" s="26"/>
      <c r="H2397" s="27"/>
      <c r="I2397" s="27"/>
      <c r="J2397" s="27"/>
      <c r="K2397" s="27"/>
      <c r="L2397" s="27"/>
      <c r="M2397" s="27"/>
      <c r="N2397" s="40"/>
      <c r="O2397" s="27"/>
      <c r="P2397" s="27"/>
      <c r="Q2397" s="41"/>
      <c r="R2397" s="40"/>
    </row>
    <row r="2398" spans="1:18" ht="30" customHeight="1" x14ac:dyDescent="0.3">
      <c r="A2398" s="26" t="str">
        <f t="shared" si="74"/>
        <v/>
      </c>
      <c r="B2398" s="26">
        <f>COUNTIFS($A$4:A2398,A2398)</f>
        <v>1235</v>
      </c>
      <c r="C2398" s="26" t="str">
        <f t="shared" si="75"/>
        <v>1235</v>
      </c>
      <c r="E2398" s="26"/>
      <c r="F2398" s="26"/>
      <c r="H2398" s="27"/>
      <c r="I2398" s="27"/>
      <c r="J2398" s="27"/>
      <c r="K2398" s="27"/>
      <c r="L2398" s="27"/>
      <c r="M2398" s="27"/>
      <c r="N2398" s="40"/>
      <c r="O2398" s="27"/>
      <c r="P2398" s="27"/>
      <c r="Q2398" s="41"/>
      <c r="R2398" s="40"/>
    </row>
    <row r="2399" spans="1:18" ht="30" customHeight="1" x14ac:dyDescent="0.3">
      <c r="A2399" s="26" t="str">
        <f t="shared" si="74"/>
        <v/>
      </c>
      <c r="B2399" s="26">
        <f>COUNTIFS($A$4:A2399,A2399)</f>
        <v>1236</v>
      </c>
      <c r="C2399" s="26" t="str">
        <f t="shared" si="75"/>
        <v>1236</v>
      </c>
      <c r="E2399" s="26"/>
      <c r="F2399" s="26"/>
      <c r="H2399" s="27"/>
      <c r="I2399" s="27"/>
      <c r="J2399" s="27"/>
      <c r="K2399" s="27"/>
      <c r="L2399" s="27"/>
      <c r="M2399" s="27"/>
      <c r="N2399" s="40"/>
      <c r="O2399" s="27"/>
      <c r="P2399" s="27"/>
      <c r="Q2399" s="41"/>
      <c r="R2399" s="40"/>
    </row>
    <row r="2400" spans="1:18" ht="30" customHeight="1" x14ac:dyDescent="0.3">
      <c r="A2400" s="26" t="str">
        <f t="shared" si="74"/>
        <v/>
      </c>
      <c r="B2400" s="26">
        <f>COUNTIFS($A$4:A2400,A2400)</f>
        <v>1237</v>
      </c>
      <c r="C2400" s="26" t="str">
        <f t="shared" si="75"/>
        <v>1237</v>
      </c>
      <c r="E2400" s="26"/>
      <c r="F2400" s="26"/>
      <c r="H2400" s="27"/>
      <c r="I2400" s="27"/>
      <c r="J2400" s="27"/>
      <c r="K2400" s="27"/>
      <c r="L2400" s="27"/>
      <c r="M2400" s="27"/>
      <c r="N2400" s="40"/>
      <c r="O2400" s="27"/>
      <c r="P2400" s="27"/>
      <c r="Q2400" s="41"/>
      <c r="R2400" s="40"/>
    </row>
    <row r="2401" spans="1:18" ht="30" customHeight="1" x14ac:dyDescent="0.3">
      <c r="A2401" s="26" t="str">
        <f t="shared" si="74"/>
        <v/>
      </c>
      <c r="B2401" s="26">
        <f>COUNTIFS($A$4:A2401,A2401)</f>
        <v>1238</v>
      </c>
      <c r="C2401" s="26" t="str">
        <f t="shared" si="75"/>
        <v>1238</v>
      </c>
      <c r="E2401" s="26"/>
      <c r="F2401" s="26"/>
      <c r="H2401" s="27"/>
      <c r="I2401" s="27"/>
      <c r="J2401" s="27"/>
      <c r="K2401" s="27"/>
      <c r="L2401" s="27"/>
      <c r="M2401" s="27"/>
      <c r="N2401" s="40"/>
      <c r="O2401" s="27"/>
      <c r="P2401" s="27"/>
      <c r="Q2401" s="41"/>
      <c r="R2401" s="40"/>
    </row>
    <row r="2402" spans="1:18" ht="30" customHeight="1" x14ac:dyDescent="0.3">
      <c r="A2402" s="26" t="str">
        <f t="shared" si="74"/>
        <v/>
      </c>
      <c r="B2402" s="26">
        <f>COUNTIFS($A$4:A2402,A2402)</f>
        <v>1239</v>
      </c>
      <c r="C2402" s="26" t="str">
        <f t="shared" si="75"/>
        <v>1239</v>
      </c>
      <c r="E2402" s="26"/>
      <c r="F2402" s="26"/>
      <c r="H2402" s="27"/>
      <c r="I2402" s="27"/>
      <c r="J2402" s="27"/>
      <c r="K2402" s="27"/>
      <c r="L2402" s="27"/>
      <c r="M2402" s="27"/>
      <c r="N2402" s="40"/>
      <c r="O2402" s="27"/>
      <c r="P2402" s="27"/>
      <c r="Q2402" s="41"/>
      <c r="R2402" s="40"/>
    </row>
    <row r="2403" spans="1:18" ht="30" customHeight="1" x14ac:dyDescent="0.3">
      <c r="A2403" s="26" t="str">
        <f t="shared" si="74"/>
        <v/>
      </c>
      <c r="B2403" s="26">
        <f>COUNTIFS($A$4:A2403,A2403)</f>
        <v>1240</v>
      </c>
      <c r="C2403" s="26" t="str">
        <f t="shared" si="75"/>
        <v>1240</v>
      </c>
      <c r="E2403" s="26"/>
      <c r="F2403" s="26"/>
      <c r="H2403" s="27"/>
      <c r="I2403" s="27"/>
      <c r="J2403" s="27"/>
      <c r="K2403" s="27"/>
      <c r="L2403" s="27"/>
      <c r="M2403" s="27"/>
      <c r="N2403" s="40"/>
      <c r="O2403" s="27"/>
      <c r="P2403" s="27"/>
      <c r="Q2403" s="41"/>
      <c r="R2403" s="40"/>
    </row>
    <row r="2404" spans="1:18" ht="30" customHeight="1" x14ac:dyDescent="0.3">
      <c r="A2404" s="26" t="str">
        <f t="shared" si="74"/>
        <v/>
      </c>
      <c r="B2404" s="26">
        <f>COUNTIFS($A$4:A2404,A2404)</f>
        <v>1241</v>
      </c>
      <c r="C2404" s="26" t="str">
        <f t="shared" si="75"/>
        <v>1241</v>
      </c>
      <c r="E2404" s="26"/>
      <c r="F2404" s="26"/>
      <c r="H2404" s="27"/>
      <c r="I2404" s="27"/>
      <c r="J2404" s="27"/>
      <c r="K2404" s="27"/>
      <c r="L2404" s="27"/>
      <c r="M2404" s="27"/>
      <c r="N2404" s="40"/>
      <c r="O2404" s="27"/>
      <c r="P2404" s="27"/>
      <c r="Q2404" s="41"/>
      <c r="R2404" s="40"/>
    </row>
    <row r="2405" spans="1:18" ht="30" customHeight="1" x14ac:dyDescent="0.3">
      <c r="A2405" s="26" t="str">
        <f t="shared" si="74"/>
        <v/>
      </c>
      <c r="B2405" s="26">
        <f>COUNTIFS($A$4:A2405,A2405)</f>
        <v>1242</v>
      </c>
      <c r="C2405" s="26" t="str">
        <f t="shared" si="75"/>
        <v>1242</v>
      </c>
      <c r="E2405" s="26"/>
      <c r="F2405" s="26"/>
      <c r="H2405" s="27"/>
      <c r="I2405" s="27"/>
      <c r="J2405" s="27"/>
      <c r="K2405" s="27"/>
      <c r="L2405" s="27"/>
      <c r="M2405" s="27"/>
      <c r="N2405" s="40"/>
      <c r="O2405" s="27"/>
      <c r="P2405" s="27"/>
      <c r="Q2405" s="41"/>
      <c r="R2405" s="40"/>
    </row>
    <row r="2406" spans="1:18" ht="30" customHeight="1" x14ac:dyDescent="0.3">
      <c r="A2406" s="26" t="str">
        <f t="shared" si="74"/>
        <v/>
      </c>
      <c r="B2406" s="26">
        <f>COUNTIFS($A$4:A2406,A2406)</f>
        <v>1243</v>
      </c>
      <c r="C2406" s="26" t="str">
        <f t="shared" si="75"/>
        <v>1243</v>
      </c>
      <c r="E2406" s="26"/>
      <c r="F2406" s="26"/>
      <c r="H2406" s="27"/>
      <c r="I2406" s="27"/>
      <c r="J2406" s="27"/>
      <c r="K2406" s="27"/>
      <c r="L2406" s="27"/>
      <c r="M2406" s="27"/>
      <c r="N2406" s="40"/>
      <c r="O2406" s="27"/>
      <c r="P2406" s="27"/>
      <c r="Q2406" s="41"/>
      <c r="R2406" s="40"/>
    </row>
    <row r="2407" spans="1:18" ht="30" customHeight="1" x14ac:dyDescent="0.3">
      <c r="A2407" s="26" t="str">
        <f t="shared" si="74"/>
        <v/>
      </c>
      <c r="B2407" s="26">
        <f>COUNTIFS($A$4:A2407,A2407)</f>
        <v>1244</v>
      </c>
      <c r="C2407" s="26" t="str">
        <f t="shared" si="75"/>
        <v>1244</v>
      </c>
      <c r="E2407" s="26"/>
      <c r="F2407" s="26"/>
      <c r="H2407" s="27"/>
      <c r="I2407" s="27"/>
      <c r="J2407" s="27"/>
      <c r="K2407" s="27"/>
      <c r="L2407" s="27"/>
      <c r="M2407" s="27"/>
      <c r="N2407" s="40"/>
      <c r="O2407" s="27"/>
      <c r="P2407" s="27"/>
      <c r="Q2407" s="41"/>
      <c r="R2407" s="40"/>
    </row>
    <row r="2408" spans="1:18" ht="30" customHeight="1" x14ac:dyDescent="0.3">
      <c r="A2408" s="26" t="str">
        <f t="shared" si="74"/>
        <v/>
      </c>
      <c r="B2408" s="26">
        <f>COUNTIFS($A$4:A2408,A2408)</f>
        <v>1245</v>
      </c>
      <c r="C2408" s="26" t="str">
        <f t="shared" si="75"/>
        <v>1245</v>
      </c>
      <c r="E2408" s="26"/>
      <c r="F2408" s="26"/>
      <c r="H2408" s="27"/>
      <c r="I2408" s="27"/>
      <c r="J2408" s="27"/>
      <c r="K2408" s="27"/>
      <c r="L2408" s="27"/>
      <c r="M2408" s="27"/>
      <c r="N2408" s="40"/>
      <c r="O2408" s="27"/>
      <c r="P2408" s="27"/>
      <c r="Q2408" s="41"/>
      <c r="R2408" s="40"/>
    </row>
    <row r="2409" spans="1:18" ht="30" customHeight="1" x14ac:dyDescent="0.3">
      <c r="A2409" s="26" t="str">
        <f t="shared" si="74"/>
        <v/>
      </c>
      <c r="B2409" s="26">
        <f>COUNTIFS($A$4:A2409,A2409)</f>
        <v>1246</v>
      </c>
      <c r="C2409" s="26" t="str">
        <f t="shared" si="75"/>
        <v>1246</v>
      </c>
      <c r="E2409" s="26"/>
      <c r="F2409" s="26"/>
      <c r="H2409" s="27"/>
      <c r="I2409" s="27"/>
      <c r="J2409" s="27"/>
      <c r="K2409" s="27"/>
      <c r="L2409" s="27"/>
      <c r="M2409" s="27"/>
      <c r="N2409" s="40"/>
      <c r="O2409" s="27"/>
      <c r="P2409" s="27"/>
      <c r="Q2409" s="41"/>
      <c r="R2409" s="40"/>
    </row>
    <row r="2410" spans="1:18" ht="30" customHeight="1" x14ac:dyDescent="0.3">
      <c r="A2410" s="26" t="str">
        <f t="shared" si="74"/>
        <v/>
      </c>
      <c r="B2410" s="26">
        <f>COUNTIFS($A$4:A2410,A2410)</f>
        <v>1247</v>
      </c>
      <c r="C2410" s="26" t="str">
        <f t="shared" si="75"/>
        <v>1247</v>
      </c>
      <c r="E2410" s="26"/>
      <c r="F2410" s="26"/>
      <c r="H2410" s="27"/>
      <c r="I2410" s="27"/>
      <c r="J2410" s="27"/>
      <c r="K2410" s="27"/>
      <c r="L2410" s="27"/>
      <c r="M2410" s="27"/>
      <c r="N2410" s="40"/>
      <c r="O2410" s="27"/>
      <c r="P2410" s="27"/>
      <c r="Q2410" s="41"/>
      <c r="R2410" s="40"/>
    </row>
    <row r="2411" spans="1:18" ht="30" customHeight="1" x14ac:dyDescent="0.3">
      <c r="A2411" s="26" t="str">
        <f t="shared" si="74"/>
        <v/>
      </c>
      <c r="B2411" s="26">
        <f>COUNTIFS($A$4:A2411,A2411)</f>
        <v>1248</v>
      </c>
      <c r="C2411" s="26" t="str">
        <f t="shared" si="75"/>
        <v>1248</v>
      </c>
      <c r="E2411" s="26"/>
      <c r="F2411" s="26"/>
      <c r="H2411" s="27"/>
      <c r="I2411" s="27"/>
      <c r="J2411" s="27"/>
      <c r="K2411" s="27"/>
      <c r="L2411" s="27"/>
      <c r="M2411" s="27"/>
      <c r="N2411" s="40"/>
      <c r="O2411" s="27"/>
      <c r="P2411" s="27"/>
      <c r="Q2411" s="41"/>
      <c r="R2411" s="40"/>
    </row>
    <row r="2412" spans="1:18" ht="30" customHeight="1" x14ac:dyDescent="0.3">
      <c r="A2412" s="26" t="str">
        <f t="shared" si="74"/>
        <v/>
      </c>
      <c r="B2412" s="26">
        <f>COUNTIFS($A$4:A2412,A2412)</f>
        <v>1249</v>
      </c>
      <c r="C2412" s="26" t="str">
        <f t="shared" si="75"/>
        <v>1249</v>
      </c>
      <c r="E2412" s="26"/>
      <c r="F2412" s="26"/>
      <c r="H2412" s="27"/>
      <c r="I2412" s="27"/>
      <c r="J2412" s="27"/>
      <c r="K2412" s="27"/>
      <c r="L2412" s="27"/>
      <c r="M2412" s="27"/>
      <c r="N2412" s="40"/>
      <c r="O2412" s="27"/>
      <c r="P2412" s="27"/>
      <c r="Q2412" s="41"/>
      <c r="R2412" s="40"/>
    </row>
    <row r="2413" spans="1:18" ht="30" customHeight="1" x14ac:dyDescent="0.3">
      <c r="A2413" s="26" t="str">
        <f t="shared" si="74"/>
        <v/>
      </c>
      <c r="B2413" s="26">
        <f>COUNTIFS($A$4:A2413,A2413)</f>
        <v>1250</v>
      </c>
      <c r="C2413" s="26" t="str">
        <f t="shared" si="75"/>
        <v>1250</v>
      </c>
      <c r="E2413" s="26"/>
      <c r="F2413" s="26"/>
      <c r="H2413" s="27"/>
      <c r="I2413" s="27"/>
      <c r="J2413" s="27"/>
      <c r="K2413" s="27"/>
      <c r="L2413" s="27"/>
      <c r="M2413" s="27"/>
      <c r="N2413" s="40"/>
      <c r="O2413" s="27"/>
      <c r="P2413" s="27"/>
      <c r="Q2413" s="41"/>
      <c r="R2413" s="40"/>
    </row>
    <row r="2414" spans="1:18" ht="30" customHeight="1" x14ac:dyDescent="0.3">
      <c r="A2414" s="26" t="str">
        <f t="shared" si="74"/>
        <v/>
      </c>
      <c r="B2414" s="26">
        <f>COUNTIFS($A$4:A2414,A2414)</f>
        <v>1251</v>
      </c>
      <c r="C2414" s="26" t="str">
        <f t="shared" si="75"/>
        <v>1251</v>
      </c>
      <c r="E2414" s="26"/>
      <c r="F2414" s="26"/>
      <c r="H2414" s="27"/>
      <c r="I2414" s="27"/>
      <c r="J2414" s="27"/>
      <c r="K2414" s="27"/>
      <c r="L2414" s="27"/>
      <c r="M2414" s="27"/>
      <c r="N2414" s="40"/>
      <c r="O2414" s="27"/>
      <c r="P2414" s="27"/>
      <c r="Q2414" s="41"/>
      <c r="R2414" s="40"/>
    </row>
    <row r="2415" spans="1:18" ht="30" customHeight="1" x14ac:dyDescent="0.3">
      <c r="A2415" s="26" t="str">
        <f t="shared" si="74"/>
        <v/>
      </c>
      <c r="B2415" s="26">
        <f>COUNTIFS($A$4:A2415,A2415)</f>
        <v>1252</v>
      </c>
      <c r="C2415" s="26" t="str">
        <f t="shared" si="75"/>
        <v>1252</v>
      </c>
      <c r="E2415" s="26"/>
      <c r="F2415" s="26"/>
      <c r="H2415" s="27"/>
      <c r="I2415" s="27"/>
      <c r="J2415" s="27"/>
      <c r="K2415" s="27"/>
      <c r="L2415" s="27"/>
      <c r="M2415" s="27"/>
      <c r="N2415" s="40"/>
      <c r="O2415" s="27"/>
      <c r="P2415" s="27"/>
      <c r="Q2415" s="41"/>
      <c r="R2415" s="40"/>
    </row>
    <row r="2416" spans="1:18" ht="30" customHeight="1" x14ac:dyDescent="0.3">
      <c r="A2416" s="26" t="str">
        <f t="shared" si="74"/>
        <v/>
      </c>
      <c r="B2416" s="26">
        <f>COUNTIFS($A$4:A2416,A2416)</f>
        <v>1253</v>
      </c>
      <c r="C2416" s="26" t="str">
        <f t="shared" si="75"/>
        <v>1253</v>
      </c>
      <c r="E2416" s="26"/>
      <c r="F2416" s="26"/>
      <c r="H2416" s="27"/>
      <c r="I2416" s="27"/>
      <c r="J2416" s="27"/>
      <c r="K2416" s="27"/>
      <c r="L2416" s="27"/>
      <c r="M2416" s="27"/>
      <c r="N2416" s="40"/>
      <c r="O2416" s="27"/>
      <c r="P2416" s="27"/>
      <c r="Q2416" s="41"/>
      <c r="R2416" s="40"/>
    </row>
    <row r="2417" spans="1:18" ht="30" customHeight="1" x14ac:dyDescent="0.3">
      <c r="A2417" s="26" t="str">
        <f t="shared" si="74"/>
        <v/>
      </c>
      <c r="B2417" s="26">
        <f>COUNTIFS($A$4:A2417,A2417)</f>
        <v>1254</v>
      </c>
      <c r="C2417" s="26" t="str">
        <f t="shared" si="75"/>
        <v>1254</v>
      </c>
      <c r="E2417" s="26"/>
      <c r="F2417" s="26"/>
      <c r="H2417" s="27"/>
      <c r="I2417" s="27"/>
      <c r="J2417" s="27"/>
      <c r="K2417" s="27"/>
      <c r="L2417" s="27"/>
      <c r="M2417" s="27"/>
      <c r="N2417" s="40"/>
      <c r="O2417" s="27"/>
      <c r="P2417" s="27"/>
      <c r="Q2417" s="41"/>
      <c r="R2417" s="40"/>
    </row>
    <row r="2418" spans="1:18" ht="30" customHeight="1" x14ac:dyDescent="0.3">
      <c r="A2418" s="26" t="str">
        <f t="shared" si="74"/>
        <v/>
      </c>
      <c r="B2418" s="26">
        <f>COUNTIFS($A$4:A2418,A2418)</f>
        <v>1255</v>
      </c>
      <c r="C2418" s="26" t="str">
        <f t="shared" si="75"/>
        <v>1255</v>
      </c>
      <c r="E2418" s="26"/>
      <c r="F2418" s="26"/>
      <c r="H2418" s="27"/>
      <c r="I2418" s="27"/>
      <c r="J2418" s="27"/>
      <c r="K2418" s="27"/>
      <c r="L2418" s="27"/>
      <c r="M2418" s="27"/>
      <c r="N2418" s="40"/>
      <c r="O2418" s="27"/>
      <c r="P2418" s="27"/>
      <c r="Q2418" s="41"/>
      <c r="R2418" s="40"/>
    </row>
    <row r="2419" spans="1:18" ht="30" customHeight="1" x14ac:dyDescent="0.3">
      <c r="A2419" s="26" t="str">
        <f t="shared" si="74"/>
        <v/>
      </c>
      <c r="B2419" s="26">
        <f>COUNTIFS($A$4:A2419,A2419)</f>
        <v>1256</v>
      </c>
      <c r="C2419" s="26" t="str">
        <f t="shared" si="75"/>
        <v>1256</v>
      </c>
      <c r="E2419" s="26"/>
      <c r="F2419" s="26"/>
      <c r="H2419" s="27"/>
      <c r="I2419" s="27"/>
      <c r="J2419" s="27"/>
      <c r="K2419" s="27"/>
      <c r="L2419" s="27"/>
      <c r="M2419" s="27"/>
      <c r="N2419" s="40"/>
      <c r="O2419" s="27"/>
      <c r="P2419" s="27"/>
      <c r="Q2419" s="41"/>
      <c r="R2419" s="40"/>
    </row>
    <row r="2420" spans="1:18" ht="30" customHeight="1" x14ac:dyDescent="0.3">
      <c r="A2420" s="26" t="str">
        <f t="shared" si="74"/>
        <v/>
      </c>
      <c r="B2420" s="26">
        <f>COUNTIFS($A$4:A2420,A2420)</f>
        <v>1257</v>
      </c>
      <c r="C2420" s="26" t="str">
        <f t="shared" si="75"/>
        <v>1257</v>
      </c>
      <c r="E2420" s="26"/>
      <c r="F2420" s="26"/>
      <c r="H2420" s="27"/>
      <c r="I2420" s="27"/>
      <c r="J2420" s="27"/>
      <c r="K2420" s="27"/>
      <c r="L2420" s="27"/>
      <c r="M2420" s="27"/>
      <c r="N2420" s="40"/>
      <c r="O2420" s="27"/>
      <c r="P2420" s="27"/>
      <c r="Q2420" s="41"/>
      <c r="R2420" s="40"/>
    </row>
    <row r="2421" spans="1:18" ht="30" customHeight="1" x14ac:dyDescent="0.3">
      <c r="A2421" s="26" t="str">
        <f t="shared" si="74"/>
        <v/>
      </c>
      <c r="B2421" s="26">
        <f>COUNTIFS($A$4:A2421,A2421)</f>
        <v>1258</v>
      </c>
      <c r="C2421" s="26" t="str">
        <f t="shared" si="75"/>
        <v>1258</v>
      </c>
      <c r="E2421" s="26"/>
      <c r="F2421" s="26"/>
      <c r="H2421" s="27"/>
      <c r="I2421" s="27"/>
      <c r="J2421" s="27"/>
      <c r="K2421" s="27"/>
      <c r="L2421" s="27"/>
      <c r="M2421" s="27"/>
      <c r="N2421" s="40"/>
      <c r="O2421" s="27"/>
      <c r="P2421" s="27"/>
      <c r="Q2421" s="41"/>
      <c r="R2421" s="40"/>
    </row>
    <row r="2422" spans="1:18" ht="30" customHeight="1" x14ac:dyDescent="0.3">
      <c r="A2422" s="26" t="str">
        <f t="shared" si="74"/>
        <v/>
      </c>
      <c r="B2422" s="26">
        <f>COUNTIFS($A$4:A2422,A2422)</f>
        <v>1259</v>
      </c>
      <c r="C2422" s="26" t="str">
        <f t="shared" si="75"/>
        <v>1259</v>
      </c>
      <c r="E2422" s="26"/>
      <c r="F2422" s="26"/>
      <c r="H2422" s="27"/>
      <c r="I2422" s="27"/>
      <c r="J2422" s="27"/>
      <c r="K2422" s="27"/>
      <c r="L2422" s="27"/>
      <c r="M2422" s="27"/>
      <c r="N2422" s="40"/>
      <c r="O2422" s="27"/>
      <c r="P2422" s="27"/>
      <c r="Q2422" s="41"/>
      <c r="R2422" s="40"/>
    </row>
    <row r="2423" spans="1:18" ht="30" customHeight="1" x14ac:dyDescent="0.3">
      <c r="A2423" s="26" t="str">
        <f t="shared" si="74"/>
        <v/>
      </c>
      <c r="B2423" s="26">
        <f>COUNTIFS($A$4:A2423,A2423)</f>
        <v>1260</v>
      </c>
      <c r="C2423" s="26" t="str">
        <f t="shared" si="75"/>
        <v>1260</v>
      </c>
      <c r="E2423" s="26"/>
      <c r="F2423" s="26"/>
      <c r="H2423" s="27"/>
      <c r="I2423" s="27"/>
      <c r="J2423" s="27"/>
      <c r="K2423" s="27"/>
      <c r="L2423" s="27"/>
      <c r="M2423" s="27"/>
      <c r="N2423" s="40"/>
      <c r="O2423" s="27"/>
      <c r="P2423" s="27"/>
      <c r="Q2423" s="41"/>
      <c r="R2423" s="40"/>
    </row>
    <row r="2424" spans="1:18" ht="30" customHeight="1" x14ac:dyDescent="0.3">
      <c r="A2424" s="26" t="str">
        <f t="shared" si="74"/>
        <v/>
      </c>
      <c r="B2424" s="26">
        <f>COUNTIFS($A$4:A2424,A2424)</f>
        <v>1261</v>
      </c>
      <c r="C2424" s="26" t="str">
        <f t="shared" si="75"/>
        <v>1261</v>
      </c>
      <c r="E2424" s="26"/>
      <c r="F2424" s="26"/>
      <c r="H2424" s="27"/>
      <c r="I2424" s="27"/>
      <c r="J2424" s="27"/>
      <c r="K2424" s="27"/>
      <c r="L2424" s="27"/>
      <c r="M2424" s="27"/>
      <c r="N2424" s="40"/>
      <c r="O2424" s="27"/>
      <c r="P2424" s="27"/>
      <c r="Q2424" s="41"/>
      <c r="R2424" s="40"/>
    </row>
    <row r="2425" spans="1:18" ht="30" customHeight="1" x14ac:dyDescent="0.3">
      <c r="A2425" s="26" t="str">
        <f t="shared" si="74"/>
        <v/>
      </c>
      <c r="B2425" s="26">
        <f>COUNTIFS($A$4:A2425,A2425)</f>
        <v>1262</v>
      </c>
      <c r="C2425" s="26" t="str">
        <f t="shared" si="75"/>
        <v>1262</v>
      </c>
      <c r="E2425" s="26"/>
      <c r="F2425" s="26"/>
      <c r="H2425" s="27"/>
      <c r="I2425" s="27"/>
      <c r="J2425" s="27"/>
      <c r="K2425" s="27"/>
      <c r="L2425" s="27"/>
      <c r="M2425" s="27"/>
      <c r="N2425" s="40"/>
      <c r="O2425" s="27"/>
      <c r="P2425" s="27"/>
      <c r="Q2425" s="41"/>
      <c r="R2425" s="40"/>
    </row>
    <row r="2426" spans="1:18" ht="30" customHeight="1" x14ac:dyDescent="0.3">
      <c r="A2426" s="26" t="str">
        <f t="shared" si="74"/>
        <v/>
      </c>
      <c r="B2426" s="26">
        <f>COUNTIFS($A$4:A2426,A2426)</f>
        <v>1263</v>
      </c>
      <c r="C2426" s="26" t="str">
        <f t="shared" si="75"/>
        <v>1263</v>
      </c>
      <c r="E2426" s="26"/>
      <c r="F2426" s="26"/>
      <c r="H2426" s="27"/>
      <c r="I2426" s="27"/>
      <c r="J2426" s="27"/>
      <c r="K2426" s="27"/>
      <c r="L2426" s="27"/>
      <c r="M2426" s="27"/>
      <c r="N2426" s="40"/>
      <c r="O2426" s="27"/>
      <c r="P2426" s="27"/>
      <c r="Q2426" s="41"/>
      <c r="R2426" s="40"/>
    </row>
    <row r="2427" spans="1:18" ht="30" customHeight="1" x14ac:dyDescent="0.3">
      <c r="A2427" s="26" t="str">
        <f t="shared" si="74"/>
        <v/>
      </c>
      <c r="B2427" s="26">
        <f>COUNTIFS($A$4:A2427,A2427)</f>
        <v>1264</v>
      </c>
      <c r="C2427" s="26" t="str">
        <f t="shared" si="75"/>
        <v>1264</v>
      </c>
      <c r="E2427" s="26"/>
      <c r="F2427" s="26"/>
      <c r="H2427" s="27"/>
      <c r="I2427" s="27"/>
      <c r="J2427" s="27"/>
      <c r="K2427" s="27"/>
      <c r="L2427" s="27"/>
      <c r="M2427" s="27"/>
      <c r="N2427" s="40"/>
      <c r="O2427" s="27"/>
      <c r="P2427" s="27"/>
      <c r="Q2427" s="41"/>
      <c r="R2427" s="40"/>
    </row>
    <row r="2428" spans="1:18" ht="30" customHeight="1" x14ac:dyDescent="0.3">
      <c r="A2428" s="26" t="str">
        <f t="shared" si="74"/>
        <v/>
      </c>
      <c r="B2428" s="26">
        <f>COUNTIFS($A$4:A2428,A2428)</f>
        <v>1265</v>
      </c>
      <c r="C2428" s="26" t="str">
        <f t="shared" si="75"/>
        <v>1265</v>
      </c>
      <c r="E2428" s="26"/>
      <c r="F2428" s="26"/>
      <c r="H2428" s="27"/>
      <c r="I2428" s="27"/>
      <c r="J2428" s="27"/>
      <c r="K2428" s="27"/>
      <c r="L2428" s="27"/>
      <c r="M2428" s="27"/>
      <c r="N2428" s="40"/>
      <c r="O2428" s="27"/>
      <c r="P2428" s="27"/>
      <c r="Q2428" s="41"/>
      <c r="R2428" s="40"/>
    </row>
    <row r="2429" spans="1:18" ht="30" customHeight="1" x14ac:dyDescent="0.3">
      <c r="A2429" s="26" t="str">
        <f t="shared" si="74"/>
        <v/>
      </c>
      <c r="B2429" s="26">
        <f>COUNTIFS($A$4:A2429,A2429)</f>
        <v>1266</v>
      </c>
      <c r="C2429" s="26" t="str">
        <f t="shared" si="75"/>
        <v>1266</v>
      </c>
      <c r="E2429" s="26"/>
      <c r="F2429" s="26"/>
      <c r="H2429" s="27"/>
      <c r="I2429" s="27"/>
      <c r="J2429" s="27"/>
      <c r="K2429" s="27"/>
      <c r="L2429" s="27"/>
      <c r="M2429" s="27"/>
      <c r="N2429" s="40"/>
      <c r="O2429" s="27"/>
      <c r="P2429" s="27"/>
      <c r="Q2429" s="41"/>
      <c r="R2429" s="40"/>
    </row>
    <row r="2430" spans="1:18" ht="30" customHeight="1" x14ac:dyDescent="0.3">
      <c r="A2430" s="26" t="str">
        <f t="shared" si="74"/>
        <v/>
      </c>
      <c r="B2430" s="26">
        <f>COUNTIFS($A$4:A2430,A2430)</f>
        <v>1267</v>
      </c>
      <c r="C2430" s="26" t="str">
        <f t="shared" si="75"/>
        <v>1267</v>
      </c>
      <c r="E2430" s="26"/>
      <c r="F2430" s="26"/>
      <c r="H2430" s="27"/>
      <c r="I2430" s="27"/>
      <c r="J2430" s="27"/>
      <c r="K2430" s="27"/>
      <c r="L2430" s="27"/>
      <c r="M2430" s="27"/>
      <c r="N2430" s="40"/>
      <c r="O2430" s="27"/>
      <c r="P2430" s="27"/>
      <c r="Q2430" s="41"/>
      <c r="R2430" s="40"/>
    </row>
    <row r="2431" spans="1:18" ht="30" customHeight="1" x14ac:dyDescent="0.3">
      <c r="A2431" s="26" t="str">
        <f t="shared" si="74"/>
        <v/>
      </c>
      <c r="B2431" s="26">
        <f>COUNTIFS($A$4:A2431,A2431)</f>
        <v>1268</v>
      </c>
      <c r="C2431" s="26" t="str">
        <f t="shared" si="75"/>
        <v>1268</v>
      </c>
      <c r="E2431" s="26"/>
      <c r="F2431" s="26"/>
      <c r="H2431" s="27"/>
      <c r="I2431" s="27"/>
      <c r="J2431" s="27"/>
      <c r="K2431" s="27"/>
      <c r="L2431" s="27"/>
      <c r="M2431" s="27"/>
      <c r="N2431" s="40"/>
      <c r="O2431" s="27"/>
      <c r="P2431" s="27"/>
      <c r="Q2431" s="41"/>
      <c r="R2431" s="40"/>
    </row>
    <row r="2432" spans="1:18" ht="30" customHeight="1" x14ac:dyDescent="0.3">
      <c r="A2432" s="26" t="str">
        <f t="shared" si="74"/>
        <v/>
      </c>
      <c r="B2432" s="26">
        <f>COUNTIFS($A$4:A2432,A2432)</f>
        <v>1269</v>
      </c>
      <c r="C2432" s="26" t="str">
        <f t="shared" si="75"/>
        <v>1269</v>
      </c>
      <c r="E2432" s="26"/>
      <c r="F2432" s="26"/>
      <c r="H2432" s="27"/>
      <c r="I2432" s="27"/>
      <c r="J2432" s="27"/>
      <c r="K2432" s="27"/>
      <c r="L2432" s="27"/>
      <c r="M2432" s="27"/>
      <c r="N2432" s="40"/>
      <c r="O2432" s="27"/>
      <c r="P2432" s="27"/>
      <c r="Q2432" s="41"/>
      <c r="R2432" s="40"/>
    </row>
    <row r="2433" spans="1:18" ht="30" customHeight="1" x14ac:dyDescent="0.3">
      <c r="A2433" s="26" t="str">
        <f t="shared" si="74"/>
        <v/>
      </c>
      <c r="B2433" s="26">
        <f>COUNTIFS($A$4:A2433,A2433)</f>
        <v>1270</v>
      </c>
      <c r="C2433" s="26" t="str">
        <f t="shared" si="75"/>
        <v>1270</v>
      </c>
      <c r="E2433" s="26"/>
      <c r="F2433" s="26"/>
      <c r="H2433" s="27"/>
      <c r="I2433" s="27"/>
      <c r="J2433" s="27"/>
      <c r="K2433" s="27"/>
      <c r="L2433" s="27"/>
      <c r="M2433" s="27"/>
      <c r="N2433" s="40"/>
      <c r="O2433" s="27"/>
      <c r="P2433" s="27"/>
      <c r="Q2433" s="41"/>
      <c r="R2433" s="40"/>
    </row>
    <row r="2434" spans="1:18" ht="30" customHeight="1" x14ac:dyDescent="0.3">
      <c r="A2434" s="26" t="str">
        <f t="shared" si="74"/>
        <v/>
      </c>
      <c r="B2434" s="26">
        <f>COUNTIFS($A$4:A2434,A2434)</f>
        <v>1271</v>
      </c>
      <c r="C2434" s="26" t="str">
        <f t="shared" si="75"/>
        <v>1271</v>
      </c>
      <c r="E2434" s="26"/>
      <c r="F2434" s="26"/>
      <c r="H2434" s="27"/>
      <c r="I2434" s="27"/>
      <c r="J2434" s="27"/>
      <c r="K2434" s="27"/>
      <c r="L2434" s="27"/>
      <c r="M2434" s="27"/>
      <c r="N2434" s="40"/>
      <c r="O2434" s="27"/>
      <c r="P2434" s="27"/>
      <c r="Q2434" s="41"/>
      <c r="R2434" s="40"/>
    </row>
    <row r="2435" spans="1:18" ht="30" customHeight="1" x14ac:dyDescent="0.3">
      <c r="A2435" s="26" t="str">
        <f t="shared" si="74"/>
        <v/>
      </c>
      <c r="B2435" s="26">
        <f>COUNTIFS($A$4:A2435,A2435)</f>
        <v>1272</v>
      </c>
      <c r="C2435" s="26" t="str">
        <f t="shared" si="75"/>
        <v>1272</v>
      </c>
      <c r="E2435" s="26"/>
      <c r="F2435" s="26"/>
      <c r="H2435" s="27"/>
      <c r="I2435" s="27"/>
      <c r="J2435" s="27"/>
      <c r="K2435" s="27"/>
      <c r="L2435" s="27"/>
      <c r="M2435" s="27"/>
      <c r="N2435" s="40"/>
      <c r="O2435" s="27"/>
      <c r="P2435" s="27"/>
      <c r="Q2435" s="41"/>
      <c r="R2435" s="40"/>
    </row>
    <row r="2436" spans="1:18" ht="30" customHeight="1" x14ac:dyDescent="0.3">
      <c r="A2436" s="26" t="str">
        <f t="shared" si="74"/>
        <v/>
      </c>
      <c r="B2436" s="26">
        <f>COUNTIFS($A$4:A2436,A2436)</f>
        <v>1273</v>
      </c>
      <c r="C2436" s="26" t="str">
        <f t="shared" si="75"/>
        <v>1273</v>
      </c>
      <c r="E2436" s="26"/>
      <c r="F2436" s="26"/>
      <c r="H2436" s="27"/>
      <c r="I2436" s="27"/>
      <c r="J2436" s="27"/>
      <c r="K2436" s="27"/>
      <c r="L2436" s="27"/>
      <c r="M2436" s="27"/>
      <c r="N2436" s="40"/>
      <c r="O2436" s="27"/>
      <c r="P2436" s="27"/>
      <c r="Q2436" s="41"/>
      <c r="R2436" s="40"/>
    </row>
    <row r="2437" spans="1:18" ht="30" customHeight="1" x14ac:dyDescent="0.3">
      <c r="A2437" s="26" t="str">
        <f t="shared" si="74"/>
        <v/>
      </c>
      <c r="B2437" s="26">
        <f>COUNTIFS($A$4:A2437,A2437)</f>
        <v>1274</v>
      </c>
      <c r="C2437" s="26" t="str">
        <f t="shared" si="75"/>
        <v>1274</v>
      </c>
      <c r="E2437" s="26"/>
      <c r="F2437" s="26"/>
      <c r="H2437" s="27"/>
      <c r="I2437" s="27"/>
      <c r="J2437" s="27"/>
      <c r="K2437" s="27"/>
      <c r="L2437" s="27"/>
      <c r="M2437" s="27"/>
      <c r="N2437" s="40"/>
      <c r="O2437" s="27"/>
      <c r="P2437" s="27"/>
      <c r="Q2437" s="41"/>
      <c r="R2437" s="40"/>
    </row>
    <row r="2438" spans="1:18" ht="30" customHeight="1" x14ac:dyDescent="0.3">
      <c r="A2438" s="26" t="str">
        <f t="shared" si="74"/>
        <v/>
      </c>
      <c r="B2438" s="26">
        <f>COUNTIFS($A$4:A2438,A2438)</f>
        <v>1275</v>
      </c>
      <c r="C2438" s="26" t="str">
        <f t="shared" si="75"/>
        <v>1275</v>
      </c>
      <c r="E2438" s="26"/>
      <c r="F2438" s="26"/>
      <c r="H2438" s="27"/>
      <c r="I2438" s="27"/>
      <c r="J2438" s="27"/>
      <c r="K2438" s="27"/>
      <c r="L2438" s="27"/>
      <c r="M2438" s="27"/>
      <c r="N2438" s="40"/>
      <c r="O2438" s="27"/>
      <c r="P2438" s="27"/>
      <c r="Q2438" s="41"/>
      <c r="R2438" s="40"/>
    </row>
    <row r="2439" spans="1:18" ht="30" customHeight="1" x14ac:dyDescent="0.3">
      <c r="A2439" s="26" t="str">
        <f t="shared" si="74"/>
        <v/>
      </c>
      <c r="B2439" s="26">
        <f>COUNTIFS($A$4:A2439,A2439)</f>
        <v>1276</v>
      </c>
      <c r="C2439" s="26" t="str">
        <f t="shared" si="75"/>
        <v>1276</v>
      </c>
      <c r="E2439" s="26"/>
      <c r="F2439" s="26"/>
      <c r="H2439" s="27"/>
      <c r="I2439" s="27"/>
      <c r="J2439" s="27"/>
      <c r="K2439" s="27"/>
      <c r="L2439" s="27"/>
      <c r="M2439" s="27"/>
      <c r="N2439" s="40"/>
      <c r="O2439" s="27"/>
      <c r="P2439" s="27"/>
      <c r="Q2439" s="41"/>
      <c r="R2439" s="40"/>
    </row>
    <row r="2440" spans="1:18" ht="30" customHeight="1" x14ac:dyDescent="0.3">
      <c r="A2440" s="26" t="str">
        <f t="shared" si="74"/>
        <v/>
      </c>
      <c r="B2440" s="26">
        <f>COUNTIFS($A$4:A2440,A2440)</f>
        <v>1277</v>
      </c>
      <c r="C2440" s="26" t="str">
        <f t="shared" si="75"/>
        <v>1277</v>
      </c>
      <c r="E2440" s="26"/>
      <c r="F2440" s="26"/>
      <c r="H2440" s="27"/>
      <c r="I2440" s="27"/>
      <c r="J2440" s="27"/>
      <c r="K2440" s="27"/>
      <c r="L2440" s="27"/>
      <c r="M2440" s="27"/>
      <c r="N2440" s="40"/>
      <c r="O2440" s="27"/>
      <c r="P2440" s="27"/>
      <c r="Q2440" s="41"/>
      <c r="R2440" s="40"/>
    </row>
    <row r="2441" spans="1:18" ht="30" customHeight="1" x14ac:dyDescent="0.3">
      <c r="A2441" s="26" t="str">
        <f t="shared" si="74"/>
        <v/>
      </c>
      <c r="B2441" s="26">
        <f>COUNTIFS($A$4:A2441,A2441)</f>
        <v>1278</v>
      </c>
      <c r="C2441" s="26" t="str">
        <f t="shared" si="75"/>
        <v>1278</v>
      </c>
      <c r="E2441" s="26"/>
      <c r="F2441" s="26"/>
      <c r="H2441" s="27"/>
      <c r="I2441" s="27"/>
      <c r="J2441" s="27"/>
      <c r="K2441" s="27"/>
      <c r="L2441" s="27"/>
      <c r="M2441" s="27"/>
      <c r="N2441" s="40"/>
      <c r="O2441" s="27"/>
      <c r="P2441" s="27"/>
      <c r="Q2441" s="41"/>
      <c r="R2441" s="40"/>
    </row>
    <row r="2442" spans="1:18" ht="30" customHeight="1" x14ac:dyDescent="0.3">
      <c r="A2442" s="26" t="str">
        <f t="shared" si="74"/>
        <v/>
      </c>
      <c r="B2442" s="26">
        <f>COUNTIFS($A$4:A2442,A2442)</f>
        <v>1279</v>
      </c>
      <c r="C2442" s="26" t="str">
        <f t="shared" si="75"/>
        <v>1279</v>
      </c>
      <c r="E2442" s="26"/>
      <c r="F2442" s="26"/>
      <c r="H2442" s="27"/>
      <c r="I2442" s="27"/>
      <c r="J2442" s="27"/>
      <c r="K2442" s="27"/>
      <c r="L2442" s="27"/>
      <c r="M2442" s="27"/>
      <c r="N2442" s="40"/>
      <c r="O2442" s="27"/>
      <c r="P2442" s="27"/>
      <c r="Q2442" s="41"/>
      <c r="R2442" s="40"/>
    </row>
    <row r="2443" spans="1:18" ht="30" customHeight="1" x14ac:dyDescent="0.3">
      <c r="A2443" s="26" t="str">
        <f t="shared" si="74"/>
        <v/>
      </c>
      <c r="B2443" s="26">
        <f>COUNTIFS($A$4:A2443,A2443)</f>
        <v>1280</v>
      </c>
      <c r="C2443" s="26" t="str">
        <f t="shared" si="75"/>
        <v>1280</v>
      </c>
      <c r="E2443" s="26"/>
      <c r="F2443" s="26"/>
      <c r="H2443" s="27"/>
      <c r="I2443" s="27"/>
      <c r="J2443" s="27"/>
      <c r="K2443" s="27"/>
      <c r="L2443" s="27"/>
      <c r="M2443" s="27"/>
      <c r="N2443" s="40"/>
      <c r="O2443" s="27"/>
      <c r="P2443" s="27"/>
      <c r="Q2443" s="41"/>
      <c r="R2443" s="40"/>
    </row>
    <row r="2444" spans="1:18" ht="30" customHeight="1" x14ac:dyDescent="0.3">
      <c r="A2444" s="26" t="str">
        <f t="shared" si="74"/>
        <v/>
      </c>
      <c r="B2444" s="26">
        <f>COUNTIFS($A$4:A2444,A2444)</f>
        <v>1281</v>
      </c>
      <c r="C2444" s="26" t="str">
        <f t="shared" si="75"/>
        <v>1281</v>
      </c>
      <c r="E2444" s="26"/>
      <c r="F2444" s="26"/>
      <c r="H2444" s="27"/>
      <c r="I2444" s="27"/>
      <c r="J2444" s="27"/>
      <c r="K2444" s="27"/>
      <c r="L2444" s="27"/>
      <c r="M2444" s="27"/>
      <c r="N2444" s="40"/>
      <c r="O2444" s="27"/>
      <c r="P2444" s="27"/>
      <c r="Q2444" s="41"/>
      <c r="R2444" s="40"/>
    </row>
    <row r="2445" spans="1:18" ht="30" customHeight="1" x14ac:dyDescent="0.3">
      <c r="A2445" s="26" t="str">
        <f t="shared" si="74"/>
        <v/>
      </c>
      <c r="B2445" s="26">
        <f>COUNTIFS($A$4:A2445,A2445)</f>
        <v>1282</v>
      </c>
      <c r="C2445" s="26" t="str">
        <f t="shared" si="75"/>
        <v>1282</v>
      </c>
      <c r="E2445" s="26"/>
      <c r="F2445" s="26"/>
      <c r="H2445" s="27"/>
      <c r="I2445" s="27"/>
      <c r="J2445" s="27"/>
      <c r="K2445" s="27"/>
      <c r="L2445" s="27"/>
      <c r="M2445" s="27"/>
      <c r="N2445" s="40"/>
      <c r="O2445" s="27"/>
      <c r="P2445" s="27"/>
      <c r="Q2445" s="41"/>
      <c r="R2445" s="40"/>
    </row>
    <row r="2446" spans="1:18" ht="30" customHeight="1" x14ac:dyDescent="0.3">
      <c r="A2446" s="26" t="str">
        <f t="shared" si="74"/>
        <v/>
      </c>
      <c r="B2446" s="26">
        <f>COUNTIFS($A$4:A2446,A2446)</f>
        <v>1283</v>
      </c>
      <c r="C2446" s="26" t="str">
        <f t="shared" si="75"/>
        <v>1283</v>
      </c>
      <c r="E2446" s="26"/>
      <c r="F2446" s="26"/>
      <c r="H2446" s="27"/>
      <c r="I2446" s="27"/>
      <c r="J2446" s="27"/>
      <c r="K2446" s="27"/>
      <c r="L2446" s="27"/>
      <c r="M2446" s="27"/>
      <c r="N2446" s="40"/>
      <c r="O2446" s="27"/>
      <c r="P2446" s="27"/>
      <c r="Q2446" s="41"/>
      <c r="R2446" s="40"/>
    </row>
    <row r="2447" spans="1:18" ht="30" customHeight="1" x14ac:dyDescent="0.3">
      <c r="A2447" s="26" t="str">
        <f t="shared" si="74"/>
        <v/>
      </c>
      <c r="B2447" s="26">
        <f>COUNTIFS($A$4:A2447,A2447)</f>
        <v>1284</v>
      </c>
      <c r="C2447" s="26" t="str">
        <f t="shared" si="75"/>
        <v>1284</v>
      </c>
      <c r="E2447" s="26"/>
      <c r="F2447" s="26"/>
      <c r="H2447" s="27"/>
      <c r="I2447" s="27"/>
      <c r="J2447" s="27"/>
      <c r="K2447" s="27"/>
      <c r="L2447" s="27"/>
      <c r="M2447" s="27"/>
      <c r="N2447" s="40"/>
      <c r="O2447" s="27"/>
      <c r="P2447" s="27"/>
      <c r="Q2447" s="41"/>
      <c r="R2447" s="40"/>
    </row>
    <row r="2448" spans="1:18" ht="30" customHeight="1" x14ac:dyDescent="0.3">
      <c r="A2448" s="26" t="str">
        <f t="shared" si="74"/>
        <v/>
      </c>
      <c r="B2448" s="26">
        <f>COUNTIFS($A$4:A2448,A2448)</f>
        <v>1285</v>
      </c>
      <c r="C2448" s="26" t="str">
        <f t="shared" si="75"/>
        <v>1285</v>
      </c>
      <c r="E2448" s="26"/>
      <c r="F2448" s="26"/>
      <c r="H2448" s="27"/>
      <c r="I2448" s="27"/>
      <c r="J2448" s="27"/>
      <c r="K2448" s="27"/>
      <c r="L2448" s="27"/>
      <c r="M2448" s="27"/>
      <c r="N2448" s="40"/>
      <c r="O2448" s="27"/>
      <c r="P2448" s="27"/>
      <c r="Q2448" s="41"/>
      <c r="R2448" s="40"/>
    </row>
    <row r="2449" spans="1:18" ht="30" customHeight="1" x14ac:dyDescent="0.3">
      <c r="A2449" s="26" t="str">
        <f t="shared" ref="A2449:A2512" si="76">I2449&amp;H2449</f>
        <v/>
      </c>
      <c r="B2449" s="26">
        <f>COUNTIFS($A$4:A2449,A2449)</f>
        <v>1286</v>
      </c>
      <c r="C2449" s="26" t="str">
        <f t="shared" ref="C2449:C2512" si="77">A2449&amp;B2449</f>
        <v>1286</v>
      </c>
      <c r="E2449" s="26"/>
      <c r="F2449" s="26"/>
      <c r="H2449" s="27"/>
      <c r="I2449" s="27"/>
      <c r="J2449" s="27"/>
      <c r="K2449" s="27"/>
      <c r="L2449" s="27"/>
      <c r="M2449" s="27"/>
      <c r="N2449" s="40"/>
      <c r="O2449" s="27"/>
      <c r="P2449" s="27"/>
      <c r="Q2449" s="41"/>
      <c r="R2449" s="40"/>
    </row>
    <row r="2450" spans="1:18" ht="30" customHeight="1" x14ac:dyDescent="0.3">
      <c r="A2450" s="26" t="str">
        <f t="shared" si="76"/>
        <v/>
      </c>
      <c r="B2450" s="26">
        <f>COUNTIFS($A$4:A2450,A2450)</f>
        <v>1287</v>
      </c>
      <c r="C2450" s="26" t="str">
        <f t="shared" si="77"/>
        <v>1287</v>
      </c>
      <c r="E2450" s="26"/>
      <c r="F2450" s="26"/>
      <c r="H2450" s="27"/>
      <c r="I2450" s="27"/>
      <c r="J2450" s="27"/>
      <c r="K2450" s="27"/>
      <c r="L2450" s="27"/>
      <c r="M2450" s="27"/>
      <c r="N2450" s="40"/>
      <c r="O2450" s="27"/>
      <c r="P2450" s="27"/>
      <c r="Q2450" s="41"/>
      <c r="R2450" s="40"/>
    </row>
    <row r="2451" spans="1:18" ht="30" customHeight="1" x14ac:dyDescent="0.3">
      <c r="A2451" s="26" t="str">
        <f t="shared" si="76"/>
        <v/>
      </c>
      <c r="B2451" s="26">
        <f>COUNTIFS($A$4:A2451,A2451)</f>
        <v>1288</v>
      </c>
      <c r="C2451" s="26" t="str">
        <f t="shared" si="77"/>
        <v>1288</v>
      </c>
      <c r="E2451" s="26"/>
      <c r="F2451" s="26"/>
      <c r="H2451" s="27"/>
      <c r="I2451" s="27"/>
      <c r="J2451" s="27"/>
      <c r="K2451" s="27"/>
      <c r="L2451" s="27"/>
      <c r="M2451" s="27"/>
      <c r="N2451" s="40"/>
      <c r="O2451" s="27"/>
      <c r="P2451" s="27"/>
      <c r="Q2451" s="41"/>
      <c r="R2451" s="40"/>
    </row>
    <row r="2452" spans="1:18" ht="30" customHeight="1" x14ac:dyDescent="0.3">
      <c r="A2452" s="26" t="str">
        <f t="shared" si="76"/>
        <v/>
      </c>
      <c r="B2452" s="26">
        <f>COUNTIFS($A$4:A2452,A2452)</f>
        <v>1289</v>
      </c>
      <c r="C2452" s="26" t="str">
        <f t="shared" si="77"/>
        <v>1289</v>
      </c>
      <c r="E2452" s="26"/>
      <c r="F2452" s="26"/>
      <c r="H2452" s="27"/>
      <c r="I2452" s="27"/>
      <c r="J2452" s="27"/>
      <c r="K2452" s="27"/>
      <c r="L2452" s="27"/>
      <c r="M2452" s="27"/>
      <c r="N2452" s="40"/>
      <c r="O2452" s="27"/>
      <c r="P2452" s="27"/>
      <c r="Q2452" s="41"/>
      <c r="R2452" s="40"/>
    </row>
    <row r="2453" spans="1:18" ht="30" customHeight="1" x14ac:dyDescent="0.3">
      <c r="A2453" s="26" t="str">
        <f t="shared" si="76"/>
        <v/>
      </c>
      <c r="B2453" s="26">
        <f>COUNTIFS($A$4:A2453,A2453)</f>
        <v>1290</v>
      </c>
      <c r="C2453" s="26" t="str">
        <f t="shared" si="77"/>
        <v>1290</v>
      </c>
      <c r="E2453" s="26"/>
      <c r="F2453" s="26"/>
      <c r="H2453" s="27"/>
      <c r="I2453" s="27"/>
      <c r="J2453" s="27"/>
      <c r="K2453" s="27"/>
      <c r="L2453" s="27"/>
      <c r="M2453" s="27"/>
      <c r="N2453" s="40"/>
      <c r="O2453" s="27"/>
      <c r="P2453" s="27"/>
      <c r="Q2453" s="41"/>
      <c r="R2453" s="40"/>
    </row>
    <row r="2454" spans="1:18" ht="30" customHeight="1" x14ac:dyDescent="0.3">
      <c r="A2454" s="26" t="str">
        <f t="shared" si="76"/>
        <v/>
      </c>
      <c r="B2454" s="26">
        <f>COUNTIFS($A$4:A2454,A2454)</f>
        <v>1291</v>
      </c>
      <c r="C2454" s="26" t="str">
        <f t="shared" si="77"/>
        <v>1291</v>
      </c>
      <c r="E2454" s="26"/>
      <c r="F2454" s="26"/>
      <c r="H2454" s="27"/>
      <c r="I2454" s="27"/>
      <c r="J2454" s="27"/>
      <c r="K2454" s="27"/>
      <c r="L2454" s="27"/>
      <c r="M2454" s="27"/>
      <c r="N2454" s="40"/>
      <c r="O2454" s="27"/>
      <c r="P2454" s="27"/>
      <c r="Q2454" s="41"/>
      <c r="R2454" s="40"/>
    </row>
    <row r="2455" spans="1:18" ht="30" customHeight="1" x14ac:dyDescent="0.3">
      <c r="A2455" s="26" t="str">
        <f t="shared" si="76"/>
        <v/>
      </c>
      <c r="B2455" s="26">
        <f>COUNTIFS($A$4:A2455,A2455)</f>
        <v>1292</v>
      </c>
      <c r="C2455" s="26" t="str">
        <f t="shared" si="77"/>
        <v>1292</v>
      </c>
      <c r="E2455" s="26"/>
      <c r="F2455" s="26"/>
      <c r="H2455" s="27"/>
      <c r="I2455" s="27"/>
      <c r="J2455" s="27"/>
      <c r="K2455" s="27"/>
      <c r="L2455" s="27"/>
      <c r="M2455" s="27"/>
      <c r="N2455" s="40"/>
      <c r="O2455" s="27"/>
      <c r="P2455" s="27"/>
      <c r="Q2455" s="41"/>
      <c r="R2455" s="40"/>
    </row>
    <row r="2456" spans="1:18" ht="30" customHeight="1" x14ac:dyDescent="0.3">
      <c r="A2456" s="26" t="str">
        <f t="shared" si="76"/>
        <v/>
      </c>
      <c r="B2456" s="26">
        <f>COUNTIFS($A$4:A2456,A2456)</f>
        <v>1293</v>
      </c>
      <c r="C2456" s="26" t="str">
        <f t="shared" si="77"/>
        <v>1293</v>
      </c>
      <c r="E2456" s="26"/>
      <c r="F2456" s="26"/>
      <c r="H2456" s="27"/>
      <c r="I2456" s="27"/>
      <c r="J2456" s="27"/>
      <c r="K2456" s="27"/>
      <c r="L2456" s="27"/>
      <c r="M2456" s="27"/>
      <c r="N2456" s="40"/>
      <c r="O2456" s="27"/>
      <c r="P2456" s="27"/>
      <c r="Q2456" s="41"/>
      <c r="R2456" s="40"/>
    </row>
    <row r="2457" spans="1:18" ht="30" customHeight="1" x14ac:dyDescent="0.3">
      <c r="A2457" s="26" t="str">
        <f t="shared" si="76"/>
        <v/>
      </c>
      <c r="B2457" s="26">
        <f>COUNTIFS($A$4:A2457,A2457)</f>
        <v>1294</v>
      </c>
      <c r="C2457" s="26" t="str">
        <f t="shared" si="77"/>
        <v>1294</v>
      </c>
      <c r="E2457" s="26"/>
      <c r="F2457" s="26"/>
      <c r="H2457" s="27"/>
      <c r="I2457" s="27"/>
      <c r="J2457" s="27"/>
      <c r="K2457" s="27"/>
      <c r="L2457" s="27"/>
      <c r="M2457" s="27"/>
      <c r="N2457" s="40"/>
      <c r="O2457" s="27"/>
      <c r="P2457" s="27"/>
      <c r="Q2457" s="41"/>
      <c r="R2457" s="40"/>
    </row>
    <row r="2458" spans="1:18" ht="30" customHeight="1" x14ac:dyDescent="0.3">
      <c r="A2458" s="26" t="str">
        <f t="shared" si="76"/>
        <v/>
      </c>
      <c r="B2458" s="26">
        <f>COUNTIFS($A$4:A2458,A2458)</f>
        <v>1295</v>
      </c>
      <c r="C2458" s="26" t="str">
        <f t="shared" si="77"/>
        <v>1295</v>
      </c>
      <c r="E2458" s="26"/>
      <c r="F2458" s="26"/>
      <c r="H2458" s="27"/>
      <c r="I2458" s="27"/>
      <c r="J2458" s="27"/>
      <c r="K2458" s="27"/>
      <c r="L2458" s="27"/>
      <c r="M2458" s="27"/>
      <c r="N2458" s="40"/>
      <c r="O2458" s="27"/>
      <c r="P2458" s="27"/>
      <c r="Q2458" s="41"/>
      <c r="R2458" s="40"/>
    </row>
    <row r="2459" spans="1:18" ht="30" customHeight="1" x14ac:dyDescent="0.3">
      <c r="A2459" s="26" t="str">
        <f t="shared" si="76"/>
        <v/>
      </c>
      <c r="B2459" s="26">
        <f>COUNTIFS($A$4:A2459,A2459)</f>
        <v>1296</v>
      </c>
      <c r="C2459" s="26" t="str">
        <f t="shared" si="77"/>
        <v>1296</v>
      </c>
      <c r="E2459" s="26"/>
      <c r="F2459" s="26"/>
      <c r="H2459" s="27"/>
      <c r="I2459" s="27"/>
      <c r="J2459" s="27"/>
      <c r="K2459" s="27"/>
      <c r="L2459" s="27"/>
      <c r="M2459" s="27"/>
      <c r="N2459" s="40"/>
      <c r="O2459" s="27"/>
      <c r="P2459" s="27"/>
      <c r="Q2459" s="41"/>
      <c r="R2459" s="40"/>
    </row>
    <row r="2460" spans="1:18" ht="30" customHeight="1" x14ac:dyDescent="0.3">
      <c r="A2460" s="26" t="str">
        <f t="shared" si="76"/>
        <v/>
      </c>
      <c r="B2460" s="26">
        <f>COUNTIFS($A$4:A2460,A2460)</f>
        <v>1297</v>
      </c>
      <c r="C2460" s="26" t="str">
        <f t="shared" si="77"/>
        <v>1297</v>
      </c>
      <c r="E2460" s="26"/>
      <c r="F2460" s="26"/>
      <c r="H2460" s="27"/>
      <c r="I2460" s="27"/>
      <c r="J2460" s="27"/>
      <c r="K2460" s="27"/>
      <c r="L2460" s="27"/>
      <c r="M2460" s="27"/>
      <c r="N2460" s="40"/>
      <c r="O2460" s="27"/>
      <c r="P2460" s="27"/>
      <c r="Q2460" s="41"/>
      <c r="R2460" s="40"/>
    </row>
    <row r="2461" spans="1:18" ht="30" customHeight="1" x14ac:dyDescent="0.3">
      <c r="A2461" s="26" t="str">
        <f t="shared" si="76"/>
        <v/>
      </c>
      <c r="B2461" s="26">
        <f>COUNTIFS($A$4:A2461,A2461)</f>
        <v>1298</v>
      </c>
      <c r="C2461" s="26" t="str">
        <f t="shared" si="77"/>
        <v>1298</v>
      </c>
      <c r="E2461" s="26"/>
      <c r="F2461" s="26"/>
      <c r="H2461" s="27"/>
      <c r="I2461" s="27"/>
      <c r="J2461" s="27"/>
      <c r="K2461" s="27"/>
      <c r="L2461" s="27"/>
      <c r="M2461" s="27"/>
      <c r="N2461" s="40"/>
      <c r="O2461" s="27"/>
      <c r="P2461" s="27"/>
      <c r="Q2461" s="41"/>
      <c r="R2461" s="40"/>
    </row>
    <row r="2462" spans="1:18" ht="30" customHeight="1" x14ac:dyDescent="0.3">
      <c r="A2462" s="26" t="str">
        <f t="shared" si="76"/>
        <v/>
      </c>
      <c r="B2462" s="26">
        <f>COUNTIFS($A$4:A2462,A2462)</f>
        <v>1299</v>
      </c>
      <c r="C2462" s="26" t="str">
        <f t="shared" si="77"/>
        <v>1299</v>
      </c>
      <c r="E2462" s="26"/>
      <c r="F2462" s="26"/>
      <c r="H2462" s="27"/>
      <c r="I2462" s="27"/>
      <c r="J2462" s="27"/>
      <c r="K2462" s="27"/>
      <c r="L2462" s="27"/>
      <c r="M2462" s="27"/>
      <c r="N2462" s="40"/>
      <c r="O2462" s="27"/>
      <c r="P2462" s="27"/>
      <c r="Q2462" s="41"/>
      <c r="R2462" s="40"/>
    </row>
    <row r="2463" spans="1:18" ht="30" customHeight="1" x14ac:dyDescent="0.3">
      <c r="A2463" s="26" t="str">
        <f t="shared" si="76"/>
        <v/>
      </c>
      <c r="B2463" s="26">
        <f>COUNTIFS($A$4:A2463,A2463)</f>
        <v>1300</v>
      </c>
      <c r="C2463" s="26" t="str">
        <f t="shared" si="77"/>
        <v>1300</v>
      </c>
      <c r="E2463" s="26"/>
      <c r="F2463" s="26"/>
      <c r="H2463" s="27"/>
      <c r="I2463" s="27"/>
      <c r="J2463" s="27"/>
      <c r="K2463" s="27"/>
      <c r="L2463" s="27"/>
      <c r="M2463" s="27"/>
      <c r="N2463" s="40"/>
      <c r="O2463" s="27"/>
      <c r="P2463" s="27"/>
      <c r="Q2463" s="41"/>
      <c r="R2463" s="40"/>
    </row>
    <row r="2464" spans="1:18" ht="30" customHeight="1" x14ac:dyDescent="0.3">
      <c r="A2464" s="26" t="str">
        <f t="shared" si="76"/>
        <v/>
      </c>
      <c r="B2464" s="26">
        <f>COUNTIFS($A$4:A2464,A2464)</f>
        <v>1301</v>
      </c>
      <c r="C2464" s="26" t="str">
        <f t="shared" si="77"/>
        <v>1301</v>
      </c>
      <c r="E2464" s="26"/>
      <c r="F2464" s="26"/>
      <c r="H2464" s="27"/>
      <c r="I2464" s="27"/>
      <c r="J2464" s="27"/>
      <c r="K2464" s="27"/>
      <c r="L2464" s="27"/>
      <c r="M2464" s="27"/>
      <c r="N2464" s="40"/>
      <c r="O2464" s="27"/>
      <c r="P2464" s="27"/>
      <c r="Q2464" s="41"/>
      <c r="R2464" s="40"/>
    </row>
    <row r="2465" spans="1:18" ht="30" customHeight="1" x14ac:dyDescent="0.3">
      <c r="A2465" s="26" t="str">
        <f t="shared" si="76"/>
        <v/>
      </c>
      <c r="B2465" s="26">
        <f>COUNTIFS($A$4:A2465,A2465)</f>
        <v>1302</v>
      </c>
      <c r="C2465" s="26" t="str">
        <f t="shared" si="77"/>
        <v>1302</v>
      </c>
      <c r="E2465" s="26"/>
      <c r="F2465" s="26"/>
      <c r="H2465" s="27"/>
      <c r="I2465" s="27"/>
      <c r="J2465" s="27"/>
      <c r="K2465" s="27"/>
      <c r="L2465" s="27"/>
      <c r="M2465" s="27"/>
      <c r="N2465" s="40"/>
      <c r="O2465" s="27"/>
      <c r="P2465" s="27"/>
      <c r="Q2465" s="41"/>
      <c r="R2465" s="40"/>
    </row>
    <row r="2466" spans="1:18" ht="30" customHeight="1" x14ac:dyDescent="0.3">
      <c r="A2466" s="26" t="str">
        <f t="shared" si="76"/>
        <v/>
      </c>
      <c r="B2466" s="26">
        <f>COUNTIFS($A$4:A2466,A2466)</f>
        <v>1303</v>
      </c>
      <c r="C2466" s="26" t="str">
        <f t="shared" si="77"/>
        <v>1303</v>
      </c>
      <c r="E2466" s="26"/>
      <c r="F2466" s="26"/>
      <c r="H2466" s="27"/>
      <c r="I2466" s="27"/>
      <c r="J2466" s="27"/>
      <c r="K2466" s="27"/>
      <c r="L2466" s="27"/>
      <c r="M2466" s="27"/>
      <c r="N2466" s="40"/>
      <c r="O2466" s="27"/>
      <c r="P2466" s="27"/>
      <c r="Q2466" s="41"/>
      <c r="R2466" s="40"/>
    </row>
    <row r="2467" spans="1:18" ht="30" customHeight="1" x14ac:dyDescent="0.3">
      <c r="A2467" s="26" t="str">
        <f t="shared" si="76"/>
        <v/>
      </c>
      <c r="B2467" s="26">
        <f>COUNTIFS($A$4:A2467,A2467)</f>
        <v>1304</v>
      </c>
      <c r="C2467" s="26" t="str">
        <f t="shared" si="77"/>
        <v>1304</v>
      </c>
      <c r="E2467" s="26"/>
      <c r="F2467" s="26"/>
      <c r="H2467" s="27"/>
      <c r="I2467" s="27"/>
      <c r="J2467" s="27"/>
      <c r="K2467" s="27"/>
      <c r="L2467" s="27"/>
      <c r="M2467" s="27"/>
      <c r="N2467" s="40"/>
      <c r="O2467" s="27"/>
      <c r="P2467" s="27"/>
      <c r="Q2467" s="41"/>
      <c r="R2467" s="40"/>
    </row>
    <row r="2468" spans="1:18" ht="30" customHeight="1" x14ac:dyDescent="0.3">
      <c r="A2468" s="26" t="str">
        <f t="shared" si="76"/>
        <v/>
      </c>
      <c r="B2468" s="26">
        <f>COUNTIFS($A$4:A2468,A2468)</f>
        <v>1305</v>
      </c>
      <c r="C2468" s="26" t="str">
        <f t="shared" si="77"/>
        <v>1305</v>
      </c>
      <c r="E2468" s="26"/>
      <c r="F2468" s="26"/>
      <c r="H2468" s="27"/>
      <c r="I2468" s="27"/>
      <c r="J2468" s="27"/>
      <c r="K2468" s="27"/>
      <c r="L2468" s="27"/>
      <c r="M2468" s="27"/>
      <c r="N2468" s="40"/>
      <c r="O2468" s="27"/>
      <c r="P2468" s="27"/>
      <c r="Q2468" s="41"/>
      <c r="R2468" s="40"/>
    </row>
    <row r="2469" spans="1:18" ht="30" customHeight="1" x14ac:dyDescent="0.3">
      <c r="A2469" s="26" t="str">
        <f t="shared" si="76"/>
        <v/>
      </c>
      <c r="B2469" s="26">
        <f>COUNTIFS($A$4:A2469,A2469)</f>
        <v>1306</v>
      </c>
      <c r="C2469" s="26" t="str">
        <f t="shared" si="77"/>
        <v>1306</v>
      </c>
      <c r="E2469" s="26"/>
      <c r="F2469" s="26"/>
      <c r="H2469" s="27"/>
      <c r="I2469" s="27"/>
      <c r="J2469" s="27"/>
      <c r="K2469" s="27"/>
      <c r="L2469" s="27"/>
      <c r="M2469" s="27"/>
      <c r="N2469" s="40"/>
      <c r="O2469" s="27"/>
      <c r="P2469" s="27"/>
      <c r="Q2469" s="41"/>
      <c r="R2469" s="40"/>
    </row>
    <row r="2470" spans="1:18" ht="30" customHeight="1" x14ac:dyDescent="0.3">
      <c r="A2470" s="26" t="str">
        <f t="shared" si="76"/>
        <v/>
      </c>
      <c r="B2470" s="26">
        <f>COUNTIFS($A$4:A2470,A2470)</f>
        <v>1307</v>
      </c>
      <c r="C2470" s="26" t="str">
        <f t="shared" si="77"/>
        <v>1307</v>
      </c>
      <c r="E2470" s="26"/>
      <c r="F2470" s="26"/>
      <c r="H2470" s="27"/>
      <c r="I2470" s="27"/>
      <c r="J2470" s="27"/>
      <c r="K2470" s="27"/>
      <c r="L2470" s="27"/>
      <c r="M2470" s="27"/>
      <c r="N2470" s="40"/>
      <c r="O2470" s="27"/>
      <c r="P2470" s="27"/>
      <c r="Q2470" s="41"/>
      <c r="R2470" s="40"/>
    </row>
    <row r="2471" spans="1:18" ht="30" customHeight="1" x14ac:dyDescent="0.3">
      <c r="A2471" s="26" t="str">
        <f t="shared" si="76"/>
        <v/>
      </c>
      <c r="B2471" s="26">
        <f>COUNTIFS($A$4:A2471,A2471)</f>
        <v>1308</v>
      </c>
      <c r="C2471" s="26" t="str">
        <f t="shared" si="77"/>
        <v>1308</v>
      </c>
      <c r="E2471" s="26"/>
      <c r="F2471" s="26"/>
      <c r="H2471" s="27"/>
      <c r="I2471" s="27"/>
      <c r="J2471" s="27"/>
      <c r="K2471" s="27"/>
      <c r="L2471" s="27"/>
      <c r="M2471" s="27"/>
      <c r="N2471" s="40"/>
      <c r="O2471" s="27"/>
      <c r="P2471" s="27"/>
      <c r="Q2471" s="41"/>
      <c r="R2471" s="40"/>
    </row>
    <row r="2472" spans="1:18" ht="30" customHeight="1" x14ac:dyDescent="0.3">
      <c r="A2472" s="26" t="str">
        <f t="shared" si="76"/>
        <v/>
      </c>
      <c r="B2472" s="26">
        <f>COUNTIFS($A$4:A2472,A2472)</f>
        <v>1309</v>
      </c>
      <c r="C2472" s="26" t="str">
        <f t="shared" si="77"/>
        <v>1309</v>
      </c>
      <c r="E2472" s="26"/>
      <c r="F2472" s="26"/>
      <c r="H2472" s="27"/>
      <c r="I2472" s="27"/>
      <c r="J2472" s="27"/>
      <c r="K2472" s="27"/>
      <c r="L2472" s="27"/>
      <c r="M2472" s="27"/>
      <c r="N2472" s="40"/>
      <c r="O2472" s="27"/>
      <c r="P2472" s="27"/>
      <c r="Q2472" s="41"/>
      <c r="R2472" s="40"/>
    </row>
    <row r="2473" spans="1:18" ht="30" customHeight="1" x14ac:dyDescent="0.3">
      <c r="A2473" s="26" t="str">
        <f t="shared" si="76"/>
        <v/>
      </c>
      <c r="B2473" s="26">
        <f>COUNTIFS($A$4:A2473,A2473)</f>
        <v>1310</v>
      </c>
      <c r="C2473" s="26" t="str">
        <f t="shared" si="77"/>
        <v>1310</v>
      </c>
      <c r="E2473" s="26"/>
      <c r="F2473" s="26"/>
      <c r="H2473" s="27"/>
      <c r="I2473" s="27"/>
      <c r="J2473" s="27"/>
      <c r="K2473" s="27"/>
      <c r="L2473" s="27"/>
      <c r="M2473" s="27"/>
      <c r="N2473" s="40"/>
      <c r="O2473" s="27"/>
      <c r="P2473" s="27"/>
      <c r="Q2473" s="41"/>
      <c r="R2473" s="40"/>
    </row>
    <row r="2474" spans="1:18" ht="30" customHeight="1" x14ac:dyDescent="0.3">
      <c r="A2474" s="26" t="str">
        <f t="shared" si="76"/>
        <v/>
      </c>
      <c r="B2474" s="26">
        <f>COUNTIFS($A$4:A2474,A2474)</f>
        <v>1311</v>
      </c>
      <c r="C2474" s="26" t="str">
        <f t="shared" si="77"/>
        <v>1311</v>
      </c>
      <c r="E2474" s="26"/>
      <c r="F2474" s="26"/>
      <c r="H2474" s="27"/>
      <c r="I2474" s="27"/>
      <c r="J2474" s="27"/>
      <c r="K2474" s="27"/>
      <c r="L2474" s="27"/>
      <c r="M2474" s="27"/>
      <c r="N2474" s="40"/>
      <c r="O2474" s="27"/>
      <c r="P2474" s="27"/>
      <c r="Q2474" s="41"/>
      <c r="R2474" s="40"/>
    </row>
    <row r="2475" spans="1:18" ht="30" customHeight="1" x14ac:dyDescent="0.3">
      <c r="A2475" s="26" t="str">
        <f t="shared" si="76"/>
        <v/>
      </c>
      <c r="B2475" s="26">
        <f>COUNTIFS($A$4:A2475,A2475)</f>
        <v>1312</v>
      </c>
      <c r="C2475" s="26" t="str">
        <f t="shared" si="77"/>
        <v>1312</v>
      </c>
      <c r="E2475" s="26"/>
      <c r="F2475" s="26"/>
      <c r="H2475" s="27"/>
      <c r="I2475" s="27"/>
      <c r="J2475" s="27"/>
      <c r="K2475" s="27"/>
      <c r="L2475" s="27"/>
      <c r="M2475" s="27"/>
      <c r="N2475" s="40"/>
      <c r="O2475" s="27"/>
      <c r="P2475" s="27"/>
      <c r="Q2475" s="41"/>
      <c r="R2475" s="40"/>
    </row>
    <row r="2476" spans="1:18" ht="30" customHeight="1" x14ac:dyDescent="0.3">
      <c r="A2476" s="26" t="str">
        <f t="shared" si="76"/>
        <v/>
      </c>
      <c r="B2476" s="26">
        <f>COUNTIFS($A$4:A2476,A2476)</f>
        <v>1313</v>
      </c>
      <c r="C2476" s="26" t="str">
        <f t="shared" si="77"/>
        <v>1313</v>
      </c>
      <c r="E2476" s="26"/>
      <c r="F2476" s="26"/>
      <c r="H2476" s="27"/>
      <c r="I2476" s="27"/>
      <c r="J2476" s="27"/>
      <c r="K2476" s="27"/>
      <c r="L2476" s="27"/>
      <c r="M2476" s="27"/>
      <c r="N2476" s="40"/>
      <c r="O2476" s="27"/>
      <c r="P2476" s="27"/>
      <c r="Q2476" s="41"/>
      <c r="R2476" s="40"/>
    </row>
    <row r="2477" spans="1:18" ht="30" customHeight="1" x14ac:dyDescent="0.3">
      <c r="A2477" s="26" t="str">
        <f t="shared" si="76"/>
        <v/>
      </c>
      <c r="B2477" s="26">
        <f>COUNTIFS($A$4:A2477,A2477)</f>
        <v>1314</v>
      </c>
      <c r="C2477" s="26" t="str">
        <f t="shared" si="77"/>
        <v>1314</v>
      </c>
      <c r="E2477" s="26"/>
      <c r="F2477" s="26"/>
      <c r="H2477" s="27"/>
      <c r="I2477" s="27"/>
      <c r="J2477" s="27"/>
      <c r="K2477" s="27"/>
      <c r="L2477" s="27"/>
      <c r="M2477" s="27"/>
      <c r="N2477" s="40"/>
      <c r="O2477" s="27"/>
      <c r="P2477" s="27"/>
      <c r="Q2477" s="41"/>
      <c r="R2477" s="40"/>
    </row>
    <row r="2478" spans="1:18" ht="30" customHeight="1" x14ac:dyDescent="0.3">
      <c r="A2478" s="26" t="str">
        <f t="shared" si="76"/>
        <v/>
      </c>
      <c r="B2478" s="26">
        <f>COUNTIFS($A$4:A2478,A2478)</f>
        <v>1315</v>
      </c>
      <c r="C2478" s="26" t="str">
        <f t="shared" si="77"/>
        <v>1315</v>
      </c>
      <c r="E2478" s="26"/>
      <c r="F2478" s="26"/>
      <c r="H2478" s="27"/>
      <c r="I2478" s="27"/>
      <c r="J2478" s="27"/>
      <c r="K2478" s="27"/>
      <c r="L2478" s="27"/>
      <c r="M2478" s="27"/>
      <c r="N2478" s="40"/>
      <c r="O2478" s="27"/>
      <c r="P2478" s="27"/>
      <c r="Q2478" s="41"/>
      <c r="R2478" s="40"/>
    </row>
    <row r="2479" spans="1:18" ht="30" customHeight="1" x14ac:dyDescent="0.3">
      <c r="A2479" s="26" t="str">
        <f t="shared" si="76"/>
        <v/>
      </c>
      <c r="B2479" s="26">
        <f>COUNTIFS($A$4:A2479,A2479)</f>
        <v>1316</v>
      </c>
      <c r="C2479" s="26" t="str">
        <f t="shared" si="77"/>
        <v>1316</v>
      </c>
      <c r="E2479" s="26"/>
      <c r="F2479" s="26"/>
      <c r="H2479" s="27"/>
      <c r="I2479" s="27"/>
      <c r="J2479" s="27"/>
      <c r="K2479" s="27"/>
      <c r="L2479" s="27"/>
      <c r="M2479" s="27"/>
      <c r="N2479" s="40"/>
      <c r="O2479" s="27"/>
      <c r="P2479" s="27"/>
      <c r="Q2479" s="41"/>
      <c r="R2479" s="40"/>
    </row>
    <row r="2480" spans="1:18" ht="30" customHeight="1" x14ac:dyDescent="0.3">
      <c r="A2480" s="26" t="str">
        <f t="shared" si="76"/>
        <v/>
      </c>
      <c r="B2480" s="26">
        <f>COUNTIFS($A$4:A2480,A2480)</f>
        <v>1317</v>
      </c>
      <c r="C2480" s="26" t="str">
        <f t="shared" si="77"/>
        <v>1317</v>
      </c>
      <c r="E2480" s="26"/>
      <c r="F2480" s="26"/>
      <c r="H2480" s="27"/>
      <c r="I2480" s="27"/>
      <c r="J2480" s="27"/>
      <c r="K2480" s="27"/>
      <c r="L2480" s="27"/>
      <c r="M2480" s="27"/>
      <c r="N2480" s="40"/>
      <c r="O2480" s="27"/>
      <c r="P2480" s="27"/>
      <c r="Q2480" s="41"/>
      <c r="R2480" s="40"/>
    </row>
    <row r="2481" spans="1:18" ht="30" customHeight="1" x14ac:dyDescent="0.3">
      <c r="A2481" s="26" t="str">
        <f t="shared" si="76"/>
        <v/>
      </c>
      <c r="B2481" s="26">
        <f>COUNTIFS($A$4:A2481,A2481)</f>
        <v>1318</v>
      </c>
      <c r="C2481" s="26" t="str">
        <f t="shared" si="77"/>
        <v>1318</v>
      </c>
      <c r="E2481" s="26"/>
      <c r="F2481" s="26"/>
      <c r="H2481" s="27"/>
      <c r="I2481" s="27"/>
      <c r="J2481" s="27"/>
      <c r="K2481" s="27"/>
      <c r="L2481" s="27"/>
      <c r="M2481" s="27"/>
      <c r="N2481" s="40"/>
      <c r="O2481" s="27"/>
      <c r="P2481" s="27"/>
      <c r="Q2481" s="41"/>
      <c r="R2481" s="40"/>
    </row>
    <row r="2482" spans="1:18" ht="30" customHeight="1" x14ac:dyDescent="0.3">
      <c r="A2482" s="26" t="str">
        <f t="shared" si="76"/>
        <v/>
      </c>
      <c r="B2482" s="26">
        <f>COUNTIFS($A$4:A2482,A2482)</f>
        <v>1319</v>
      </c>
      <c r="C2482" s="26" t="str">
        <f t="shared" si="77"/>
        <v>1319</v>
      </c>
      <c r="E2482" s="26"/>
      <c r="F2482" s="26"/>
      <c r="H2482" s="27"/>
      <c r="I2482" s="27"/>
      <c r="J2482" s="27"/>
      <c r="K2482" s="27"/>
      <c r="L2482" s="27"/>
      <c r="M2482" s="27"/>
      <c r="N2482" s="40"/>
      <c r="O2482" s="27"/>
      <c r="P2482" s="27"/>
      <c r="Q2482" s="41"/>
      <c r="R2482" s="40"/>
    </row>
    <row r="2483" spans="1:18" ht="30" customHeight="1" x14ac:dyDescent="0.3">
      <c r="A2483" s="26" t="str">
        <f t="shared" si="76"/>
        <v/>
      </c>
      <c r="B2483" s="26">
        <f>COUNTIFS($A$4:A2483,A2483)</f>
        <v>1320</v>
      </c>
      <c r="C2483" s="26" t="str">
        <f t="shared" si="77"/>
        <v>1320</v>
      </c>
      <c r="E2483" s="26"/>
      <c r="F2483" s="26"/>
      <c r="H2483" s="27"/>
      <c r="I2483" s="27"/>
      <c r="J2483" s="27"/>
      <c r="K2483" s="27"/>
      <c r="L2483" s="27"/>
      <c r="M2483" s="27"/>
      <c r="N2483" s="40"/>
      <c r="O2483" s="27"/>
      <c r="P2483" s="27"/>
      <c r="Q2483" s="41"/>
      <c r="R2483" s="40"/>
    </row>
    <row r="2484" spans="1:18" ht="30" customHeight="1" x14ac:dyDescent="0.3">
      <c r="A2484" s="26" t="str">
        <f t="shared" si="76"/>
        <v/>
      </c>
      <c r="B2484" s="26">
        <f>COUNTIFS($A$4:A2484,A2484)</f>
        <v>1321</v>
      </c>
      <c r="C2484" s="26" t="str">
        <f t="shared" si="77"/>
        <v>1321</v>
      </c>
      <c r="E2484" s="26"/>
      <c r="F2484" s="26"/>
      <c r="H2484" s="27"/>
      <c r="I2484" s="27"/>
      <c r="J2484" s="27"/>
      <c r="K2484" s="27"/>
      <c r="L2484" s="27"/>
      <c r="M2484" s="27"/>
      <c r="N2484" s="40"/>
      <c r="O2484" s="27"/>
      <c r="P2484" s="27"/>
      <c r="Q2484" s="41"/>
      <c r="R2484" s="40"/>
    </row>
    <row r="2485" spans="1:18" ht="30" customHeight="1" x14ac:dyDescent="0.3">
      <c r="A2485" s="26" t="str">
        <f t="shared" si="76"/>
        <v/>
      </c>
      <c r="B2485" s="26">
        <f>COUNTIFS($A$4:A2485,A2485)</f>
        <v>1322</v>
      </c>
      <c r="C2485" s="26" t="str">
        <f t="shared" si="77"/>
        <v>1322</v>
      </c>
      <c r="E2485" s="26"/>
      <c r="F2485" s="26"/>
      <c r="H2485" s="27"/>
      <c r="I2485" s="27"/>
      <c r="J2485" s="27"/>
      <c r="K2485" s="27"/>
      <c r="L2485" s="27"/>
      <c r="M2485" s="27"/>
      <c r="N2485" s="40"/>
      <c r="O2485" s="27"/>
      <c r="P2485" s="27"/>
      <c r="Q2485" s="41"/>
      <c r="R2485" s="40"/>
    </row>
    <row r="2486" spans="1:18" ht="30" customHeight="1" x14ac:dyDescent="0.3">
      <c r="A2486" s="26" t="str">
        <f t="shared" si="76"/>
        <v/>
      </c>
      <c r="B2486" s="26">
        <f>COUNTIFS($A$4:A2486,A2486)</f>
        <v>1323</v>
      </c>
      <c r="C2486" s="26" t="str">
        <f t="shared" si="77"/>
        <v>1323</v>
      </c>
      <c r="E2486" s="26"/>
      <c r="F2486" s="26"/>
      <c r="H2486" s="27"/>
      <c r="I2486" s="27"/>
      <c r="J2486" s="27"/>
      <c r="K2486" s="27"/>
      <c r="L2486" s="27"/>
      <c r="M2486" s="27"/>
      <c r="N2486" s="40"/>
      <c r="O2486" s="27"/>
      <c r="P2486" s="27"/>
      <c r="Q2486" s="41"/>
      <c r="R2486" s="40"/>
    </row>
    <row r="2487" spans="1:18" ht="30" customHeight="1" x14ac:dyDescent="0.3">
      <c r="A2487" s="26" t="str">
        <f t="shared" si="76"/>
        <v/>
      </c>
      <c r="B2487" s="26">
        <f>COUNTIFS($A$4:A2487,A2487)</f>
        <v>1324</v>
      </c>
      <c r="C2487" s="26" t="str">
        <f t="shared" si="77"/>
        <v>1324</v>
      </c>
      <c r="E2487" s="26"/>
      <c r="F2487" s="26"/>
      <c r="H2487" s="27"/>
      <c r="I2487" s="27"/>
      <c r="J2487" s="27"/>
      <c r="K2487" s="27"/>
      <c r="L2487" s="27"/>
      <c r="M2487" s="27"/>
      <c r="N2487" s="40"/>
      <c r="O2487" s="27"/>
      <c r="P2487" s="27"/>
      <c r="Q2487" s="41"/>
      <c r="R2487" s="40"/>
    </row>
    <row r="2488" spans="1:18" ht="30" customHeight="1" x14ac:dyDescent="0.3">
      <c r="A2488" s="26" t="str">
        <f t="shared" si="76"/>
        <v/>
      </c>
      <c r="B2488" s="26">
        <f>COUNTIFS($A$4:A2488,A2488)</f>
        <v>1325</v>
      </c>
      <c r="C2488" s="26" t="str">
        <f t="shared" si="77"/>
        <v>1325</v>
      </c>
      <c r="E2488" s="26"/>
      <c r="F2488" s="26"/>
      <c r="H2488" s="27"/>
      <c r="I2488" s="27"/>
      <c r="J2488" s="27"/>
      <c r="K2488" s="27"/>
      <c r="L2488" s="27"/>
      <c r="M2488" s="27"/>
      <c r="N2488" s="40"/>
      <c r="O2488" s="27"/>
      <c r="P2488" s="27"/>
      <c r="Q2488" s="41"/>
      <c r="R2488" s="40"/>
    </row>
    <row r="2489" spans="1:18" ht="30" customHeight="1" x14ac:dyDescent="0.3">
      <c r="A2489" s="26" t="str">
        <f t="shared" si="76"/>
        <v/>
      </c>
      <c r="B2489" s="26">
        <f>COUNTIFS($A$4:A2489,A2489)</f>
        <v>1326</v>
      </c>
      <c r="C2489" s="26" t="str">
        <f t="shared" si="77"/>
        <v>1326</v>
      </c>
      <c r="E2489" s="26"/>
      <c r="F2489" s="26"/>
      <c r="H2489" s="27"/>
      <c r="I2489" s="27"/>
      <c r="J2489" s="27"/>
      <c r="K2489" s="27"/>
      <c r="L2489" s="27"/>
      <c r="M2489" s="27"/>
      <c r="N2489" s="40"/>
      <c r="O2489" s="27"/>
      <c r="P2489" s="27"/>
      <c r="Q2489" s="41"/>
      <c r="R2489" s="40"/>
    </row>
    <row r="2490" spans="1:18" ht="30" customHeight="1" x14ac:dyDescent="0.3">
      <c r="A2490" s="26" t="str">
        <f t="shared" si="76"/>
        <v/>
      </c>
      <c r="B2490" s="26">
        <f>COUNTIFS($A$4:A2490,A2490)</f>
        <v>1327</v>
      </c>
      <c r="C2490" s="26" t="str">
        <f t="shared" si="77"/>
        <v>1327</v>
      </c>
      <c r="E2490" s="26"/>
      <c r="F2490" s="26"/>
      <c r="H2490" s="27"/>
      <c r="I2490" s="27"/>
      <c r="J2490" s="27"/>
      <c r="K2490" s="27"/>
      <c r="L2490" s="27"/>
      <c r="M2490" s="27"/>
      <c r="N2490" s="40"/>
      <c r="O2490" s="27"/>
      <c r="P2490" s="27"/>
      <c r="Q2490" s="41"/>
      <c r="R2490" s="40"/>
    </row>
    <row r="2491" spans="1:18" ht="30" customHeight="1" x14ac:dyDescent="0.3">
      <c r="A2491" s="26" t="str">
        <f t="shared" si="76"/>
        <v/>
      </c>
      <c r="B2491" s="26">
        <f>COUNTIFS($A$4:A2491,A2491)</f>
        <v>1328</v>
      </c>
      <c r="C2491" s="26" t="str">
        <f t="shared" si="77"/>
        <v>1328</v>
      </c>
      <c r="E2491" s="26"/>
      <c r="F2491" s="26"/>
      <c r="H2491" s="27"/>
      <c r="I2491" s="27"/>
      <c r="J2491" s="27"/>
      <c r="K2491" s="27"/>
      <c r="L2491" s="27"/>
      <c r="M2491" s="27"/>
      <c r="N2491" s="40"/>
      <c r="O2491" s="27"/>
      <c r="P2491" s="27"/>
      <c r="Q2491" s="41"/>
      <c r="R2491" s="40"/>
    </row>
    <row r="2492" spans="1:18" ht="30" customHeight="1" x14ac:dyDescent="0.3">
      <c r="A2492" s="26" t="str">
        <f t="shared" si="76"/>
        <v/>
      </c>
      <c r="B2492" s="26">
        <f>COUNTIFS($A$4:A2492,A2492)</f>
        <v>1329</v>
      </c>
      <c r="C2492" s="26" t="str">
        <f t="shared" si="77"/>
        <v>1329</v>
      </c>
      <c r="E2492" s="26"/>
      <c r="F2492" s="26"/>
      <c r="H2492" s="27"/>
      <c r="I2492" s="27"/>
      <c r="J2492" s="27"/>
      <c r="K2492" s="27"/>
      <c r="L2492" s="27"/>
      <c r="M2492" s="27"/>
      <c r="N2492" s="40"/>
      <c r="O2492" s="27"/>
      <c r="P2492" s="27"/>
      <c r="Q2492" s="41"/>
      <c r="R2492" s="40"/>
    </row>
    <row r="2493" spans="1:18" ht="30" customHeight="1" x14ac:dyDescent="0.3">
      <c r="A2493" s="26" t="str">
        <f t="shared" si="76"/>
        <v/>
      </c>
      <c r="B2493" s="26">
        <f>COUNTIFS($A$4:A2493,A2493)</f>
        <v>1330</v>
      </c>
      <c r="C2493" s="26" t="str">
        <f t="shared" si="77"/>
        <v>1330</v>
      </c>
      <c r="E2493" s="26"/>
      <c r="F2493" s="26"/>
      <c r="H2493" s="27"/>
      <c r="I2493" s="27"/>
      <c r="J2493" s="27"/>
      <c r="K2493" s="27"/>
      <c r="L2493" s="27"/>
      <c r="M2493" s="27"/>
      <c r="N2493" s="40"/>
      <c r="O2493" s="27"/>
      <c r="P2493" s="27"/>
      <c r="Q2493" s="41"/>
      <c r="R2493" s="40"/>
    </row>
    <row r="2494" spans="1:18" ht="30" customHeight="1" x14ac:dyDescent="0.3">
      <c r="A2494" s="26" t="str">
        <f t="shared" si="76"/>
        <v/>
      </c>
      <c r="B2494" s="26">
        <f>COUNTIFS($A$4:A2494,A2494)</f>
        <v>1331</v>
      </c>
      <c r="C2494" s="26" t="str">
        <f t="shared" si="77"/>
        <v>1331</v>
      </c>
      <c r="E2494" s="26"/>
      <c r="F2494" s="26"/>
      <c r="H2494" s="27"/>
      <c r="I2494" s="27"/>
      <c r="J2494" s="27"/>
      <c r="K2494" s="27"/>
      <c r="L2494" s="27"/>
      <c r="M2494" s="27"/>
      <c r="N2494" s="40"/>
      <c r="O2494" s="27"/>
      <c r="P2494" s="27"/>
      <c r="Q2494" s="41"/>
      <c r="R2494" s="40"/>
    </row>
    <row r="2495" spans="1:18" ht="30" customHeight="1" x14ac:dyDescent="0.3">
      <c r="A2495" s="26" t="str">
        <f t="shared" si="76"/>
        <v/>
      </c>
      <c r="B2495" s="26">
        <f>COUNTIFS($A$4:A2495,A2495)</f>
        <v>1332</v>
      </c>
      <c r="C2495" s="26" t="str">
        <f t="shared" si="77"/>
        <v>1332</v>
      </c>
      <c r="E2495" s="26"/>
      <c r="F2495" s="26"/>
      <c r="H2495" s="27"/>
      <c r="I2495" s="27"/>
      <c r="J2495" s="27"/>
      <c r="K2495" s="27"/>
      <c r="L2495" s="27"/>
      <c r="M2495" s="27"/>
      <c r="N2495" s="40"/>
      <c r="O2495" s="27"/>
      <c r="P2495" s="27"/>
      <c r="Q2495" s="41"/>
      <c r="R2495" s="40"/>
    </row>
    <row r="2496" spans="1:18" ht="30" customHeight="1" x14ac:dyDescent="0.3">
      <c r="A2496" s="26" t="str">
        <f t="shared" si="76"/>
        <v/>
      </c>
      <c r="B2496" s="26">
        <f>COUNTIFS($A$4:A2496,A2496)</f>
        <v>1333</v>
      </c>
      <c r="C2496" s="26" t="str">
        <f t="shared" si="77"/>
        <v>1333</v>
      </c>
      <c r="E2496" s="26"/>
      <c r="F2496" s="26"/>
      <c r="H2496" s="27"/>
      <c r="I2496" s="27"/>
      <c r="J2496" s="27"/>
      <c r="K2496" s="27"/>
      <c r="L2496" s="27"/>
      <c r="M2496" s="27"/>
      <c r="N2496" s="40"/>
      <c r="O2496" s="27"/>
      <c r="P2496" s="27"/>
      <c r="Q2496" s="41"/>
      <c r="R2496" s="40"/>
    </row>
    <row r="2497" spans="1:18" ht="30" customHeight="1" x14ac:dyDescent="0.3">
      <c r="A2497" s="26" t="str">
        <f t="shared" si="76"/>
        <v/>
      </c>
      <c r="B2497" s="26">
        <f>COUNTIFS($A$4:A2497,A2497)</f>
        <v>1334</v>
      </c>
      <c r="C2497" s="26" t="str">
        <f t="shared" si="77"/>
        <v>1334</v>
      </c>
      <c r="E2497" s="26"/>
      <c r="F2497" s="26"/>
      <c r="H2497" s="27"/>
      <c r="I2497" s="27"/>
      <c r="J2497" s="27"/>
      <c r="K2497" s="27"/>
      <c r="L2497" s="27"/>
      <c r="M2497" s="27"/>
      <c r="N2497" s="40"/>
      <c r="O2497" s="27"/>
      <c r="P2497" s="27"/>
      <c r="Q2497" s="41"/>
      <c r="R2497" s="40"/>
    </row>
    <row r="2498" spans="1:18" ht="30" customHeight="1" x14ac:dyDescent="0.3">
      <c r="A2498" s="26" t="str">
        <f t="shared" si="76"/>
        <v/>
      </c>
      <c r="B2498" s="26">
        <f>COUNTIFS($A$4:A2498,A2498)</f>
        <v>1335</v>
      </c>
      <c r="C2498" s="26" t="str">
        <f t="shared" si="77"/>
        <v>1335</v>
      </c>
      <c r="E2498" s="26"/>
      <c r="F2498" s="26"/>
      <c r="H2498" s="27"/>
      <c r="I2498" s="27"/>
      <c r="J2498" s="27"/>
      <c r="K2498" s="27"/>
      <c r="L2498" s="27"/>
      <c r="M2498" s="27"/>
      <c r="N2498" s="40"/>
      <c r="O2498" s="27"/>
      <c r="P2498" s="27"/>
      <c r="Q2498" s="41"/>
      <c r="R2498" s="40"/>
    </row>
    <row r="2499" spans="1:18" ht="30" customHeight="1" x14ac:dyDescent="0.3">
      <c r="A2499" s="26" t="str">
        <f t="shared" si="76"/>
        <v/>
      </c>
      <c r="B2499" s="26">
        <f>COUNTIFS($A$4:A2499,A2499)</f>
        <v>1336</v>
      </c>
      <c r="C2499" s="26" t="str">
        <f t="shared" si="77"/>
        <v>1336</v>
      </c>
      <c r="E2499" s="26"/>
      <c r="F2499" s="26"/>
      <c r="H2499" s="27"/>
      <c r="I2499" s="27"/>
      <c r="J2499" s="27"/>
      <c r="K2499" s="27"/>
      <c r="L2499" s="27"/>
      <c r="M2499" s="27"/>
      <c r="N2499" s="40"/>
      <c r="O2499" s="27"/>
      <c r="P2499" s="27"/>
      <c r="Q2499" s="41"/>
      <c r="R2499" s="40"/>
    </row>
    <row r="2500" spans="1:18" ht="30" customHeight="1" x14ac:dyDescent="0.3">
      <c r="A2500" s="26" t="str">
        <f t="shared" si="76"/>
        <v/>
      </c>
      <c r="B2500" s="26">
        <f>COUNTIFS($A$4:A2500,A2500)</f>
        <v>1337</v>
      </c>
      <c r="C2500" s="26" t="str">
        <f t="shared" si="77"/>
        <v>1337</v>
      </c>
      <c r="E2500" s="26"/>
      <c r="F2500" s="26"/>
      <c r="H2500" s="27"/>
      <c r="I2500" s="27"/>
      <c r="J2500" s="27"/>
      <c r="K2500" s="27"/>
      <c r="L2500" s="27"/>
      <c r="M2500" s="27"/>
      <c r="N2500" s="40"/>
      <c r="O2500" s="27"/>
      <c r="P2500" s="27"/>
      <c r="Q2500" s="41"/>
      <c r="R2500" s="40"/>
    </row>
    <row r="2501" spans="1:18" ht="30" customHeight="1" x14ac:dyDescent="0.3">
      <c r="A2501" s="26" t="str">
        <f t="shared" si="76"/>
        <v/>
      </c>
      <c r="B2501" s="26">
        <f>COUNTIFS($A$4:A2501,A2501)</f>
        <v>1338</v>
      </c>
      <c r="C2501" s="26" t="str">
        <f t="shared" si="77"/>
        <v>1338</v>
      </c>
      <c r="E2501" s="26"/>
      <c r="F2501" s="26"/>
      <c r="H2501" s="27"/>
      <c r="I2501" s="27"/>
      <c r="J2501" s="27"/>
      <c r="K2501" s="27"/>
      <c r="L2501" s="27"/>
      <c r="M2501" s="27"/>
      <c r="N2501" s="40"/>
      <c r="O2501" s="27"/>
      <c r="P2501" s="27"/>
      <c r="Q2501" s="41"/>
      <c r="R2501" s="40"/>
    </row>
    <row r="2502" spans="1:18" ht="30" customHeight="1" x14ac:dyDescent="0.3">
      <c r="A2502" s="26" t="str">
        <f t="shared" si="76"/>
        <v/>
      </c>
      <c r="B2502" s="26">
        <f>COUNTIFS($A$4:A2502,A2502)</f>
        <v>1339</v>
      </c>
      <c r="C2502" s="26" t="str">
        <f t="shared" si="77"/>
        <v>1339</v>
      </c>
      <c r="E2502" s="26"/>
      <c r="F2502" s="26"/>
      <c r="H2502" s="27"/>
      <c r="I2502" s="27"/>
      <c r="J2502" s="27"/>
      <c r="K2502" s="27"/>
      <c r="L2502" s="27"/>
      <c r="M2502" s="27"/>
      <c r="N2502" s="40"/>
      <c r="O2502" s="27"/>
      <c r="P2502" s="27"/>
      <c r="Q2502" s="41"/>
      <c r="R2502" s="40"/>
    </row>
    <row r="2503" spans="1:18" ht="30" customHeight="1" x14ac:dyDescent="0.3">
      <c r="A2503" s="26" t="str">
        <f t="shared" si="76"/>
        <v/>
      </c>
      <c r="B2503" s="26">
        <f>COUNTIFS($A$4:A2503,A2503)</f>
        <v>1340</v>
      </c>
      <c r="C2503" s="26" t="str">
        <f t="shared" si="77"/>
        <v>1340</v>
      </c>
      <c r="E2503" s="26"/>
      <c r="F2503" s="26"/>
      <c r="H2503" s="27"/>
      <c r="I2503" s="27"/>
      <c r="J2503" s="27"/>
      <c r="K2503" s="27"/>
      <c r="L2503" s="27"/>
      <c r="M2503" s="27"/>
      <c r="N2503" s="40"/>
      <c r="O2503" s="27"/>
      <c r="P2503" s="27"/>
      <c r="Q2503" s="41"/>
      <c r="R2503" s="40"/>
    </row>
    <row r="2504" spans="1:18" ht="30" customHeight="1" x14ac:dyDescent="0.3">
      <c r="A2504" s="26" t="str">
        <f t="shared" si="76"/>
        <v/>
      </c>
      <c r="B2504" s="26">
        <f>COUNTIFS($A$4:A2504,A2504)</f>
        <v>1341</v>
      </c>
      <c r="C2504" s="26" t="str">
        <f t="shared" si="77"/>
        <v>1341</v>
      </c>
      <c r="E2504" s="26"/>
      <c r="F2504" s="26"/>
      <c r="H2504" s="27"/>
      <c r="I2504" s="27"/>
      <c r="J2504" s="27"/>
      <c r="K2504" s="27"/>
      <c r="L2504" s="27"/>
      <c r="M2504" s="27"/>
      <c r="N2504" s="40"/>
      <c r="O2504" s="27"/>
      <c r="P2504" s="27"/>
      <c r="Q2504" s="41"/>
      <c r="R2504" s="40"/>
    </row>
    <row r="2505" spans="1:18" ht="30" customHeight="1" x14ac:dyDescent="0.3">
      <c r="A2505" s="26" t="str">
        <f t="shared" si="76"/>
        <v/>
      </c>
      <c r="B2505" s="26">
        <f>COUNTIFS($A$4:A2505,A2505)</f>
        <v>1342</v>
      </c>
      <c r="C2505" s="26" t="str">
        <f t="shared" si="77"/>
        <v>1342</v>
      </c>
      <c r="E2505" s="26"/>
      <c r="F2505" s="26"/>
      <c r="H2505" s="27"/>
      <c r="I2505" s="27"/>
      <c r="J2505" s="27"/>
      <c r="K2505" s="27"/>
      <c r="L2505" s="27"/>
      <c r="M2505" s="27"/>
      <c r="N2505" s="40"/>
      <c r="O2505" s="27"/>
      <c r="P2505" s="27"/>
      <c r="Q2505" s="41"/>
      <c r="R2505" s="40"/>
    </row>
    <row r="2506" spans="1:18" ht="30" customHeight="1" x14ac:dyDescent="0.3">
      <c r="A2506" s="26" t="str">
        <f t="shared" si="76"/>
        <v/>
      </c>
      <c r="B2506" s="26">
        <f>COUNTIFS($A$4:A2506,A2506)</f>
        <v>1343</v>
      </c>
      <c r="C2506" s="26" t="str">
        <f t="shared" si="77"/>
        <v>1343</v>
      </c>
      <c r="E2506" s="26"/>
      <c r="F2506" s="26"/>
      <c r="H2506" s="27"/>
      <c r="I2506" s="27"/>
      <c r="J2506" s="27"/>
      <c r="K2506" s="27"/>
      <c r="L2506" s="27"/>
      <c r="M2506" s="27"/>
      <c r="N2506" s="40"/>
      <c r="O2506" s="27"/>
      <c r="P2506" s="27"/>
      <c r="Q2506" s="41"/>
      <c r="R2506" s="40"/>
    </row>
    <row r="2507" spans="1:18" ht="30" customHeight="1" x14ac:dyDescent="0.3">
      <c r="A2507" s="26" t="str">
        <f t="shared" si="76"/>
        <v/>
      </c>
      <c r="B2507" s="26">
        <f>COUNTIFS($A$4:A2507,A2507)</f>
        <v>1344</v>
      </c>
      <c r="C2507" s="26" t="str">
        <f t="shared" si="77"/>
        <v>1344</v>
      </c>
      <c r="E2507" s="26"/>
      <c r="F2507" s="26"/>
      <c r="H2507" s="27"/>
      <c r="I2507" s="27"/>
      <c r="J2507" s="27"/>
      <c r="K2507" s="27"/>
      <c r="L2507" s="27"/>
      <c r="M2507" s="27"/>
      <c r="N2507" s="40"/>
      <c r="O2507" s="27"/>
      <c r="P2507" s="27"/>
      <c r="Q2507" s="41"/>
      <c r="R2507" s="40"/>
    </row>
    <row r="2508" spans="1:18" ht="30" customHeight="1" x14ac:dyDescent="0.3">
      <c r="A2508" s="26" t="str">
        <f t="shared" si="76"/>
        <v/>
      </c>
      <c r="B2508" s="26">
        <f>COUNTIFS($A$4:A2508,A2508)</f>
        <v>1345</v>
      </c>
      <c r="C2508" s="26" t="str">
        <f t="shared" si="77"/>
        <v>1345</v>
      </c>
      <c r="E2508" s="26"/>
      <c r="F2508" s="26"/>
      <c r="H2508" s="27"/>
      <c r="I2508" s="27"/>
      <c r="J2508" s="27"/>
      <c r="K2508" s="27"/>
      <c r="L2508" s="27"/>
      <c r="M2508" s="27"/>
      <c r="N2508" s="40"/>
      <c r="O2508" s="27"/>
      <c r="P2508" s="27"/>
      <c r="Q2508" s="41"/>
      <c r="R2508" s="40"/>
    </row>
    <row r="2509" spans="1:18" ht="30" customHeight="1" x14ac:dyDescent="0.3">
      <c r="A2509" s="26" t="str">
        <f t="shared" si="76"/>
        <v/>
      </c>
      <c r="B2509" s="26">
        <f>COUNTIFS($A$4:A2509,A2509)</f>
        <v>1346</v>
      </c>
      <c r="C2509" s="26" t="str">
        <f t="shared" si="77"/>
        <v>1346</v>
      </c>
      <c r="E2509" s="26"/>
      <c r="F2509" s="26"/>
      <c r="H2509" s="27"/>
      <c r="I2509" s="27"/>
      <c r="J2509" s="27"/>
      <c r="K2509" s="27"/>
      <c r="L2509" s="27"/>
      <c r="M2509" s="27"/>
      <c r="N2509" s="40"/>
      <c r="O2509" s="27"/>
      <c r="P2509" s="27"/>
      <c r="Q2509" s="41"/>
      <c r="R2509" s="40"/>
    </row>
    <row r="2510" spans="1:18" ht="30" customHeight="1" x14ac:dyDescent="0.3">
      <c r="A2510" s="26" t="str">
        <f t="shared" si="76"/>
        <v/>
      </c>
      <c r="B2510" s="26">
        <f>COUNTIFS($A$4:A2510,A2510)</f>
        <v>1347</v>
      </c>
      <c r="C2510" s="26" t="str">
        <f t="shared" si="77"/>
        <v>1347</v>
      </c>
      <c r="E2510" s="26"/>
      <c r="F2510" s="26"/>
      <c r="H2510" s="27"/>
      <c r="I2510" s="27"/>
      <c r="J2510" s="27"/>
      <c r="K2510" s="27"/>
      <c r="L2510" s="27"/>
      <c r="M2510" s="27"/>
      <c r="N2510" s="40"/>
      <c r="O2510" s="27"/>
      <c r="P2510" s="27"/>
      <c r="Q2510" s="41"/>
      <c r="R2510" s="40"/>
    </row>
    <row r="2511" spans="1:18" ht="30" customHeight="1" x14ac:dyDescent="0.3">
      <c r="A2511" s="26" t="str">
        <f t="shared" si="76"/>
        <v/>
      </c>
      <c r="B2511" s="26">
        <f>COUNTIFS($A$4:A2511,A2511)</f>
        <v>1348</v>
      </c>
      <c r="C2511" s="26" t="str">
        <f t="shared" si="77"/>
        <v>1348</v>
      </c>
      <c r="E2511" s="26"/>
      <c r="F2511" s="26"/>
      <c r="H2511" s="27"/>
      <c r="I2511" s="27"/>
      <c r="J2511" s="27"/>
      <c r="K2511" s="27"/>
      <c r="L2511" s="27"/>
      <c r="M2511" s="27"/>
      <c r="N2511" s="40"/>
      <c r="O2511" s="27"/>
      <c r="P2511" s="27"/>
      <c r="Q2511" s="41"/>
      <c r="R2511" s="40"/>
    </row>
    <row r="2512" spans="1:18" ht="30" customHeight="1" x14ac:dyDescent="0.3">
      <c r="A2512" s="26" t="str">
        <f t="shared" si="76"/>
        <v/>
      </c>
      <c r="B2512" s="26">
        <f>COUNTIFS($A$4:A2512,A2512)</f>
        <v>1349</v>
      </c>
      <c r="C2512" s="26" t="str">
        <f t="shared" si="77"/>
        <v>1349</v>
      </c>
      <c r="E2512" s="26"/>
      <c r="F2512" s="26"/>
      <c r="H2512" s="27"/>
      <c r="I2512" s="27"/>
      <c r="J2512" s="27"/>
      <c r="K2512" s="27"/>
      <c r="L2512" s="27"/>
      <c r="M2512" s="27"/>
      <c r="N2512" s="40"/>
      <c r="O2512" s="27"/>
      <c r="P2512" s="27"/>
      <c r="Q2512" s="41"/>
      <c r="R2512" s="40"/>
    </row>
    <row r="2513" spans="1:18" ht="30" customHeight="1" x14ac:dyDescent="0.3">
      <c r="A2513" s="26" t="str">
        <f t="shared" ref="A2513:A2576" si="78">I2513&amp;H2513</f>
        <v/>
      </c>
      <c r="B2513" s="26">
        <f>COUNTIFS($A$4:A2513,A2513)</f>
        <v>1350</v>
      </c>
      <c r="C2513" s="26" t="str">
        <f t="shared" ref="C2513:C2576" si="79">A2513&amp;B2513</f>
        <v>1350</v>
      </c>
      <c r="E2513" s="26"/>
      <c r="F2513" s="26"/>
      <c r="H2513" s="27"/>
      <c r="I2513" s="27"/>
      <c r="J2513" s="27"/>
      <c r="K2513" s="27"/>
      <c r="L2513" s="27"/>
      <c r="M2513" s="27"/>
      <c r="N2513" s="40"/>
      <c r="O2513" s="27"/>
      <c r="P2513" s="27"/>
      <c r="Q2513" s="41"/>
      <c r="R2513" s="40"/>
    </row>
    <row r="2514" spans="1:18" ht="30" customHeight="1" x14ac:dyDescent="0.3">
      <c r="A2514" s="26" t="str">
        <f t="shared" si="78"/>
        <v/>
      </c>
      <c r="B2514" s="26">
        <f>COUNTIFS($A$4:A2514,A2514)</f>
        <v>1351</v>
      </c>
      <c r="C2514" s="26" t="str">
        <f t="shared" si="79"/>
        <v>1351</v>
      </c>
      <c r="E2514" s="26"/>
      <c r="F2514" s="26"/>
      <c r="H2514" s="27"/>
      <c r="I2514" s="27"/>
      <c r="J2514" s="27"/>
      <c r="K2514" s="27"/>
      <c r="L2514" s="27"/>
      <c r="M2514" s="27"/>
      <c r="N2514" s="40"/>
      <c r="O2514" s="27"/>
      <c r="P2514" s="27"/>
      <c r="Q2514" s="41"/>
      <c r="R2514" s="40"/>
    </row>
    <row r="2515" spans="1:18" ht="30" customHeight="1" x14ac:dyDescent="0.3">
      <c r="A2515" s="26" t="str">
        <f t="shared" si="78"/>
        <v/>
      </c>
      <c r="B2515" s="26">
        <f>COUNTIFS($A$4:A2515,A2515)</f>
        <v>1352</v>
      </c>
      <c r="C2515" s="26" t="str">
        <f t="shared" si="79"/>
        <v>1352</v>
      </c>
      <c r="E2515" s="26"/>
      <c r="F2515" s="26"/>
      <c r="H2515" s="27"/>
      <c r="I2515" s="27"/>
      <c r="J2515" s="27"/>
      <c r="K2515" s="27"/>
      <c r="L2515" s="27"/>
      <c r="M2515" s="27"/>
      <c r="N2515" s="40"/>
      <c r="O2515" s="27"/>
      <c r="P2515" s="27"/>
      <c r="Q2515" s="41"/>
      <c r="R2515" s="40"/>
    </row>
    <row r="2516" spans="1:18" ht="30" customHeight="1" x14ac:dyDescent="0.3">
      <c r="A2516" s="26" t="str">
        <f t="shared" si="78"/>
        <v/>
      </c>
      <c r="B2516" s="26">
        <f>COUNTIFS($A$4:A2516,A2516)</f>
        <v>1353</v>
      </c>
      <c r="C2516" s="26" t="str">
        <f t="shared" si="79"/>
        <v>1353</v>
      </c>
      <c r="E2516" s="26"/>
      <c r="F2516" s="26"/>
      <c r="H2516" s="27"/>
      <c r="I2516" s="27"/>
      <c r="J2516" s="27"/>
      <c r="K2516" s="27"/>
      <c r="L2516" s="27"/>
      <c r="M2516" s="27"/>
      <c r="N2516" s="40"/>
      <c r="O2516" s="27"/>
      <c r="P2516" s="27"/>
      <c r="Q2516" s="41"/>
      <c r="R2516" s="40"/>
    </row>
    <row r="2517" spans="1:18" ht="30" customHeight="1" x14ac:dyDescent="0.3">
      <c r="A2517" s="26" t="str">
        <f t="shared" si="78"/>
        <v/>
      </c>
      <c r="B2517" s="26">
        <f>COUNTIFS($A$4:A2517,A2517)</f>
        <v>1354</v>
      </c>
      <c r="C2517" s="26" t="str">
        <f t="shared" si="79"/>
        <v>1354</v>
      </c>
      <c r="E2517" s="26"/>
      <c r="F2517" s="26"/>
      <c r="H2517" s="27"/>
      <c r="I2517" s="27"/>
      <c r="J2517" s="27"/>
      <c r="K2517" s="27"/>
      <c r="L2517" s="27"/>
      <c r="M2517" s="27"/>
      <c r="N2517" s="40"/>
      <c r="O2517" s="27"/>
      <c r="P2517" s="27"/>
      <c r="Q2517" s="41"/>
      <c r="R2517" s="40"/>
    </row>
    <row r="2518" spans="1:18" ht="30" customHeight="1" x14ac:dyDescent="0.3">
      <c r="A2518" s="26" t="str">
        <f t="shared" si="78"/>
        <v/>
      </c>
      <c r="B2518" s="26">
        <f>COUNTIFS($A$4:A2518,A2518)</f>
        <v>1355</v>
      </c>
      <c r="C2518" s="26" t="str">
        <f t="shared" si="79"/>
        <v>1355</v>
      </c>
      <c r="E2518" s="26"/>
      <c r="F2518" s="26"/>
      <c r="H2518" s="27"/>
      <c r="I2518" s="27"/>
      <c r="J2518" s="27"/>
      <c r="K2518" s="27"/>
      <c r="L2518" s="27"/>
      <c r="M2518" s="27"/>
      <c r="N2518" s="40"/>
      <c r="O2518" s="27"/>
      <c r="P2518" s="27"/>
      <c r="Q2518" s="41"/>
      <c r="R2518" s="40"/>
    </row>
    <row r="2519" spans="1:18" ht="30" customHeight="1" x14ac:dyDescent="0.3">
      <c r="A2519" s="26" t="str">
        <f t="shared" si="78"/>
        <v/>
      </c>
      <c r="B2519" s="26">
        <f>COUNTIFS($A$4:A2519,A2519)</f>
        <v>1356</v>
      </c>
      <c r="C2519" s="26" t="str">
        <f t="shared" si="79"/>
        <v>1356</v>
      </c>
      <c r="E2519" s="26"/>
      <c r="F2519" s="26"/>
      <c r="H2519" s="27"/>
      <c r="I2519" s="27"/>
      <c r="J2519" s="27"/>
      <c r="K2519" s="27"/>
      <c r="L2519" s="27"/>
      <c r="M2519" s="27"/>
      <c r="N2519" s="40"/>
      <c r="O2519" s="27"/>
      <c r="P2519" s="27"/>
      <c r="Q2519" s="41"/>
      <c r="R2519" s="40"/>
    </row>
    <row r="2520" spans="1:18" ht="30" customHeight="1" x14ac:dyDescent="0.3">
      <c r="A2520" s="26" t="str">
        <f t="shared" si="78"/>
        <v/>
      </c>
      <c r="B2520" s="26">
        <f>COUNTIFS($A$4:A2520,A2520)</f>
        <v>1357</v>
      </c>
      <c r="C2520" s="26" t="str">
        <f t="shared" si="79"/>
        <v>1357</v>
      </c>
      <c r="E2520" s="26"/>
      <c r="F2520" s="26"/>
      <c r="H2520" s="27"/>
      <c r="I2520" s="27"/>
      <c r="J2520" s="27"/>
      <c r="K2520" s="27"/>
      <c r="L2520" s="27"/>
      <c r="M2520" s="27"/>
      <c r="N2520" s="40"/>
      <c r="O2520" s="27"/>
      <c r="P2520" s="27"/>
      <c r="Q2520" s="41"/>
      <c r="R2520" s="40"/>
    </row>
    <row r="2521" spans="1:18" ht="30" customHeight="1" x14ac:dyDescent="0.3">
      <c r="A2521" s="26" t="str">
        <f t="shared" si="78"/>
        <v/>
      </c>
      <c r="B2521" s="26">
        <f>COUNTIFS($A$4:A2521,A2521)</f>
        <v>1358</v>
      </c>
      <c r="C2521" s="26" t="str">
        <f t="shared" si="79"/>
        <v>1358</v>
      </c>
      <c r="E2521" s="26"/>
      <c r="F2521" s="26"/>
      <c r="H2521" s="27"/>
      <c r="I2521" s="27"/>
      <c r="J2521" s="27"/>
      <c r="K2521" s="27"/>
      <c r="L2521" s="27"/>
      <c r="M2521" s="27"/>
      <c r="N2521" s="40"/>
      <c r="O2521" s="27"/>
      <c r="P2521" s="27"/>
      <c r="Q2521" s="41"/>
      <c r="R2521" s="40"/>
    </row>
    <row r="2522" spans="1:18" ht="30" customHeight="1" x14ac:dyDescent="0.3">
      <c r="A2522" s="26" t="str">
        <f t="shared" si="78"/>
        <v/>
      </c>
      <c r="B2522" s="26">
        <f>COUNTIFS($A$4:A2522,A2522)</f>
        <v>1359</v>
      </c>
      <c r="C2522" s="26" t="str">
        <f t="shared" si="79"/>
        <v>1359</v>
      </c>
      <c r="E2522" s="26"/>
      <c r="F2522" s="26"/>
      <c r="H2522" s="27"/>
      <c r="I2522" s="27"/>
      <c r="J2522" s="27"/>
      <c r="K2522" s="27"/>
      <c r="L2522" s="27"/>
      <c r="M2522" s="27"/>
      <c r="N2522" s="40"/>
      <c r="O2522" s="27"/>
      <c r="P2522" s="27"/>
      <c r="Q2522" s="41"/>
      <c r="R2522" s="40"/>
    </row>
    <row r="2523" spans="1:18" ht="30" customHeight="1" x14ac:dyDescent="0.3">
      <c r="A2523" s="26" t="str">
        <f t="shared" si="78"/>
        <v/>
      </c>
      <c r="B2523" s="26">
        <f>COUNTIFS($A$4:A2523,A2523)</f>
        <v>1360</v>
      </c>
      <c r="C2523" s="26" t="str">
        <f t="shared" si="79"/>
        <v>1360</v>
      </c>
      <c r="E2523" s="26"/>
      <c r="F2523" s="26"/>
      <c r="H2523" s="27"/>
      <c r="I2523" s="27"/>
      <c r="J2523" s="27"/>
      <c r="K2523" s="27"/>
      <c r="L2523" s="27"/>
      <c r="M2523" s="27"/>
      <c r="N2523" s="40"/>
      <c r="O2523" s="27"/>
      <c r="P2523" s="27"/>
      <c r="Q2523" s="41"/>
      <c r="R2523" s="40"/>
    </row>
    <row r="2524" spans="1:18" ht="30" customHeight="1" x14ac:dyDescent="0.3">
      <c r="A2524" s="26" t="str">
        <f t="shared" si="78"/>
        <v/>
      </c>
      <c r="B2524" s="26">
        <f>COUNTIFS($A$4:A2524,A2524)</f>
        <v>1361</v>
      </c>
      <c r="C2524" s="26" t="str">
        <f t="shared" si="79"/>
        <v>1361</v>
      </c>
      <c r="E2524" s="26"/>
      <c r="F2524" s="26"/>
      <c r="H2524" s="27"/>
      <c r="I2524" s="27"/>
      <c r="J2524" s="27"/>
      <c r="K2524" s="27"/>
      <c r="L2524" s="27"/>
      <c r="M2524" s="27"/>
      <c r="N2524" s="40"/>
      <c r="O2524" s="27"/>
      <c r="P2524" s="27"/>
      <c r="Q2524" s="41"/>
      <c r="R2524" s="40"/>
    </row>
    <row r="2525" spans="1:18" ht="30" customHeight="1" x14ac:dyDescent="0.3">
      <c r="A2525" s="26" t="str">
        <f t="shared" si="78"/>
        <v/>
      </c>
      <c r="B2525" s="26">
        <f>COUNTIFS($A$4:A2525,A2525)</f>
        <v>1362</v>
      </c>
      <c r="C2525" s="26" t="str">
        <f t="shared" si="79"/>
        <v>1362</v>
      </c>
      <c r="E2525" s="26"/>
      <c r="F2525" s="26"/>
      <c r="H2525" s="27"/>
      <c r="I2525" s="27"/>
      <c r="J2525" s="27"/>
      <c r="K2525" s="27"/>
      <c r="L2525" s="27"/>
      <c r="M2525" s="27"/>
      <c r="N2525" s="40"/>
      <c r="O2525" s="27"/>
      <c r="P2525" s="27"/>
      <c r="Q2525" s="41"/>
      <c r="R2525" s="40"/>
    </row>
    <row r="2526" spans="1:18" ht="30" customHeight="1" x14ac:dyDescent="0.3">
      <c r="A2526" s="26" t="str">
        <f t="shared" si="78"/>
        <v/>
      </c>
      <c r="B2526" s="26">
        <f>COUNTIFS($A$4:A2526,A2526)</f>
        <v>1363</v>
      </c>
      <c r="C2526" s="26" t="str">
        <f t="shared" si="79"/>
        <v>1363</v>
      </c>
      <c r="E2526" s="26"/>
      <c r="F2526" s="26"/>
      <c r="H2526" s="27"/>
      <c r="I2526" s="27"/>
      <c r="J2526" s="27"/>
      <c r="K2526" s="27"/>
      <c r="L2526" s="27"/>
      <c r="M2526" s="27"/>
      <c r="N2526" s="40"/>
      <c r="O2526" s="27"/>
      <c r="P2526" s="27"/>
      <c r="Q2526" s="41"/>
      <c r="R2526" s="40"/>
    </row>
    <row r="2527" spans="1:18" ht="30" customHeight="1" x14ac:dyDescent="0.3">
      <c r="A2527" s="26" t="str">
        <f t="shared" si="78"/>
        <v/>
      </c>
      <c r="B2527" s="26">
        <f>COUNTIFS($A$4:A2527,A2527)</f>
        <v>1364</v>
      </c>
      <c r="C2527" s="26" t="str">
        <f t="shared" si="79"/>
        <v>1364</v>
      </c>
      <c r="E2527" s="26"/>
      <c r="F2527" s="26"/>
      <c r="H2527" s="27"/>
      <c r="I2527" s="27"/>
      <c r="J2527" s="27"/>
      <c r="K2527" s="27"/>
      <c r="L2527" s="27"/>
      <c r="M2527" s="27"/>
      <c r="N2527" s="40"/>
      <c r="O2527" s="27"/>
      <c r="P2527" s="27"/>
      <c r="Q2527" s="41"/>
      <c r="R2527" s="40"/>
    </row>
    <row r="2528" spans="1:18" ht="30" customHeight="1" x14ac:dyDescent="0.3">
      <c r="A2528" s="26" t="str">
        <f t="shared" si="78"/>
        <v/>
      </c>
      <c r="B2528" s="26">
        <f>COUNTIFS($A$4:A2528,A2528)</f>
        <v>1365</v>
      </c>
      <c r="C2528" s="26" t="str">
        <f t="shared" si="79"/>
        <v>1365</v>
      </c>
      <c r="E2528" s="26"/>
      <c r="F2528" s="26"/>
      <c r="H2528" s="27"/>
      <c r="I2528" s="27"/>
      <c r="J2528" s="27"/>
      <c r="K2528" s="27"/>
      <c r="L2528" s="27"/>
      <c r="M2528" s="27"/>
      <c r="N2528" s="40"/>
      <c r="O2528" s="27"/>
      <c r="P2528" s="27"/>
      <c r="Q2528" s="41"/>
      <c r="R2528" s="40"/>
    </row>
    <row r="2529" spans="1:18" ht="30" customHeight="1" x14ac:dyDescent="0.3">
      <c r="A2529" s="26" t="str">
        <f t="shared" si="78"/>
        <v/>
      </c>
      <c r="B2529" s="26">
        <f>COUNTIFS($A$4:A2529,A2529)</f>
        <v>1366</v>
      </c>
      <c r="C2529" s="26" t="str">
        <f t="shared" si="79"/>
        <v>1366</v>
      </c>
      <c r="E2529" s="26"/>
      <c r="F2529" s="26"/>
      <c r="H2529" s="27"/>
      <c r="I2529" s="27"/>
      <c r="J2529" s="27"/>
      <c r="K2529" s="27"/>
      <c r="L2529" s="27"/>
      <c r="M2529" s="27"/>
      <c r="N2529" s="40"/>
      <c r="O2529" s="27"/>
      <c r="P2529" s="27"/>
      <c r="Q2529" s="41"/>
      <c r="R2529" s="40"/>
    </row>
    <row r="2530" spans="1:18" ht="30" customHeight="1" x14ac:dyDescent="0.3">
      <c r="A2530" s="26" t="str">
        <f t="shared" si="78"/>
        <v/>
      </c>
      <c r="B2530" s="26">
        <f>COUNTIFS($A$4:A2530,A2530)</f>
        <v>1367</v>
      </c>
      <c r="C2530" s="26" t="str">
        <f t="shared" si="79"/>
        <v>1367</v>
      </c>
      <c r="E2530" s="26"/>
      <c r="F2530" s="26"/>
      <c r="H2530" s="27"/>
      <c r="I2530" s="27"/>
      <c r="J2530" s="27"/>
      <c r="K2530" s="27"/>
      <c r="L2530" s="27"/>
      <c r="M2530" s="27"/>
      <c r="N2530" s="40"/>
      <c r="O2530" s="27"/>
      <c r="P2530" s="27"/>
      <c r="Q2530" s="41"/>
      <c r="R2530" s="40"/>
    </row>
    <row r="2531" spans="1:18" ht="30" customHeight="1" x14ac:dyDescent="0.3">
      <c r="A2531" s="26" t="str">
        <f t="shared" si="78"/>
        <v/>
      </c>
      <c r="B2531" s="26">
        <f>COUNTIFS($A$4:A2531,A2531)</f>
        <v>1368</v>
      </c>
      <c r="C2531" s="26" t="str">
        <f t="shared" si="79"/>
        <v>1368</v>
      </c>
      <c r="E2531" s="26"/>
      <c r="F2531" s="26"/>
      <c r="H2531" s="27"/>
      <c r="I2531" s="27"/>
      <c r="J2531" s="27"/>
      <c r="K2531" s="27"/>
      <c r="L2531" s="27"/>
      <c r="M2531" s="27"/>
      <c r="N2531" s="40"/>
      <c r="O2531" s="27"/>
      <c r="P2531" s="27"/>
      <c r="Q2531" s="41"/>
      <c r="R2531" s="40"/>
    </row>
    <row r="2532" spans="1:18" ht="30" customHeight="1" x14ac:dyDescent="0.3">
      <c r="A2532" s="26" t="str">
        <f t="shared" si="78"/>
        <v/>
      </c>
      <c r="B2532" s="26">
        <f>COUNTIFS($A$4:A2532,A2532)</f>
        <v>1369</v>
      </c>
      <c r="C2532" s="26" t="str">
        <f t="shared" si="79"/>
        <v>1369</v>
      </c>
      <c r="E2532" s="26"/>
      <c r="F2532" s="26"/>
      <c r="H2532" s="27"/>
      <c r="I2532" s="27"/>
      <c r="J2532" s="27"/>
      <c r="K2532" s="27"/>
      <c r="L2532" s="27"/>
      <c r="M2532" s="27"/>
      <c r="N2532" s="40"/>
      <c r="O2532" s="27"/>
      <c r="P2532" s="27"/>
      <c r="Q2532" s="41"/>
      <c r="R2532" s="40"/>
    </row>
    <row r="2533" spans="1:18" ht="30" customHeight="1" x14ac:dyDescent="0.3">
      <c r="A2533" s="26" t="str">
        <f t="shared" si="78"/>
        <v/>
      </c>
      <c r="B2533" s="26">
        <f>COUNTIFS($A$4:A2533,A2533)</f>
        <v>1370</v>
      </c>
      <c r="C2533" s="26" t="str">
        <f t="shared" si="79"/>
        <v>1370</v>
      </c>
      <c r="E2533" s="26"/>
      <c r="F2533" s="26"/>
      <c r="H2533" s="27"/>
      <c r="I2533" s="27"/>
      <c r="J2533" s="27"/>
      <c r="K2533" s="27"/>
      <c r="L2533" s="27"/>
      <c r="M2533" s="27"/>
      <c r="N2533" s="40"/>
      <c r="O2533" s="27"/>
      <c r="P2533" s="27"/>
      <c r="Q2533" s="41"/>
      <c r="R2533" s="40"/>
    </row>
    <row r="2534" spans="1:18" ht="30" customHeight="1" x14ac:dyDescent="0.3">
      <c r="A2534" s="26" t="str">
        <f t="shared" si="78"/>
        <v/>
      </c>
      <c r="B2534" s="26">
        <f>COUNTIFS($A$4:A2534,A2534)</f>
        <v>1371</v>
      </c>
      <c r="C2534" s="26" t="str">
        <f t="shared" si="79"/>
        <v>1371</v>
      </c>
      <c r="E2534" s="26"/>
      <c r="F2534" s="26"/>
      <c r="H2534" s="27"/>
      <c r="I2534" s="27"/>
      <c r="J2534" s="27"/>
      <c r="K2534" s="27"/>
      <c r="L2534" s="27"/>
      <c r="M2534" s="27"/>
      <c r="N2534" s="40"/>
      <c r="O2534" s="27"/>
      <c r="P2534" s="27"/>
      <c r="Q2534" s="41"/>
      <c r="R2534" s="40"/>
    </row>
    <row r="2535" spans="1:18" ht="30" customHeight="1" x14ac:dyDescent="0.3">
      <c r="A2535" s="26" t="str">
        <f t="shared" si="78"/>
        <v/>
      </c>
      <c r="B2535" s="26">
        <f>COUNTIFS($A$4:A2535,A2535)</f>
        <v>1372</v>
      </c>
      <c r="C2535" s="26" t="str">
        <f t="shared" si="79"/>
        <v>1372</v>
      </c>
      <c r="E2535" s="26"/>
      <c r="F2535" s="26"/>
      <c r="H2535" s="27"/>
      <c r="I2535" s="27"/>
      <c r="J2535" s="27"/>
      <c r="K2535" s="27"/>
      <c r="L2535" s="27"/>
      <c r="M2535" s="27"/>
      <c r="N2535" s="40"/>
      <c r="O2535" s="27"/>
      <c r="P2535" s="27"/>
      <c r="Q2535" s="41"/>
      <c r="R2535" s="40"/>
    </row>
    <row r="2536" spans="1:18" ht="30" customHeight="1" x14ac:dyDescent="0.3">
      <c r="A2536" s="26" t="str">
        <f t="shared" si="78"/>
        <v/>
      </c>
      <c r="B2536" s="26">
        <f>COUNTIFS($A$4:A2536,A2536)</f>
        <v>1373</v>
      </c>
      <c r="C2536" s="26" t="str">
        <f t="shared" si="79"/>
        <v>1373</v>
      </c>
      <c r="E2536" s="26"/>
      <c r="F2536" s="26"/>
      <c r="H2536" s="27"/>
      <c r="I2536" s="27"/>
      <c r="J2536" s="27"/>
      <c r="K2536" s="27"/>
      <c r="L2536" s="27"/>
      <c r="M2536" s="27"/>
      <c r="N2536" s="40"/>
      <c r="O2536" s="27"/>
      <c r="P2536" s="27"/>
      <c r="Q2536" s="41"/>
      <c r="R2536" s="40"/>
    </row>
    <row r="2537" spans="1:18" ht="30" customHeight="1" x14ac:dyDescent="0.3">
      <c r="A2537" s="26" t="str">
        <f t="shared" si="78"/>
        <v/>
      </c>
      <c r="B2537" s="26">
        <f>COUNTIFS($A$4:A2537,A2537)</f>
        <v>1374</v>
      </c>
      <c r="C2537" s="26" t="str">
        <f t="shared" si="79"/>
        <v>1374</v>
      </c>
      <c r="E2537" s="26"/>
      <c r="F2537" s="26"/>
      <c r="H2537" s="27"/>
      <c r="I2537" s="27"/>
      <c r="J2537" s="27"/>
      <c r="K2537" s="27"/>
      <c r="L2537" s="27"/>
      <c r="M2537" s="27"/>
      <c r="N2537" s="40"/>
      <c r="O2537" s="27"/>
      <c r="P2537" s="27"/>
      <c r="Q2537" s="41"/>
      <c r="R2537" s="40"/>
    </row>
    <row r="2538" spans="1:18" ht="30" customHeight="1" x14ac:dyDescent="0.3">
      <c r="A2538" s="26" t="str">
        <f t="shared" si="78"/>
        <v/>
      </c>
      <c r="B2538" s="26">
        <f>COUNTIFS($A$4:A2538,A2538)</f>
        <v>1375</v>
      </c>
      <c r="C2538" s="26" t="str">
        <f t="shared" si="79"/>
        <v>1375</v>
      </c>
      <c r="E2538" s="26"/>
      <c r="F2538" s="26"/>
      <c r="H2538" s="27"/>
      <c r="I2538" s="27"/>
      <c r="J2538" s="27"/>
      <c r="K2538" s="27"/>
      <c r="L2538" s="27"/>
      <c r="M2538" s="27"/>
      <c r="N2538" s="40"/>
      <c r="O2538" s="27"/>
      <c r="P2538" s="27"/>
      <c r="Q2538" s="41"/>
      <c r="R2538" s="40"/>
    </row>
    <row r="2539" spans="1:18" ht="30" customHeight="1" x14ac:dyDescent="0.3">
      <c r="A2539" s="26" t="str">
        <f t="shared" si="78"/>
        <v/>
      </c>
      <c r="B2539" s="26">
        <f>COUNTIFS($A$4:A2539,A2539)</f>
        <v>1376</v>
      </c>
      <c r="C2539" s="26" t="str">
        <f t="shared" si="79"/>
        <v>1376</v>
      </c>
      <c r="E2539" s="26"/>
      <c r="F2539" s="26"/>
      <c r="H2539" s="27"/>
      <c r="I2539" s="27"/>
      <c r="J2539" s="27"/>
      <c r="K2539" s="27"/>
      <c r="L2539" s="27"/>
      <c r="M2539" s="27"/>
      <c r="N2539" s="40"/>
      <c r="O2539" s="27"/>
      <c r="P2539" s="27"/>
      <c r="Q2539" s="41"/>
      <c r="R2539" s="40"/>
    </row>
    <row r="2540" spans="1:18" ht="30" customHeight="1" x14ac:dyDescent="0.3">
      <c r="A2540" s="26" t="str">
        <f t="shared" si="78"/>
        <v/>
      </c>
      <c r="B2540" s="26">
        <f>COUNTIFS($A$4:A2540,A2540)</f>
        <v>1377</v>
      </c>
      <c r="C2540" s="26" t="str">
        <f t="shared" si="79"/>
        <v>1377</v>
      </c>
      <c r="E2540" s="26"/>
      <c r="F2540" s="26"/>
      <c r="H2540" s="27"/>
      <c r="I2540" s="27"/>
      <c r="J2540" s="27"/>
      <c r="K2540" s="27"/>
      <c r="L2540" s="27"/>
      <c r="M2540" s="27"/>
      <c r="N2540" s="40"/>
      <c r="O2540" s="27"/>
      <c r="P2540" s="27"/>
      <c r="Q2540" s="41"/>
      <c r="R2540" s="40"/>
    </row>
    <row r="2541" spans="1:18" ht="30" customHeight="1" x14ac:dyDescent="0.3">
      <c r="A2541" s="26" t="str">
        <f t="shared" si="78"/>
        <v/>
      </c>
      <c r="B2541" s="26">
        <f>COUNTIFS($A$4:A2541,A2541)</f>
        <v>1378</v>
      </c>
      <c r="C2541" s="26" t="str">
        <f t="shared" si="79"/>
        <v>1378</v>
      </c>
      <c r="E2541" s="26"/>
      <c r="F2541" s="26"/>
      <c r="H2541" s="27"/>
      <c r="I2541" s="27"/>
      <c r="J2541" s="27"/>
      <c r="K2541" s="27"/>
      <c r="L2541" s="27"/>
      <c r="M2541" s="27"/>
      <c r="N2541" s="40"/>
      <c r="O2541" s="27"/>
      <c r="P2541" s="27"/>
      <c r="Q2541" s="41"/>
      <c r="R2541" s="40"/>
    </row>
    <row r="2542" spans="1:18" ht="30" customHeight="1" x14ac:dyDescent="0.3">
      <c r="A2542" s="26" t="str">
        <f t="shared" si="78"/>
        <v/>
      </c>
      <c r="B2542" s="26">
        <f>COUNTIFS($A$4:A2542,A2542)</f>
        <v>1379</v>
      </c>
      <c r="C2542" s="26" t="str">
        <f t="shared" si="79"/>
        <v>1379</v>
      </c>
      <c r="E2542" s="26"/>
      <c r="F2542" s="26"/>
      <c r="H2542" s="27"/>
      <c r="I2542" s="27"/>
      <c r="J2542" s="27"/>
      <c r="K2542" s="27"/>
      <c r="L2542" s="27"/>
      <c r="M2542" s="27"/>
      <c r="N2542" s="40"/>
      <c r="O2542" s="27"/>
      <c r="P2542" s="27"/>
      <c r="Q2542" s="41"/>
      <c r="R2542" s="40"/>
    </row>
    <row r="2543" spans="1:18" ht="30" customHeight="1" x14ac:dyDescent="0.3">
      <c r="A2543" s="26" t="str">
        <f t="shared" si="78"/>
        <v/>
      </c>
      <c r="B2543" s="26">
        <f>COUNTIFS($A$4:A2543,A2543)</f>
        <v>1380</v>
      </c>
      <c r="C2543" s="26" t="str">
        <f t="shared" si="79"/>
        <v>1380</v>
      </c>
      <c r="E2543" s="26"/>
      <c r="F2543" s="26"/>
      <c r="H2543" s="27"/>
      <c r="I2543" s="27"/>
      <c r="J2543" s="27"/>
      <c r="K2543" s="27"/>
      <c r="L2543" s="27"/>
      <c r="M2543" s="27"/>
      <c r="N2543" s="40"/>
      <c r="O2543" s="27"/>
      <c r="P2543" s="27"/>
      <c r="Q2543" s="41"/>
      <c r="R2543" s="40"/>
    </row>
    <row r="2544" spans="1:18" ht="30" customHeight="1" x14ac:dyDescent="0.3">
      <c r="A2544" s="26" t="str">
        <f t="shared" si="78"/>
        <v/>
      </c>
      <c r="B2544" s="26">
        <f>COUNTIFS($A$4:A2544,A2544)</f>
        <v>1381</v>
      </c>
      <c r="C2544" s="26" t="str">
        <f t="shared" si="79"/>
        <v>1381</v>
      </c>
      <c r="E2544" s="26"/>
      <c r="F2544" s="26"/>
      <c r="H2544" s="27"/>
      <c r="I2544" s="27"/>
      <c r="J2544" s="27"/>
      <c r="K2544" s="27"/>
      <c r="L2544" s="27"/>
      <c r="M2544" s="27"/>
      <c r="N2544" s="40"/>
      <c r="O2544" s="27"/>
      <c r="P2544" s="27"/>
      <c r="Q2544" s="41"/>
      <c r="R2544" s="40"/>
    </row>
    <row r="2545" spans="1:18" ht="30" customHeight="1" x14ac:dyDescent="0.3">
      <c r="A2545" s="26" t="str">
        <f t="shared" si="78"/>
        <v/>
      </c>
      <c r="B2545" s="26">
        <f>COUNTIFS($A$4:A2545,A2545)</f>
        <v>1382</v>
      </c>
      <c r="C2545" s="26" t="str">
        <f t="shared" si="79"/>
        <v>1382</v>
      </c>
      <c r="E2545" s="26"/>
      <c r="F2545" s="26"/>
      <c r="H2545" s="27"/>
      <c r="I2545" s="27"/>
      <c r="J2545" s="27"/>
      <c r="K2545" s="27"/>
      <c r="L2545" s="27"/>
      <c r="M2545" s="27"/>
      <c r="N2545" s="40"/>
      <c r="O2545" s="27"/>
      <c r="P2545" s="27"/>
      <c r="Q2545" s="41"/>
      <c r="R2545" s="40"/>
    </row>
    <row r="2546" spans="1:18" ht="30" customHeight="1" x14ac:dyDescent="0.3">
      <c r="A2546" s="26" t="str">
        <f t="shared" si="78"/>
        <v/>
      </c>
      <c r="B2546" s="26">
        <f>COUNTIFS($A$4:A2546,A2546)</f>
        <v>1383</v>
      </c>
      <c r="C2546" s="26" t="str">
        <f t="shared" si="79"/>
        <v>1383</v>
      </c>
      <c r="E2546" s="26"/>
      <c r="F2546" s="26"/>
      <c r="H2546" s="27"/>
      <c r="I2546" s="27"/>
      <c r="J2546" s="27"/>
      <c r="K2546" s="27"/>
      <c r="L2546" s="27"/>
      <c r="M2546" s="27"/>
      <c r="N2546" s="40"/>
      <c r="O2546" s="27"/>
      <c r="P2546" s="27"/>
      <c r="Q2546" s="41"/>
      <c r="R2546" s="40"/>
    </row>
    <row r="2547" spans="1:18" ht="30" customHeight="1" x14ac:dyDescent="0.3">
      <c r="A2547" s="26" t="str">
        <f t="shared" si="78"/>
        <v/>
      </c>
      <c r="B2547" s="26">
        <f>COUNTIFS($A$4:A2547,A2547)</f>
        <v>1384</v>
      </c>
      <c r="C2547" s="26" t="str">
        <f t="shared" si="79"/>
        <v>1384</v>
      </c>
      <c r="E2547" s="26"/>
      <c r="F2547" s="26"/>
      <c r="H2547" s="27"/>
      <c r="I2547" s="27"/>
      <c r="J2547" s="27"/>
      <c r="K2547" s="27"/>
      <c r="L2547" s="27"/>
      <c r="M2547" s="27"/>
      <c r="N2547" s="40"/>
      <c r="O2547" s="27"/>
      <c r="P2547" s="27"/>
      <c r="Q2547" s="41"/>
      <c r="R2547" s="40"/>
    </row>
    <row r="2548" spans="1:18" ht="30" customHeight="1" x14ac:dyDescent="0.3">
      <c r="A2548" s="26" t="str">
        <f t="shared" si="78"/>
        <v/>
      </c>
      <c r="B2548" s="26">
        <f>COUNTIFS($A$4:A2548,A2548)</f>
        <v>1385</v>
      </c>
      <c r="C2548" s="26" t="str">
        <f t="shared" si="79"/>
        <v>1385</v>
      </c>
      <c r="E2548" s="26"/>
      <c r="F2548" s="26"/>
      <c r="H2548" s="27"/>
      <c r="I2548" s="27"/>
      <c r="J2548" s="27"/>
      <c r="K2548" s="27"/>
      <c r="L2548" s="27"/>
      <c r="M2548" s="27"/>
      <c r="N2548" s="40"/>
      <c r="O2548" s="27"/>
      <c r="P2548" s="27"/>
      <c r="Q2548" s="41"/>
      <c r="R2548" s="40"/>
    </row>
    <row r="2549" spans="1:18" ht="30" customHeight="1" x14ac:dyDescent="0.3">
      <c r="A2549" s="26" t="str">
        <f t="shared" si="78"/>
        <v/>
      </c>
      <c r="B2549" s="26">
        <f>COUNTIFS($A$4:A2549,A2549)</f>
        <v>1386</v>
      </c>
      <c r="C2549" s="26" t="str">
        <f t="shared" si="79"/>
        <v>1386</v>
      </c>
      <c r="E2549" s="26"/>
      <c r="F2549" s="26"/>
      <c r="H2549" s="27"/>
      <c r="I2549" s="27"/>
      <c r="J2549" s="27"/>
      <c r="K2549" s="27"/>
      <c r="L2549" s="27"/>
      <c r="M2549" s="27"/>
      <c r="N2549" s="40"/>
      <c r="O2549" s="27"/>
      <c r="P2549" s="27"/>
      <c r="Q2549" s="41"/>
      <c r="R2549" s="40"/>
    </row>
    <row r="2550" spans="1:18" ht="30" customHeight="1" x14ac:dyDescent="0.3">
      <c r="A2550" s="26" t="str">
        <f t="shared" si="78"/>
        <v/>
      </c>
      <c r="B2550" s="26">
        <f>COUNTIFS($A$4:A2550,A2550)</f>
        <v>1387</v>
      </c>
      <c r="C2550" s="26" t="str">
        <f t="shared" si="79"/>
        <v>1387</v>
      </c>
      <c r="E2550" s="26"/>
      <c r="F2550" s="26"/>
      <c r="H2550" s="27"/>
      <c r="I2550" s="27"/>
      <c r="J2550" s="27"/>
      <c r="K2550" s="27"/>
      <c r="L2550" s="27"/>
      <c r="M2550" s="27"/>
      <c r="N2550" s="40"/>
      <c r="O2550" s="27"/>
      <c r="P2550" s="27"/>
      <c r="Q2550" s="41"/>
      <c r="R2550" s="40"/>
    </row>
    <row r="2551" spans="1:18" ht="30" customHeight="1" x14ac:dyDescent="0.3">
      <c r="A2551" s="26" t="str">
        <f t="shared" si="78"/>
        <v/>
      </c>
      <c r="B2551" s="26">
        <f>COUNTIFS($A$4:A2551,A2551)</f>
        <v>1388</v>
      </c>
      <c r="C2551" s="26" t="str">
        <f t="shared" si="79"/>
        <v>1388</v>
      </c>
      <c r="E2551" s="26"/>
      <c r="F2551" s="26"/>
      <c r="H2551" s="27"/>
      <c r="I2551" s="27"/>
      <c r="J2551" s="27"/>
      <c r="K2551" s="27"/>
      <c r="L2551" s="27"/>
      <c r="M2551" s="27"/>
      <c r="N2551" s="40"/>
      <c r="O2551" s="27"/>
      <c r="P2551" s="27"/>
      <c r="Q2551" s="41"/>
      <c r="R2551" s="40"/>
    </row>
    <row r="2552" spans="1:18" ht="30" customHeight="1" x14ac:dyDescent="0.3">
      <c r="A2552" s="26" t="str">
        <f t="shared" si="78"/>
        <v/>
      </c>
      <c r="B2552" s="26">
        <f>COUNTIFS($A$4:A2552,A2552)</f>
        <v>1389</v>
      </c>
      <c r="C2552" s="26" t="str">
        <f t="shared" si="79"/>
        <v>1389</v>
      </c>
      <c r="E2552" s="26"/>
      <c r="F2552" s="26"/>
      <c r="H2552" s="27"/>
      <c r="I2552" s="27"/>
      <c r="J2552" s="27"/>
      <c r="K2552" s="27"/>
      <c r="L2552" s="27"/>
      <c r="M2552" s="27"/>
      <c r="N2552" s="40"/>
      <c r="O2552" s="27"/>
      <c r="P2552" s="27"/>
      <c r="Q2552" s="41"/>
      <c r="R2552" s="40"/>
    </row>
    <row r="2553" spans="1:18" ht="30" customHeight="1" x14ac:dyDescent="0.3">
      <c r="A2553" s="26" t="str">
        <f t="shared" si="78"/>
        <v/>
      </c>
      <c r="B2553" s="26">
        <f>COUNTIFS($A$4:A2553,A2553)</f>
        <v>1390</v>
      </c>
      <c r="C2553" s="26" t="str">
        <f t="shared" si="79"/>
        <v>1390</v>
      </c>
      <c r="E2553" s="26"/>
      <c r="F2553" s="26"/>
      <c r="H2553" s="27"/>
      <c r="I2553" s="27"/>
      <c r="J2553" s="27"/>
      <c r="K2553" s="27"/>
      <c r="L2553" s="27"/>
      <c r="M2553" s="27"/>
      <c r="N2553" s="40"/>
      <c r="O2553" s="27"/>
      <c r="P2553" s="27"/>
      <c r="Q2553" s="41"/>
      <c r="R2553" s="40"/>
    </row>
    <row r="2554" spans="1:18" ht="30" customHeight="1" x14ac:dyDescent="0.3">
      <c r="A2554" s="26" t="str">
        <f t="shared" si="78"/>
        <v/>
      </c>
      <c r="B2554" s="26">
        <f>COUNTIFS($A$4:A2554,A2554)</f>
        <v>1391</v>
      </c>
      <c r="C2554" s="26" t="str">
        <f t="shared" si="79"/>
        <v>1391</v>
      </c>
      <c r="E2554" s="26"/>
      <c r="F2554" s="26"/>
      <c r="H2554" s="27"/>
      <c r="I2554" s="27"/>
      <c r="J2554" s="27"/>
      <c r="K2554" s="27"/>
      <c r="L2554" s="27"/>
      <c r="M2554" s="27"/>
      <c r="N2554" s="40"/>
      <c r="O2554" s="27"/>
      <c r="P2554" s="27"/>
      <c r="Q2554" s="41"/>
      <c r="R2554" s="40"/>
    </row>
    <row r="2555" spans="1:18" ht="30" customHeight="1" x14ac:dyDescent="0.3">
      <c r="A2555" s="26" t="str">
        <f t="shared" si="78"/>
        <v/>
      </c>
      <c r="B2555" s="26">
        <f>COUNTIFS($A$4:A2555,A2555)</f>
        <v>1392</v>
      </c>
      <c r="C2555" s="26" t="str">
        <f t="shared" si="79"/>
        <v>1392</v>
      </c>
      <c r="E2555" s="26"/>
      <c r="F2555" s="26"/>
      <c r="H2555" s="27"/>
      <c r="I2555" s="27"/>
      <c r="J2555" s="27"/>
      <c r="K2555" s="27"/>
      <c r="L2555" s="27"/>
      <c r="M2555" s="27"/>
      <c r="N2555" s="40"/>
      <c r="O2555" s="27"/>
      <c r="P2555" s="27"/>
      <c r="Q2555" s="41"/>
      <c r="R2555" s="40"/>
    </row>
    <row r="2556" spans="1:18" ht="30" customHeight="1" x14ac:dyDescent="0.3">
      <c r="A2556" s="26" t="str">
        <f t="shared" si="78"/>
        <v/>
      </c>
      <c r="B2556" s="26">
        <f>COUNTIFS($A$4:A2556,A2556)</f>
        <v>1393</v>
      </c>
      <c r="C2556" s="26" t="str">
        <f t="shared" si="79"/>
        <v>1393</v>
      </c>
      <c r="E2556" s="26"/>
      <c r="F2556" s="26"/>
      <c r="H2556" s="27"/>
      <c r="I2556" s="27"/>
      <c r="J2556" s="27"/>
      <c r="K2556" s="27"/>
      <c r="L2556" s="27"/>
      <c r="M2556" s="27"/>
      <c r="N2556" s="40"/>
      <c r="O2556" s="27"/>
      <c r="P2556" s="27"/>
      <c r="Q2556" s="41"/>
      <c r="R2556" s="40"/>
    </row>
    <row r="2557" spans="1:18" ht="30" customHeight="1" x14ac:dyDescent="0.3">
      <c r="A2557" s="26" t="str">
        <f t="shared" si="78"/>
        <v/>
      </c>
      <c r="B2557" s="26">
        <f>COUNTIFS($A$4:A2557,A2557)</f>
        <v>1394</v>
      </c>
      <c r="C2557" s="26" t="str">
        <f t="shared" si="79"/>
        <v>1394</v>
      </c>
      <c r="E2557" s="26"/>
      <c r="F2557" s="26"/>
      <c r="H2557" s="27"/>
      <c r="I2557" s="27"/>
      <c r="J2557" s="27"/>
      <c r="K2557" s="27"/>
      <c r="L2557" s="27"/>
      <c r="M2557" s="27"/>
      <c r="N2557" s="40"/>
      <c r="O2557" s="27"/>
      <c r="P2557" s="27"/>
      <c r="Q2557" s="41"/>
      <c r="R2557" s="40"/>
    </row>
    <row r="2558" spans="1:18" ht="30" customHeight="1" x14ac:dyDescent="0.3">
      <c r="A2558" s="26" t="str">
        <f t="shared" si="78"/>
        <v/>
      </c>
      <c r="B2558" s="26">
        <f>COUNTIFS($A$4:A2558,A2558)</f>
        <v>1395</v>
      </c>
      <c r="C2558" s="26" t="str">
        <f t="shared" si="79"/>
        <v>1395</v>
      </c>
      <c r="E2558" s="26"/>
      <c r="F2558" s="26"/>
      <c r="H2558" s="27"/>
      <c r="I2558" s="27"/>
      <c r="J2558" s="27"/>
      <c r="K2558" s="27"/>
      <c r="L2558" s="27"/>
      <c r="M2558" s="27"/>
      <c r="N2558" s="40"/>
      <c r="O2558" s="27"/>
      <c r="P2558" s="27"/>
      <c r="Q2558" s="41"/>
      <c r="R2558" s="40"/>
    </row>
    <row r="2559" spans="1:18" ht="30" customHeight="1" x14ac:dyDescent="0.3">
      <c r="A2559" s="26" t="str">
        <f t="shared" si="78"/>
        <v/>
      </c>
      <c r="B2559" s="26">
        <f>COUNTIFS($A$4:A2559,A2559)</f>
        <v>1396</v>
      </c>
      <c r="C2559" s="26" t="str">
        <f t="shared" si="79"/>
        <v>1396</v>
      </c>
      <c r="E2559" s="26"/>
      <c r="F2559" s="26"/>
      <c r="H2559" s="27"/>
      <c r="I2559" s="27"/>
      <c r="J2559" s="27"/>
      <c r="K2559" s="27"/>
      <c r="L2559" s="27"/>
      <c r="M2559" s="27"/>
      <c r="N2559" s="40"/>
      <c r="O2559" s="27"/>
      <c r="P2559" s="27"/>
      <c r="Q2559" s="41"/>
      <c r="R2559" s="40"/>
    </row>
    <row r="2560" spans="1:18" ht="30" customHeight="1" x14ac:dyDescent="0.3">
      <c r="A2560" s="26" t="str">
        <f t="shared" si="78"/>
        <v/>
      </c>
      <c r="B2560" s="26">
        <f>COUNTIFS($A$4:A2560,A2560)</f>
        <v>1397</v>
      </c>
      <c r="C2560" s="26" t="str">
        <f t="shared" si="79"/>
        <v>1397</v>
      </c>
      <c r="E2560" s="26"/>
      <c r="F2560" s="26"/>
      <c r="H2560" s="27"/>
      <c r="I2560" s="27"/>
      <c r="J2560" s="27"/>
      <c r="K2560" s="27"/>
      <c r="L2560" s="27"/>
      <c r="M2560" s="27"/>
      <c r="N2560" s="40"/>
      <c r="O2560" s="27"/>
      <c r="P2560" s="27"/>
      <c r="Q2560" s="41"/>
      <c r="R2560" s="40"/>
    </row>
    <row r="2561" spans="1:18" ht="30" customHeight="1" x14ac:dyDescent="0.3">
      <c r="A2561" s="26" t="str">
        <f t="shared" si="78"/>
        <v/>
      </c>
      <c r="B2561" s="26">
        <f>COUNTIFS($A$4:A2561,A2561)</f>
        <v>1398</v>
      </c>
      <c r="C2561" s="26" t="str">
        <f t="shared" si="79"/>
        <v>1398</v>
      </c>
      <c r="E2561" s="26"/>
      <c r="F2561" s="26"/>
      <c r="H2561" s="27"/>
      <c r="I2561" s="27"/>
      <c r="J2561" s="27"/>
      <c r="K2561" s="27"/>
      <c r="L2561" s="27"/>
      <c r="M2561" s="27"/>
      <c r="N2561" s="40"/>
      <c r="O2561" s="27"/>
      <c r="P2561" s="27"/>
      <c r="Q2561" s="41"/>
      <c r="R2561" s="40"/>
    </row>
    <row r="2562" spans="1:18" ht="30" customHeight="1" x14ac:dyDescent="0.3">
      <c r="A2562" s="26" t="str">
        <f t="shared" si="78"/>
        <v/>
      </c>
      <c r="B2562" s="26">
        <f>COUNTIFS($A$4:A2562,A2562)</f>
        <v>1399</v>
      </c>
      <c r="C2562" s="26" t="str">
        <f t="shared" si="79"/>
        <v>1399</v>
      </c>
      <c r="E2562" s="26"/>
      <c r="F2562" s="26"/>
      <c r="H2562" s="27"/>
      <c r="I2562" s="27"/>
      <c r="J2562" s="27"/>
      <c r="K2562" s="27"/>
      <c r="L2562" s="27"/>
      <c r="M2562" s="27"/>
      <c r="N2562" s="40"/>
      <c r="O2562" s="27"/>
      <c r="P2562" s="27"/>
      <c r="Q2562" s="41"/>
      <c r="R2562" s="40"/>
    </row>
    <row r="2563" spans="1:18" ht="30" customHeight="1" x14ac:dyDescent="0.3">
      <c r="A2563" s="26" t="str">
        <f t="shared" si="78"/>
        <v/>
      </c>
      <c r="B2563" s="26">
        <f>COUNTIFS($A$4:A2563,A2563)</f>
        <v>1400</v>
      </c>
      <c r="C2563" s="26" t="str">
        <f t="shared" si="79"/>
        <v>1400</v>
      </c>
      <c r="E2563" s="26"/>
      <c r="F2563" s="26"/>
      <c r="H2563" s="27"/>
      <c r="I2563" s="27"/>
      <c r="J2563" s="27"/>
      <c r="K2563" s="27"/>
      <c r="L2563" s="27"/>
      <c r="M2563" s="27"/>
      <c r="N2563" s="40"/>
      <c r="O2563" s="27"/>
      <c r="P2563" s="27"/>
      <c r="Q2563" s="41"/>
      <c r="R2563" s="40"/>
    </row>
    <row r="2564" spans="1:18" ht="30" customHeight="1" x14ac:dyDescent="0.3">
      <c r="A2564" s="26" t="str">
        <f t="shared" si="78"/>
        <v/>
      </c>
      <c r="B2564" s="26">
        <f>COUNTIFS($A$4:A2564,A2564)</f>
        <v>1401</v>
      </c>
      <c r="C2564" s="26" t="str">
        <f t="shared" si="79"/>
        <v>1401</v>
      </c>
      <c r="E2564" s="26"/>
      <c r="F2564" s="26"/>
      <c r="H2564" s="27"/>
      <c r="I2564" s="27"/>
      <c r="J2564" s="27"/>
      <c r="K2564" s="27"/>
      <c r="L2564" s="27"/>
      <c r="M2564" s="27"/>
      <c r="N2564" s="40"/>
      <c r="O2564" s="27"/>
      <c r="P2564" s="27"/>
      <c r="Q2564" s="41"/>
      <c r="R2564" s="40"/>
    </row>
    <row r="2565" spans="1:18" ht="30" customHeight="1" x14ac:dyDescent="0.3">
      <c r="A2565" s="26" t="str">
        <f t="shared" si="78"/>
        <v/>
      </c>
      <c r="B2565" s="26">
        <f>COUNTIFS($A$4:A2565,A2565)</f>
        <v>1402</v>
      </c>
      <c r="C2565" s="26" t="str">
        <f t="shared" si="79"/>
        <v>1402</v>
      </c>
      <c r="E2565" s="26"/>
      <c r="F2565" s="26"/>
      <c r="H2565" s="27"/>
      <c r="I2565" s="27"/>
      <c r="J2565" s="27"/>
      <c r="K2565" s="27"/>
      <c r="L2565" s="27"/>
      <c r="M2565" s="27"/>
      <c r="N2565" s="40"/>
      <c r="O2565" s="27"/>
      <c r="P2565" s="27"/>
      <c r="Q2565" s="41"/>
      <c r="R2565" s="40"/>
    </row>
    <row r="2566" spans="1:18" ht="30" customHeight="1" x14ac:dyDescent="0.3">
      <c r="A2566" s="26" t="str">
        <f t="shared" si="78"/>
        <v/>
      </c>
      <c r="B2566" s="26">
        <f>COUNTIFS($A$4:A2566,A2566)</f>
        <v>1403</v>
      </c>
      <c r="C2566" s="26" t="str">
        <f t="shared" si="79"/>
        <v>1403</v>
      </c>
      <c r="E2566" s="26"/>
      <c r="F2566" s="26"/>
      <c r="H2566" s="27"/>
      <c r="I2566" s="27"/>
      <c r="J2566" s="27"/>
      <c r="K2566" s="27"/>
      <c r="L2566" s="27"/>
      <c r="M2566" s="27"/>
      <c r="N2566" s="40"/>
      <c r="O2566" s="27"/>
      <c r="P2566" s="27"/>
      <c r="Q2566" s="41"/>
      <c r="R2566" s="40"/>
    </row>
    <row r="2567" spans="1:18" ht="30" customHeight="1" x14ac:dyDescent="0.3">
      <c r="A2567" s="26" t="str">
        <f t="shared" si="78"/>
        <v/>
      </c>
      <c r="B2567" s="26">
        <f>COUNTIFS($A$4:A2567,A2567)</f>
        <v>1404</v>
      </c>
      <c r="C2567" s="26" t="str">
        <f t="shared" si="79"/>
        <v>1404</v>
      </c>
      <c r="E2567" s="26"/>
      <c r="F2567" s="26"/>
      <c r="H2567" s="27"/>
      <c r="I2567" s="27"/>
      <c r="J2567" s="27"/>
      <c r="K2567" s="27"/>
      <c r="L2567" s="27"/>
      <c r="M2567" s="27"/>
      <c r="N2567" s="40"/>
      <c r="O2567" s="27"/>
      <c r="P2567" s="27"/>
      <c r="Q2567" s="41"/>
      <c r="R2567" s="40"/>
    </row>
    <row r="2568" spans="1:18" ht="30" customHeight="1" x14ac:dyDescent="0.3">
      <c r="A2568" s="26" t="str">
        <f t="shared" si="78"/>
        <v/>
      </c>
      <c r="B2568" s="26">
        <f>COUNTIFS($A$4:A2568,A2568)</f>
        <v>1405</v>
      </c>
      <c r="C2568" s="26" t="str">
        <f t="shared" si="79"/>
        <v>1405</v>
      </c>
      <c r="E2568" s="26"/>
      <c r="F2568" s="26"/>
      <c r="H2568" s="27"/>
      <c r="I2568" s="27"/>
      <c r="J2568" s="27"/>
      <c r="K2568" s="27"/>
      <c r="L2568" s="27"/>
      <c r="M2568" s="27"/>
      <c r="N2568" s="40"/>
      <c r="O2568" s="27"/>
      <c r="P2568" s="27"/>
      <c r="Q2568" s="41"/>
      <c r="R2568" s="40"/>
    </row>
    <row r="2569" spans="1:18" ht="30" customHeight="1" x14ac:dyDescent="0.3">
      <c r="A2569" s="26" t="str">
        <f t="shared" si="78"/>
        <v/>
      </c>
      <c r="B2569" s="26">
        <f>COUNTIFS($A$4:A2569,A2569)</f>
        <v>1406</v>
      </c>
      <c r="C2569" s="26" t="str">
        <f t="shared" si="79"/>
        <v>1406</v>
      </c>
      <c r="E2569" s="26"/>
      <c r="F2569" s="26"/>
      <c r="H2569" s="27"/>
      <c r="I2569" s="27"/>
      <c r="J2569" s="27"/>
      <c r="K2569" s="27"/>
      <c r="L2569" s="27"/>
      <c r="M2569" s="27"/>
      <c r="N2569" s="40"/>
      <c r="O2569" s="27"/>
      <c r="P2569" s="27"/>
      <c r="Q2569" s="41"/>
      <c r="R2569" s="40"/>
    </row>
    <row r="2570" spans="1:18" ht="30" customHeight="1" x14ac:dyDescent="0.3">
      <c r="A2570" s="26" t="str">
        <f t="shared" si="78"/>
        <v/>
      </c>
      <c r="B2570" s="26">
        <f>COUNTIFS($A$4:A2570,A2570)</f>
        <v>1407</v>
      </c>
      <c r="C2570" s="26" t="str">
        <f t="shared" si="79"/>
        <v>1407</v>
      </c>
      <c r="E2570" s="26"/>
      <c r="F2570" s="26"/>
      <c r="H2570" s="27"/>
      <c r="I2570" s="27"/>
      <c r="J2570" s="27"/>
      <c r="K2570" s="27"/>
      <c r="L2570" s="27"/>
      <c r="M2570" s="27"/>
      <c r="N2570" s="40"/>
      <c r="O2570" s="27"/>
      <c r="P2570" s="27"/>
      <c r="Q2570" s="41"/>
      <c r="R2570" s="40"/>
    </row>
    <row r="2571" spans="1:18" ht="30" customHeight="1" x14ac:dyDescent="0.3">
      <c r="A2571" s="26" t="str">
        <f t="shared" si="78"/>
        <v/>
      </c>
      <c r="B2571" s="26">
        <f>COUNTIFS($A$4:A2571,A2571)</f>
        <v>1408</v>
      </c>
      <c r="C2571" s="26" t="str">
        <f t="shared" si="79"/>
        <v>1408</v>
      </c>
      <c r="E2571" s="26"/>
      <c r="F2571" s="26"/>
      <c r="H2571" s="27"/>
      <c r="I2571" s="27"/>
      <c r="J2571" s="27"/>
      <c r="K2571" s="27"/>
      <c r="L2571" s="27"/>
      <c r="M2571" s="27"/>
      <c r="N2571" s="40"/>
      <c r="O2571" s="27"/>
      <c r="P2571" s="27"/>
      <c r="Q2571" s="41"/>
      <c r="R2571" s="40"/>
    </row>
    <row r="2572" spans="1:18" ht="30" customHeight="1" x14ac:dyDescent="0.3">
      <c r="A2572" s="26" t="str">
        <f t="shared" si="78"/>
        <v/>
      </c>
      <c r="B2572" s="26">
        <f>COUNTIFS($A$4:A2572,A2572)</f>
        <v>1409</v>
      </c>
      <c r="C2572" s="26" t="str">
        <f t="shared" si="79"/>
        <v>1409</v>
      </c>
      <c r="E2572" s="26"/>
      <c r="F2572" s="26"/>
      <c r="H2572" s="27"/>
      <c r="I2572" s="27"/>
      <c r="J2572" s="27"/>
      <c r="K2572" s="27"/>
      <c r="L2572" s="27"/>
      <c r="M2572" s="27"/>
      <c r="N2572" s="40"/>
      <c r="O2572" s="27"/>
      <c r="P2572" s="27"/>
      <c r="Q2572" s="41"/>
      <c r="R2572" s="40"/>
    </row>
    <row r="2573" spans="1:18" ht="30" customHeight="1" x14ac:dyDescent="0.3">
      <c r="A2573" s="26" t="str">
        <f t="shared" si="78"/>
        <v/>
      </c>
      <c r="B2573" s="26">
        <f>COUNTIFS($A$4:A2573,A2573)</f>
        <v>1410</v>
      </c>
      <c r="C2573" s="26" t="str">
        <f t="shared" si="79"/>
        <v>1410</v>
      </c>
      <c r="E2573" s="26"/>
      <c r="F2573" s="26"/>
      <c r="H2573" s="27"/>
      <c r="I2573" s="27"/>
      <c r="J2573" s="27"/>
      <c r="K2573" s="27"/>
      <c r="L2573" s="27"/>
      <c r="M2573" s="27"/>
      <c r="N2573" s="40"/>
      <c r="O2573" s="27"/>
      <c r="P2573" s="27"/>
      <c r="Q2573" s="41"/>
      <c r="R2573" s="40"/>
    </row>
    <row r="2574" spans="1:18" ht="30" customHeight="1" x14ac:dyDescent="0.3">
      <c r="A2574" s="26" t="str">
        <f t="shared" si="78"/>
        <v/>
      </c>
      <c r="B2574" s="26">
        <f>COUNTIFS($A$4:A2574,A2574)</f>
        <v>1411</v>
      </c>
      <c r="C2574" s="26" t="str">
        <f t="shared" si="79"/>
        <v>1411</v>
      </c>
      <c r="E2574" s="26"/>
      <c r="F2574" s="26"/>
      <c r="H2574" s="27"/>
      <c r="I2574" s="27"/>
      <c r="J2574" s="27"/>
      <c r="K2574" s="27"/>
      <c r="L2574" s="27"/>
      <c r="M2574" s="27"/>
      <c r="N2574" s="40"/>
      <c r="O2574" s="27"/>
      <c r="P2574" s="27"/>
      <c r="Q2574" s="41"/>
      <c r="R2574" s="40"/>
    </row>
    <row r="2575" spans="1:18" ht="30" customHeight="1" x14ac:dyDescent="0.3">
      <c r="A2575" s="26" t="str">
        <f t="shared" si="78"/>
        <v/>
      </c>
      <c r="B2575" s="26">
        <f>COUNTIFS($A$4:A2575,A2575)</f>
        <v>1412</v>
      </c>
      <c r="C2575" s="26" t="str">
        <f t="shared" si="79"/>
        <v>1412</v>
      </c>
      <c r="E2575" s="26"/>
      <c r="F2575" s="26"/>
      <c r="H2575" s="27"/>
      <c r="I2575" s="27"/>
      <c r="J2575" s="27"/>
      <c r="K2575" s="27"/>
      <c r="L2575" s="27"/>
      <c r="M2575" s="27"/>
      <c r="N2575" s="40"/>
      <c r="O2575" s="27"/>
      <c r="P2575" s="27"/>
      <c r="Q2575" s="41"/>
      <c r="R2575" s="40"/>
    </row>
    <row r="2576" spans="1:18" ht="30" customHeight="1" x14ac:dyDescent="0.3">
      <c r="A2576" s="26" t="str">
        <f t="shared" si="78"/>
        <v/>
      </c>
      <c r="B2576" s="26">
        <f>COUNTIFS($A$4:A2576,A2576)</f>
        <v>1413</v>
      </c>
      <c r="C2576" s="26" t="str">
        <f t="shared" si="79"/>
        <v>1413</v>
      </c>
      <c r="E2576" s="26"/>
      <c r="F2576" s="26"/>
      <c r="H2576" s="27"/>
      <c r="I2576" s="27"/>
      <c r="J2576" s="27"/>
      <c r="K2576" s="27"/>
      <c r="L2576" s="27"/>
      <c r="M2576" s="27"/>
      <c r="N2576" s="40"/>
      <c r="O2576" s="27"/>
      <c r="P2576" s="27"/>
      <c r="Q2576" s="41"/>
      <c r="R2576" s="40"/>
    </row>
    <row r="2577" spans="1:18" ht="30" customHeight="1" x14ac:dyDescent="0.3">
      <c r="A2577" s="26" t="str">
        <f t="shared" ref="A2577:A2605" si="80">I2577&amp;H2577</f>
        <v/>
      </c>
      <c r="B2577" s="26">
        <f>COUNTIFS($A$4:A2577,A2577)</f>
        <v>1414</v>
      </c>
      <c r="C2577" s="26" t="str">
        <f t="shared" ref="C2577:C2605" si="81">A2577&amp;B2577</f>
        <v>1414</v>
      </c>
      <c r="E2577" s="26"/>
      <c r="F2577" s="26"/>
      <c r="H2577" s="27"/>
      <c r="I2577" s="27"/>
      <c r="J2577" s="27"/>
      <c r="K2577" s="27"/>
      <c r="L2577" s="27"/>
      <c r="M2577" s="27"/>
      <c r="N2577" s="40"/>
      <c r="O2577" s="27"/>
      <c r="P2577" s="27"/>
      <c r="Q2577" s="41"/>
      <c r="R2577" s="40"/>
    </row>
    <row r="2578" spans="1:18" ht="30" customHeight="1" x14ac:dyDescent="0.3">
      <c r="A2578" s="26" t="str">
        <f t="shared" si="80"/>
        <v/>
      </c>
      <c r="B2578" s="26">
        <f>COUNTIFS($A$4:A2578,A2578)</f>
        <v>1415</v>
      </c>
      <c r="C2578" s="26" t="str">
        <f t="shared" si="81"/>
        <v>1415</v>
      </c>
      <c r="E2578" s="26"/>
      <c r="F2578" s="26"/>
      <c r="H2578" s="27"/>
      <c r="I2578" s="27"/>
      <c r="J2578" s="27"/>
      <c r="K2578" s="27"/>
      <c r="L2578" s="27"/>
      <c r="M2578" s="27"/>
      <c r="N2578" s="40"/>
      <c r="O2578" s="27"/>
      <c r="P2578" s="27"/>
      <c r="Q2578" s="41"/>
      <c r="R2578" s="40"/>
    </row>
    <row r="2579" spans="1:18" ht="30" customHeight="1" x14ac:dyDescent="0.3">
      <c r="A2579" s="26" t="str">
        <f t="shared" si="80"/>
        <v/>
      </c>
      <c r="B2579" s="26">
        <f>COUNTIFS($A$4:A2579,A2579)</f>
        <v>1416</v>
      </c>
      <c r="C2579" s="26" t="str">
        <f t="shared" si="81"/>
        <v>1416</v>
      </c>
      <c r="E2579" s="26"/>
      <c r="F2579" s="26"/>
      <c r="H2579" s="27"/>
      <c r="I2579" s="27"/>
      <c r="J2579" s="27"/>
      <c r="K2579" s="27"/>
      <c r="L2579" s="27"/>
      <c r="M2579" s="27"/>
      <c r="N2579" s="40"/>
      <c r="O2579" s="27"/>
      <c r="P2579" s="27"/>
      <c r="Q2579" s="41"/>
      <c r="R2579" s="40"/>
    </row>
    <row r="2580" spans="1:18" ht="30" customHeight="1" x14ac:dyDescent="0.3">
      <c r="A2580" s="26" t="str">
        <f t="shared" si="80"/>
        <v/>
      </c>
      <c r="B2580" s="26">
        <f>COUNTIFS($A$4:A2580,A2580)</f>
        <v>1417</v>
      </c>
      <c r="C2580" s="26" t="str">
        <f t="shared" si="81"/>
        <v>1417</v>
      </c>
      <c r="E2580" s="26"/>
      <c r="F2580" s="26"/>
      <c r="H2580" s="27"/>
      <c r="I2580" s="27"/>
      <c r="J2580" s="27"/>
      <c r="K2580" s="27"/>
      <c r="L2580" s="27"/>
      <c r="M2580" s="27"/>
      <c r="N2580" s="40"/>
      <c r="O2580" s="27"/>
      <c r="P2580" s="27"/>
      <c r="Q2580" s="41"/>
      <c r="R2580" s="40"/>
    </row>
    <row r="2581" spans="1:18" ht="30" customHeight="1" x14ac:dyDescent="0.3">
      <c r="A2581" s="26" t="str">
        <f t="shared" si="80"/>
        <v/>
      </c>
      <c r="B2581" s="26">
        <f>COUNTIFS($A$4:A2581,A2581)</f>
        <v>1418</v>
      </c>
      <c r="C2581" s="26" t="str">
        <f t="shared" si="81"/>
        <v>1418</v>
      </c>
      <c r="E2581" s="26"/>
      <c r="F2581" s="26"/>
      <c r="H2581" s="27"/>
      <c r="I2581" s="27"/>
      <c r="J2581" s="27"/>
      <c r="K2581" s="27"/>
      <c r="L2581" s="27"/>
      <c r="M2581" s="27"/>
      <c r="N2581" s="40"/>
      <c r="O2581" s="27"/>
      <c r="P2581" s="27"/>
      <c r="Q2581" s="41"/>
      <c r="R2581" s="40"/>
    </row>
    <row r="2582" spans="1:18" ht="30" customHeight="1" x14ac:dyDescent="0.3">
      <c r="A2582" s="26" t="str">
        <f t="shared" si="80"/>
        <v/>
      </c>
      <c r="B2582" s="26">
        <f>COUNTIFS($A$4:A2582,A2582)</f>
        <v>1419</v>
      </c>
      <c r="C2582" s="26" t="str">
        <f t="shared" si="81"/>
        <v>1419</v>
      </c>
      <c r="E2582" s="26"/>
      <c r="F2582" s="26"/>
      <c r="H2582" s="27"/>
      <c r="I2582" s="27"/>
      <c r="J2582" s="27"/>
      <c r="K2582" s="27"/>
      <c r="L2582" s="27"/>
      <c r="M2582" s="27"/>
      <c r="N2582" s="40"/>
      <c r="O2582" s="27"/>
      <c r="P2582" s="27"/>
      <c r="Q2582" s="41"/>
      <c r="R2582" s="40"/>
    </row>
    <row r="2583" spans="1:18" ht="30" customHeight="1" x14ac:dyDescent="0.3">
      <c r="A2583" s="26" t="str">
        <f t="shared" si="80"/>
        <v/>
      </c>
      <c r="B2583" s="26">
        <f>COUNTIFS($A$4:A2583,A2583)</f>
        <v>1420</v>
      </c>
      <c r="C2583" s="26" t="str">
        <f t="shared" si="81"/>
        <v>1420</v>
      </c>
      <c r="E2583" s="26"/>
      <c r="F2583" s="26"/>
      <c r="H2583" s="27"/>
      <c r="I2583" s="27"/>
      <c r="J2583" s="27"/>
      <c r="K2583" s="27"/>
      <c r="L2583" s="27"/>
      <c r="M2583" s="27"/>
      <c r="N2583" s="40"/>
      <c r="O2583" s="27"/>
      <c r="P2583" s="27"/>
      <c r="Q2583" s="41"/>
      <c r="R2583" s="40"/>
    </row>
    <row r="2584" spans="1:18" ht="30" customHeight="1" x14ac:dyDescent="0.3">
      <c r="A2584" s="26" t="str">
        <f t="shared" si="80"/>
        <v/>
      </c>
      <c r="B2584" s="26">
        <f>COUNTIFS($A$4:A2584,A2584)</f>
        <v>1421</v>
      </c>
      <c r="C2584" s="26" t="str">
        <f t="shared" si="81"/>
        <v>1421</v>
      </c>
      <c r="E2584" s="26"/>
      <c r="F2584" s="26"/>
      <c r="H2584" s="27"/>
      <c r="I2584" s="27"/>
      <c r="J2584" s="27"/>
      <c r="K2584" s="27"/>
      <c r="L2584" s="27"/>
      <c r="M2584" s="27"/>
      <c r="N2584" s="40"/>
      <c r="O2584" s="27"/>
      <c r="P2584" s="27"/>
      <c r="Q2584" s="41"/>
      <c r="R2584" s="40"/>
    </row>
    <row r="2585" spans="1:18" ht="30" customHeight="1" x14ac:dyDescent="0.3">
      <c r="A2585" s="26" t="str">
        <f t="shared" si="80"/>
        <v/>
      </c>
      <c r="B2585" s="26">
        <f>COUNTIFS($A$4:A2585,A2585)</f>
        <v>1422</v>
      </c>
      <c r="C2585" s="26" t="str">
        <f t="shared" si="81"/>
        <v>1422</v>
      </c>
      <c r="E2585" s="26"/>
      <c r="F2585" s="26"/>
      <c r="H2585" s="27"/>
      <c r="I2585" s="27"/>
      <c r="J2585" s="27"/>
      <c r="K2585" s="27"/>
      <c r="L2585" s="27"/>
      <c r="M2585" s="27"/>
      <c r="N2585" s="40"/>
      <c r="O2585" s="27"/>
      <c r="P2585" s="27"/>
      <c r="Q2585" s="41"/>
      <c r="R2585" s="40"/>
    </row>
  </sheetData>
  <autoFilter ref="A3:AM2585" xr:uid="{2CDF8832-FA6B-4D57-8422-6D2DE4E8A5C0}"/>
  <mergeCells count="16">
    <mergeCell ref="O2:O3"/>
    <mergeCell ref="P2:P3"/>
    <mergeCell ref="Q2:Q3"/>
    <mergeCell ref="R2:R3"/>
    <mergeCell ref="I2:I3"/>
    <mergeCell ref="J2:J3"/>
    <mergeCell ref="K2:K3"/>
    <mergeCell ref="L2:L3"/>
    <mergeCell ref="M2:M3"/>
    <mergeCell ref="N2:N3"/>
    <mergeCell ref="A2:A3"/>
    <mergeCell ref="B2:B3"/>
    <mergeCell ref="C2:C3"/>
    <mergeCell ref="E2:E3"/>
    <mergeCell ref="F2:F3"/>
    <mergeCell ref="H2:H3"/>
  </mergeCells>
  <phoneticPr fontId="2" type="noConversion"/>
  <conditionalFormatting sqref="Q256:Q257">
    <cfRule type="expression" dxfId="0" priority="1">
      <formula>#REF!="자연"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ED54-B6D0-4D78-855C-BB68EE34A22D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수능최저RAW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changwook kwon</dc:creator>
  <cp:lastModifiedBy>changwook kwon</cp:lastModifiedBy>
  <dcterms:created xsi:type="dcterms:W3CDTF">2026-04-13T10:37:00Z</dcterms:created>
  <dcterms:modified xsi:type="dcterms:W3CDTF">2026-04-13T10:38:41Z</dcterms:modified>
</cp:coreProperties>
</file>